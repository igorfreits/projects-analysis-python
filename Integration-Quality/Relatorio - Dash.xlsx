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A6FA2041-444A-4A83-9E92-4D91C992E2A0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BASE'!$A$1:$AQ$2062</definedName>
  </definedNames>
  <calcPr calcId="191029"/>
  <pivotCaches>
    <pivotCache cacheId="147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6" i="1"/>
  <c r="A16" i="1"/>
  <c r="A1" i="1"/>
  <c r="C2" i="2"/>
  <c r="C5" i="2"/>
  <c r="C4" i="2"/>
  <c r="C8" i="2"/>
  <c r="C3" i="2"/>
  <c r="C6" i="2"/>
  <c r="C7" i="2"/>
  <c r="C9" i="2" l="1"/>
  <c r="E9" i="2" s="1"/>
  <c r="E4" i="2" l="1"/>
  <c r="E3" i="2"/>
  <c r="E8" i="2"/>
  <c r="E2" i="2"/>
  <c r="E7" i="2"/>
  <c r="E6" i="2"/>
  <c r="E5" i="2"/>
</calcChain>
</file>

<file path=xl/sharedStrings.xml><?xml version="1.0" encoding="utf-8"?>
<sst xmlns="http://schemas.openxmlformats.org/spreadsheetml/2006/main" count="17482" uniqueCount="2126">
  <si>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</si>
  <si>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</si>
  <si>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</si>
  <si>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</si>
  <si>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</si>
  <si>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</si>
  <si>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</si>
  <si>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</si>
  <si>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</si>
  <si>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</si>
  <si>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</si>
  <si>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</si>
  <si>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</si>
  <si>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</si>
  <si>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LEMONTECH</t>
  </si>
  <si>
    <t>MANUAL</t>
  </si>
  <si>
    <t>SABRE</t>
  </si>
  <si>
    <t>0 a 02 dias</t>
  </si>
  <si>
    <t>Suporte KCS</t>
  </si>
  <si>
    <t>03 a 05 dias</t>
  </si>
  <si>
    <t>Dados do Fornecedor</t>
  </si>
  <si>
    <t>06 a 08 dias</t>
  </si>
  <si>
    <t>Suporte KCS Total</t>
  </si>
  <si>
    <t>09 a 15 dias</t>
  </si>
  <si>
    <t>Conciliação aérea</t>
  </si>
  <si>
    <t>16 a 23 dias</t>
  </si>
  <si>
    <t>Duplicidade de Contabilização</t>
  </si>
  <si>
    <t>24 a 31 dias</t>
  </si>
  <si>
    <t>Conciliação aérea Total</t>
  </si>
  <si>
    <t>31 dias ou +</t>
  </si>
  <si>
    <t>Suporte Benner</t>
  </si>
  <si>
    <t>Suporte Benner Total</t>
  </si>
  <si>
    <t>Resolvidos em D-2</t>
  </si>
  <si>
    <t>Operações - FCM</t>
  </si>
  <si>
    <t>Ofensores - OBT x Produto</t>
  </si>
  <si>
    <t>Sistema</t>
  </si>
  <si>
    <t>Contagem de Serviço</t>
  </si>
  <si>
    <t>Operações - FCM Total</t>
  </si>
  <si>
    <t>Central de Emissão</t>
  </si>
  <si>
    <t>Edição não Permitida</t>
  </si>
  <si>
    <t>Central de Emissão Total</t>
  </si>
  <si>
    <t>KONTRIP</t>
  </si>
  <si>
    <t>ZUPPER</t>
  </si>
  <si>
    <t>Analise de ofensores por OBT</t>
  </si>
  <si>
    <t>Contagem de TIPO DE ERRO</t>
  </si>
  <si>
    <t>Dados Gerenciais</t>
  </si>
  <si>
    <t>Analise de ofensores por OBT - Campos</t>
  </si>
  <si>
    <t>Contagem de OBTS</t>
  </si>
  <si>
    <t>Todos os Produtos - Canal de Venda</t>
  </si>
  <si>
    <t>Contagem de OBT</t>
  </si>
  <si>
    <t>Falta de Fornecedor</t>
  </si>
  <si>
    <t>Bilhete duplicado</t>
  </si>
  <si>
    <t>KON-OPE-SAO-PVI-BIOLAB</t>
  </si>
  <si>
    <t>Não identificado</t>
  </si>
  <si>
    <t>FCM-OPE-SAO-PVI-BASF</t>
  </si>
  <si>
    <t>Forma de Pagamento indevida</t>
  </si>
  <si>
    <t>Contrato de fornecedor</t>
  </si>
  <si>
    <t>KON-OPE-SAO-PVI-BTC-ARGO</t>
  </si>
  <si>
    <t>Mais de um campo não preenchido</t>
  </si>
  <si>
    <t>FCM-OPE-SAO-PVI-BOSCH</t>
  </si>
  <si>
    <t>Duplicidade de RLOC</t>
  </si>
  <si>
    <t>KON-OPE-SAO-PVI-BERNOULLI</t>
  </si>
  <si>
    <t>Pagamento não permitido para cobrança</t>
  </si>
  <si>
    <t>KON-OPE-SAO-PVI-KPMG</t>
  </si>
  <si>
    <t>Tarifa máxima</t>
  </si>
  <si>
    <t>KON-OPE-RIO-PVI-CASAS BAHIA</t>
  </si>
  <si>
    <t>Centro de custo</t>
  </si>
  <si>
    <t>KON-OPE-RIO-POS-OCEANPACT</t>
  </si>
  <si>
    <t>Falta informação nos trechos</t>
  </si>
  <si>
    <t>FCM-OPE-SAO-PVI-BTC-CONCUR-HONEYWELL</t>
  </si>
  <si>
    <t>Tarifa mínima</t>
  </si>
  <si>
    <t>FCM-OPE-SAO-PVI-BTC-CONCUR</t>
  </si>
  <si>
    <t>Empenho/departamento</t>
  </si>
  <si>
    <t>KON-OPE-RIO-PVI-RENNER</t>
  </si>
  <si>
    <t>Falta de informação Gerencial</t>
  </si>
  <si>
    <t>KON-OPE-SAO-PVI-CCR</t>
  </si>
  <si>
    <t>Matrícula</t>
  </si>
  <si>
    <t>KON-OPE-SAO-PVI-BRASKEM</t>
  </si>
  <si>
    <t>Finalidade</t>
  </si>
  <si>
    <t>KON-OPE-RIO-PVI-UOL</t>
  </si>
  <si>
    <t>Conciliação de Cartão</t>
  </si>
  <si>
    <t>KON-OPE-SAO-PVI-ACHE</t>
  </si>
  <si>
    <t>KON-OPE-RIO-PVI-ENAEX</t>
  </si>
  <si>
    <t>-</t>
  </si>
  <si>
    <t>FCM-OPE-SAO-PVI-SHELL</t>
  </si>
  <si>
    <t>FCM-OPE-SAO-PVI-BAT</t>
  </si>
  <si>
    <t>KON-OPE-RIO-POS-TAESA</t>
  </si>
  <si>
    <t>KON-OPE-SAO-PVI-BTC-ARGO-DELOITTE</t>
  </si>
  <si>
    <t>Contagem AGING por RESPONSÁVEL - AGING  ALTERAÇÃO</t>
  </si>
  <si>
    <t>KON-OPE-RIO-PVI-BTC</t>
  </si>
  <si>
    <t>FCM-OPE-SAO-PVI-ARCADIS</t>
  </si>
  <si>
    <t>INOVENTS</t>
  </si>
  <si>
    <t>Operações - KONTRIP</t>
  </si>
  <si>
    <t>Operações - ZUPPER</t>
  </si>
  <si>
    <t>Operações - CORP</t>
  </si>
  <si>
    <t>FCM-OPE-SAO-PVI-MARS</t>
  </si>
  <si>
    <t>FCM-OPE-SAO-PVI-BTC-CYTRIC-S&amp;P</t>
  </si>
  <si>
    <t>KON-OPE-RIO-PVI-BTC RJ</t>
  </si>
  <si>
    <t>FCM-OPE-SAO-PVI-BTC-CONCUR-NIELSENIQ</t>
  </si>
  <si>
    <t>FCM-OPE-SAO-PVI-BTC-PRA/RPS</t>
  </si>
  <si>
    <t>KON-OPE-SAO-POS-CLARO</t>
  </si>
  <si>
    <t>KON-OPE-POA-PVI-PEPSICO</t>
  </si>
  <si>
    <t>FCM-OPE-SAO-PVI-BTC</t>
  </si>
  <si>
    <t>KON-OPE-SAO-PVI-MATTOS FILHO</t>
  </si>
  <si>
    <t>KON-OPE-SAO-PVI-HYPERA</t>
  </si>
  <si>
    <t>Contagem de RESPONSÁVEL por SERVIÇO</t>
  </si>
  <si>
    <t>EMERGENCIAL</t>
  </si>
  <si>
    <t>KON-OPE-SAO-PVI-ENERGISA</t>
  </si>
  <si>
    <t>FCM-OPE-SAO-PVI-BTC-CONCUR-CHANEL</t>
  </si>
  <si>
    <t>KON-OPE-SAO-PVI-MOVER</t>
  </si>
  <si>
    <t>FCM-OPE-SAO-PVI-BTC FCM</t>
  </si>
  <si>
    <t>FCM-OPE-SAO-PVI-BTC-FM GLOBAL</t>
  </si>
  <si>
    <t>Todos os Produtos - Grupo Empresarial</t>
  </si>
  <si>
    <t>KON-OPE-SAO-PVI-BTC-ARGO-HTB</t>
  </si>
  <si>
    <t>Contagem de Grupo Empresarial</t>
  </si>
  <si>
    <t>FCM-OPE-SAO-PVI-ATOS</t>
  </si>
  <si>
    <t>EMF DIRETORIA</t>
  </si>
  <si>
    <t>Grupo Biolab</t>
  </si>
  <si>
    <t>FCM-OPE-SAO-PVI-BTC-CONCUR-AVAYA</t>
  </si>
  <si>
    <t>Grupo Basf</t>
  </si>
  <si>
    <t>FCM-OPE-SAO-PVI-BTC-CONCUR-SIBELCO</t>
  </si>
  <si>
    <t>Grupo Kontrip</t>
  </si>
  <si>
    <t>KON-OPE-RIO-PVI-BTC-BIOMERIEUX</t>
  </si>
  <si>
    <t>Grupo Bosch</t>
  </si>
  <si>
    <t>KON-OPE-RIO-PVI-BTC-PETRORECONCAVO</t>
  </si>
  <si>
    <t>Grupo Bernoulli Educacao</t>
  </si>
  <si>
    <t>KON-OPE-SAO-PVI-BTC ARGO</t>
  </si>
  <si>
    <t>Grupo Ultra</t>
  </si>
  <si>
    <t>Grupo Kpmg</t>
  </si>
  <si>
    <t>FCM-OPE-SAO-PVI-BTC-FIRMENICH</t>
  </si>
  <si>
    <t>Grupo Ocean Pact</t>
  </si>
  <si>
    <t>Grupo Casas Bahia</t>
  </si>
  <si>
    <t>Grupo Honeywell</t>
  </si>
  <si>
    <t>Grupo Lojas Renner</t>
  </si>
  <si>
    <t>Grupo Motiva</t>
  </si>
  <si>
    <t>Grupo Braskem</t>
  </si>
  <si>
    <t>Grupo Uol</t>
  </si>
  <si>
    <t>Grupo Ache</t>
  </si>
  <si>
    <t>Grupo British American Tobacco</t>
  </si>
  <si>
    <t>Grupo Zupper</t>
  </si>
  <si>
    <t>Grupo Shell</t>
  </si>
  <si>
    <t>Grupo Enaex</t>
  </si>
  <si>
    <t>Grupo Taesa</t>
  </si>
  <si>
    <t>Grupo Deloitte</t>
  </si>
  <si>
    <t>Grupo Mars</t>
  </si>
  <si>
    <t>Grupo Arcadis</t>
  </si>
  <si>
    <t>Grupo Ihs</t>
  </si>
  <si>
    <t>Grupo Claro Sa</t>
  </si>
  <si>
    <t>Grupo Icon</t>
  </si>
  <si>
    <t>Grupo Sep</t>
  </si>
  <si>
    <t>Tarifa</t>
  </si>
  <si>
    <t>(Vários itens)</t>
  </si>
  <si>
    <t>Grupo Ses</t>
  </si>
  <si>
    <t>Tarifa - por aging</t>
  </si>
  <si>
    <t>Tarifa por Data de EMISSÃO</t>
  </si>
  <si>
    <t>Tarifa por Data de INCLUSÃO</t>
  </si>
  <si>
    <t>Grupo Zf</t>
  </si>
  <si>
    <t>Soma de Tarifa</t>
  </si>
  <si>
    <t>Grupo Nielseniq</t>
  </si>
  <si>
    <t>2025</t>
  </si>
  <si>
    <t>Grupo Epson</t>
  </si>
  <si>
    <t>jul</t>
  </si>
  <si>
    <t>Grupo Mattos Filho</t>
  </si>
  <si>
    <t>ago</t>
  </si>
  <si>
    <t>Grupo Airbus/helibras</t>
  </si>
  <si>
    <t>&lt;05/05/2025</t>
  </si>
  <si>
    <t>Grupo Pepsico</t>
  </si>
  <si>
    <t>Grupo Track e Field</t>
  </si>
  <si>
    <t>Grupo Adidas</t>
  </si>
  <si>
    <t>Grupo Hypera</t>
  </si>
  <si>
    <t>Grupo Occ</t>
  </si>
  <si>
    <t>Grupo Elanco</t>
  </si>
  <si>
    <t>Grupo Chanel</t>
  </si>
  <si>
    <t>Grupo Innomotics</t>
  </si>
  <si>
    <t>Grupo Energisa</t>
  </si>
  <si>
    <t>Grupo Glory</t>
  </si>
  <si>
    <t>Grupo Banco Genial Investimentos</t>
  </si>
  <si>
    <t>Grupo Jti</t>
  </si>
  <si>
    <t>Grupo Intercement</t>
  </si>
  <si>
    <t>Grupo Parexel</t>
  </si>
  <si>
    <t>Grupo Nyasa Empreendimentos</t>
  </si>
  <si>
    <t>Grupo Avaya</t>
  </si>
  <si>
    <t>Grupo Isdin</t>
  </si>
  <si>
    <t>Grupo Sibelco</t>
  </si>
  <si>
    <t>Grupo Nzte</t>
  </si>
  <si>
    <t>Grupo Firmenich</t>
  </si>
  <si>
    <t>Grupo Atos</t>
  </si>
  <si>
    <t>Grupo Aeroleo</t>
  </si>
  <si>
    <t>Grupo Biomerieux</t>
  </si>
  <si>
    <t>Grupo Jealsa</t>
  </si>
  <si>
    <t>Grupo Fm Global</t>
  </si>
  <si>
    <t>Grupo Htb</t>
  </si>
  <si>
    <t>Grupo Petroreconcavo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</si>
  <si>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</si>
  <si>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</si>
  <si>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</si>
  <si>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</si>
  <si>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</si>
  <si>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</si>
  <si>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</si>
  <si>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</si>
  <si>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</si>
  <si>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</si>
  <si>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</si>
  <si>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</si>
  <si>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</si>
  <si>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</si>
  <si>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</si>
  <si>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</si>
  <si>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</si>
  <si>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</si>
  <si>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</si>
  <si>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</si>
  <si>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</si>
  <si>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</si>
  <si>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</si>
  <si>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</si>
  <si>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</si>
  <si>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</si>
  <si>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</si>
  <si>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</si>
  <si>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</si>
  <si>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</si>
  <si>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</si>
  <si>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</si>
  <si>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</si>
  <si>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</si>
  <si>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</si>
  <si>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</si>
  <si>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</si>
  <si>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</si>
  <si>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</si>
  <si>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</si>
  <si>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</si>
  <si>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</si>
  <si>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</si>
  <si>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</si>
  <si>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</si>
  <si>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SHQLJQ</t>
  </si>
  <si>
    <t>OLIVEIRA FERNANDES/ANDRE LUIZ</t>
  </si>
  <si>
    <t>Flavia Constanzi do Nascimento</t>
  </si>
  <si>
    <t>Emilia Alejandra Pacheco Maraboli</t>
  </si>
  <si>
    <t>ON LINE</t>
  </si>
  <si>
    <t>Invoice</t>
  </si>
  <si>
    <t>Faturado</t>
  </si>
  <si>
    <t>N</t>
  </si>
  <si>
    <t>Atos Brasil Ltda</t>
  </si>
  <si>
    <t>Latam Airlines Brasil</t>
  </si>
  <si>
    <t>Reserva importada por HubTravel</t>
  </si>
  <si>
    <t xml:space="preserve">Centro de custo não preenchido! (ACC01) Empenho/departamento não preenchido! (ACC01) Matrícula não preenchida! (ACC01) Canal de venda não </t>
  </si>
  <si>
    <t>Qualidade dos dados</t>
  </si>
  <si>
    <t>KONTIK BUSINESS TRAVEL</t>
  </si>
  <si>
    <t>5GO3DU</t>
  </si>
  <si>
    <t>TMS</t>
  </si>
  <si>
    <t>MARCELO CAMARGO LOPES</t>
  </si>
  <si>
    <t>Tms</t>
  </si>
  <si>
    <t>Cartão de crédito</t>
  </si>
  <si>
    <t>Ultragaz Comercializadora de Energia</t>
  </si>
  <si>
    <t>Reserva importada do Sistema TMS. OS: 76405</t>
  </si>
  <si>
    <t>Fornecedor não preenchido! (ACC01)</t>
  </si>
  <si>
    <t>Campo Fornecedor</t>
  </si>
  <si>
    <t>Sistêmico</t>
  </si>
  <si>
    <t>GRUPO KONTIK</t>
  </si>
  <si>
    <t>5GY7A8</t>
  </si>
  <si>
    <t>MARCOS SILVA OLIVEIRA</t>
  </si>
  <si>
    <t>Reserva importada do Sistema TMS. OS: 76929</t>
  </si>
  <si>
    <t>5G7J18</t>
  </si>
  <si>
    <t>ALEXANDRE TEIXEIRA PACHECO</t>
  </si>
  <si>
    <t>Reserva importada do Sistema TMS. OS: 76921</t>
  </si>
  <si>
    <t>5GYSZK</t>
  </si>
  <si>
    <t>SERGIO SIMOES</t>
  </si>
  <si>
    <t>Danielly Bronizio Lopes</t>
  </si>
  <si>
    <t>OFF LINE</t>
  </si>
  <si>
    <t>Aiuka</t>
  </si>
  <si>
    <t>Reserva importada do Sistema TMS. OS: 75831</t>
  </si>
  <si>
    <t>5GXMEO</t>
  </si>
  <si>
    <t>Reserva importada do Sistema TMS. OS: 75902</t>
  </si>
  <si>
    <t>UYJNBN</t>
  </si>
  <si>
    <t>GONZALEZ/MARIA VERONICA</t>
  </si>
  <si>
    <t>Clayton Alves de Rezende</t>
  </si>
  <si>
    <t>Grupo Arxada</t>
  </si>
  <si>
    <t>Arxada</t>
  </si>
  <si>
    <t>Aerolineas Argentinas</t>
  </si>
  <si>
    <t>Centro de custo não preenchido! (ACC01) Empenho/departamento não preenchido! (ACC01) Canal de venda não preenchido! (ACC01)</t>
  </si>
  <si>
    <t>5FKC78</t>
  </si>
  <si>
    <t>TADEU FERNANDES</t>
  </si>
  <si>
    <t>Ariane de Sousa Farias</t>
  </si>
  <si>
    <t>Biogaia Ab</t>
  </si>
  <si>
    <t>Reserva importada do Sistema TMS. OS: 276</t>
  </si>
  <si>
    <t>5GCMY7</t>
  </si>
  <si>
    <t>DRIELLIE DE MELO</t>
  </si>
  <si>
    <t>Reserva importada do Sistema TMS. OS: 75640</t>
  </si>
  <si>
    <t>ACC</t>
  </si>
  <si>
    <t>QDSYOF</t>
  </si>
  <si>
    <t>LILIANE BARBOSA JESUS</t>
  </si>
  <si>
    <t>Marcelo Soares de Azevedo</t>
  </si>
  <si>
    <t>Grupo Vertex</t>
  </si>
  <si>
    <t>Vertex Farmaceutica do Brasil</t>
  </si>
  <si>
    <t xml:space="preserve">Ocorreu a seguinte exceção ao gerar a ordem de venda para a accounting: Ocorreu a seguinte exceção ao inserir o item da ordem de venda:  Faltou </t>
  </si>
  <si>
    <t>Rateio de centro de custo/projeto</t>
  </si>
  <si>
    <t>AYSZPQ</t>
  </si>
  <si>
    <t>EBOOKING</t>
  </si>
  <si>
    <t>Jaqueline Bonino</t>
  </si>
  <si>
    <t>Zupper</t>
  </si>
  <si>
    <t>Cartão convênio</t>
  </si>
  <si>
    <t>Zupper Cartao</t>
  </si>
  <si>
    <t>Gol Linhas Aereas</t>
  </si>
  <si>
    <t>Pnr já existente. A duplicidade de rloc é permitida apenas 6 meses após o último pnr emitido</t>
  </si>
  <si>
    <t>Campo RLOC</t>
  </si>
  <si>
    <t>ZUPPER VIAGENS</t>
  </si>
  <si>
    <t>QHEFPA</t>
  </si>
  <si>
    <t>Hannah Assayag</t>
  </si>
  <si>
    <t>Cristiani Oliveira</t>
  </si>
  <si>
    <t>Não foi possível encontrar configuração válida para Administradora de código 2 e Data transação 13/08/2025</t>
  </si>
  <si>
    <t>Análise Benner</t>
  </si>
  <si>
    <t>BNYPQA</t>
  </si>
  <si>
    <t>Nubia Silva</t>
  </si>
  <si>
    <t>Nubia Erica m da silva</t>
  </si>
  <si>
    <t>Azul Linhas Aereas</t>
  </si>
  <si>
    <t>Não foi possível encontrar configuração válida para Administradora de código 1 e Data transação 13/08/2025</t>
  </si>
  <si>
    <t>MKCKTB</t>
  </si>
  <si>
    <t>Luciene Oliveira</t>
  </si>
  <si>
    <t>Luciene Costa de Oliveira</t>
  </si>
  <si>
    <t>5BOOFQ</t>
  </si>
  <si>
    <t>SERGIO HARUO KAWAMATA</t>
  </si>
  <si>
    <t>Patricia Pinato Ferreira Lima</t>
  </si>
  <si>
    <t>EMERGENCIAL TKT 563982</t>
  </si>
  <si>
    <t>Bat Souza Cruz</t>
  </si>
  <si>
    <t>Grande Hotel Paranavai</t>
  </si>
  <si>
    <t>atendimento emergencial tkt 563982</t>
  </si>
  <si>
    <t>Necessário cadastrar um contrato para o cliente ""</t>
  </si>
  <si>
    <t>Análise Cadastro</t>
  </si>
  <si>
    <t>5GIAFM</t>
  </si>
  <si>
    <t>EDER GALVAO</t>
  </si>
  <si>
    <t>Alexandre Fernando Papa</t>
  </si>
  <si>
    <t>Morangos Hotel</t>
  </si>
  <si>
    <t>EHDRII</t>
  </si>
  <si>
    <t>PESSOA/MAURICIO</t>
  </si>
  <si>
    <t>Wellington Ribeiro da Silva</t>
  </si>
  <si>
    <t>TKT</t>
  </si>
  <si>
    <t>Nyasa Empreendimentos</t>
  </si>
  <si>
    <t>Verificação de bilhetes: Bilhete 2971216362 já sendo utilizado para este fornecedor.</t>
  </si>
  <si>
    <t>Bilhete Já Contabilizado</t>
  </si>
  <si>
    <t>OTRTIB</t>
  </si>
  <si>
    <t>BORTOLOTTO/VANESSA REZENDE</t>
  </si>
  <si>
    <t>Nathalia dos Santos Batista</t>
  </si>
  <si>
    <t>UMBER-</t>
  </si>
  <si>
    <t>Parexel International Pesquisas Clinicas Ltda</t>
  </si>
  <si>
    <t>Matrícula não preenchida! (ACC01) Projeto não preenchido! (ACC01)</t>
  </si>
  <si>
    <t>NMHZMN</t>
  </si>
  <si>
    <t>RIZZO/VICTOR ARMANDO</t>
  </si>
  <si>
    <t>Grupo Stanley Black e Decker</t>
  </si>
  <si>
    <t>Bdb Ferramentas do Brasil Ltda</t>
  </si>
  <si>
    <t>Cliente FEE no POS</t>
  </si>
  <si>
    <t>Centro de custo não preenchido! (ACC01) Departamento não preenchido! (ACC01)</t>
  </si>
  <si>
    <t>NKLKLB</t>
  </si>
  <si>
    <t>ZWIENER JUNIOR/CRISTIANO CARLOS</t>
  </si>
  <si>
    <t>YMUWDY</t>
  </si>
  <si>
    <t>MEDEIROS/DANIELA</t>
  </si>
  <si>
    <t>Beatrys Ferreira Rocha</t>
  </si>
  <si>
    <t>WS</t>
  </si>
  <si>
    <t>?</t>
  </si>
  <si>
    <t>Este cliente não possui permissão para usar este tipo de pagamento e recebimento para este produto.</t>
  </si>
  <si>
    <t>Forma PG. e REC.</t>
  </si>
  <si>
    <t>EHFNHD</t>
  </si>
  <si>
    <t>DE CARVALHO/DEBORA</t>
  </si>
  <si>
    <t>Itamar de Souza</t>
  </si>
  <si>
    <t>Renata Rosenthal dos Santos</t>
  </si>
  <si>
    <t>Ihs Brasil Cessao de Infraestruturas S a</t>
  </si>
  <si>
    <t>Empenho/departamento não preenchido! (ACC01)</t>
  </si>
  <si>
    <t>UMSDACT</t>
  </si>
  <si>
    <t>VIEIRA/TATIANA JUNQUEIRA MS</t>
  </si>
  <si>
    <t>CT</t>
  </si>
  <si>
    <t>I - Systems</t>
  </si>
  <si>
    <t>FWLCNJT</t>
  </si>
  <si>
    <t>LIGEIRO/FELIPE BERTOLUCCI MR</t>
  </si>
  <si>
    <t>Bay Park Hotel Resort</t>
  </si>
  <si>
    <t>Fornecedor não preenchido! (ACC02)</t>
  </si>
  <si>
    <t>ACC02</t>
  </si>
  <si>
    <t>WLVFGC</t>
  </si>
  <si>
    <t>GUIMARAES RESENDE SANTOS/STEP</t>
  </si>
  <si>
    <t xml:space="preserve"> Módulo Operações    -&gt; Configurações      -&gt; Configurações do sistema turismo        -&gt; Importação das vendas          -&gt; Entradas/Saídas  Para o </t>
  </si>
  <si>
    <t>UDXTET</t>
  </si>
  <si>
    <t>MARTINS/ISRAEL MAURICIO</t>
  </si>
  <si>
    <t>FGFSIG</t>
  </si>
  <si>
    <t>Glory</t>
  </si>
  <si>
    <t xml:space="preserve">Centro de custo não preenchido! (ACC01) Matrícula não preenchida! (ACC01) Informação referencial 2 não preenchida! (ACC01) Projeto não preenchido! </t>
  </si>
  <si>
    <t>AJXNWQT</t>
  </si>
  <si>
    <t>LIMA/FABIO BARBOSA</t>
  </si>
  <si>
    <t>AJXNWQ</t>
  </si>
  <si>
    <t>Grand Mercure Brasilia Eixo Monumental</t>
  </si>
  <si>
    <t>Matrícula não preenchida! (ACC01)</t>
  </si>
  <si>
    <t>FQQARC</t>
  </si>
  <si>
    <t>KIEVITSBOSCH VIEIRA/THAIS KIEVITSBOSCH</t>
  </si>
  <si>
    <t xml:space="preserve"> FQQARC</t>
  </si>
  <si>
    <t>Elanco - Morumbi</t>
  </si>
  <si>
    <t>Finalidade não preenchida! (ACC01)</t>
  </si>
  <si>
    <t>SHLYBVT</t>
  </si>
  <si>
    <t>ALENCAR/FABIO FRANCO COSTA DE MR</t>
  </si>
  <si>
    <t>SHLYBV</t>
  </si>
  <si>
    <t>Ses Dth</t>
  </si>
  <si>
    <t>Centro de custo não preenchido! (ACC01) Empenho/departamento não preenchido! (ACC01) Matrícula não preenchida! (ACC01)</t>
  </si>
  <si>
    <t>WBKZLET</t>
  </si>
  <si>
    <t>WBKZLE</t>
  </si>
  <si>
    <t>Hotel Simons Plaza</t>
  </si>
  <si>
    <t>IFMRIBT</t>
  </si>
  <si>
    <t>IFMRIB</t>
  </si>
  <si>
    <t>FAKDZZC</t>
  </si>
  <si>
    <t>DI SERIO/RICARDO MARTINI MR</t>
  </si>
  <si>
    <t>FAKDZZ</t>
  </si>
  <si>
    <t>CPT</t>
  </si>
  <si>
    <t>Hertz - Sa - Ex - Cape Town - Ex</t>
  </si>
  <si>
    <t>QSZUNG</t>
  </si>
  <si>
    <t>ALENCAR/FABIO FRANCO COSTA DE</t>
  </si>
  <si>
    <t>QTENXN</t>
  </si>
  <si>
    <t>GYIGBP</t>
  </si>
  <si>
    <t>SHIMIZU/FERNANDO NOMA</t>
  </si>
  <si>
    <t>Marcia Pereira dos Santos Soares</t>
  </si>
  <si>
    <t>AD2606251707</t>
  </si>
  <si>
    <t>Adidas do Brasil Ltda</t>
  </si>
  <si>
    <t>Falta informar o status no trecho da accounting aérea (Bilhete: 9785210000)</t>
  </si>
  <si>
    <t>Atualização de Trechos</t>
  </si>
  <si>
    <t>MTEZKG</t>
  </si>
  <si>
    <t>SERPA/DANIELLE RODRIGUES CHIC</t>
  </si>
  <si>
    <t>Cartão AMEX</t>
  </si>
  <si>
    <t>Verificação de bilhetes: Bilhete 2971270833 já sendo utilizado para este fornecedor.</t>
  </si>
  <si>
    <t>ACC03</t>
  </si>
  <si>
    <t>LA9579436TNIH</t>
  </si>
  <si>
    <t>Kamnitzer/Bernardo</t>
  </si>
  <si>
    <t>Kontrip</t>
  </si>
  <si>
    <t>Orange 2006 Comunicacao Digital Ltda</t>
  </si>
  <si>
    <t>obs</t>
  </si>
  <si>
    <t>Não foi possível encontrar configuração válida para Administradora de código 1 e Data Emissão 12/08/2025</t>
  </si>
  <si>
    <t>KONTRIP VIAGENS</t>
  </si>
  <si>
    <t>YOSDCQ</t>
  </si>
  <si>
    <t>POLTRONIERI/MARCELLO</t>
  </si>
  <si>
    <t>Cinesystem S.a.</t>
  </si>
  <si>
    <t>FALCÃO DA SILVA/TAMIRIS</t>
  </si>
  <si>
    <t>VHF26F</t>
  </si>
  <si>
    <t>PAULINO DA SILVA/MARCOS</t>
  </si>
  <si>
    <t>Pailon Comunicacao Visual Ltda</t>
  </si>
  <si>
    <t>LA9578248RPER</t>
  </si>
  <si>
    <t>GUERRA/BRUNO</t>
  </si>
  <si>
    <t>Inteligencia de Negocios Sistemas e Informatica Ltda</t>
  </si>
  <si>
    <t>MODVSL</t>
  </si>
  <si>
    <t>Luiza Lima dos Santos/Bruna</t>
  </si>
  <si>
    <t>Rcs Tecnologia S/a</t>
  </si>
  <si>
    <t>MQU7YH01</t>
  </si>
  <si>
    <t>GONÇALVES/GUSTAVO</t>
  </si>
  <si>
    <t>S</t>
  </si>
  <si>
    <t>Associacao Colo de Deus e Santissima Virgem (a.c.d.s.v)</t>
  </si>
  <si>
    <t>YOVNRQ</t>
  </si>
  <si>
    <t>ALMEIDA/LUIZ</t>
  </si>
  <si>
    <t>Araforros Ind e Comercio de Perfilados Ltda Em Recuperacao Judicial</t>
  </si>
  <si>
    <t>Validação do documento: Valor dever ser maior que zero !</t>
  </si>
  <si>
    <t>NRFVAS</t>
  </si>
  <si>
    <t>Cardoso/Felipe</t>
  </si>
  <si>
    <t>Kontrip - Vendas Cartao de Credito</t>
  </si>
  <si>
    <t>obsCancelamento VOID do pax FELIPE CARDOSO</t>
  </si>
  <si>
    <t>Verificação de bilhetes: Bilhete 2243683469 já sendo utilizado para este fornecedor.</t>
  </si>
  <si>
    <t>II9WRC</t>
  </si>
  <si>
    <t>EMILIO BRANDAO DE ARAUJO/CARLOS</t>
  </si>
  <si>
    <t>Conorte Servicos Industriais Ltda</t>
  </si>
  <si>
    <t>EFCSHY</t>
  </si>
  <si>
    <t>ROGERIO DE FRANÇA/PAULO</t>
  </si>
  <si>
    <t>Mei Instalacao Industrial Ltda</t>
  </si>
  <si>
    <t>YM1U2G</t>
  </si>
  <si>
    <t>ESTEVAO PERDIGAO DE MIRANDA/LUIZ</t>
  </si>
  <si>
    <t>WAQULI</t>
  </si>
  <si>
    <t>Santos Junior/Roberto</t>
  </si>
  <si>
    <t>Memora</t>
  </si>
  <si>
    <t>CME1UD</t>
  </si>
  <si>
    <t>MARIO MOUTINHO/LUIZ</t>
  </si>
  <si>
    <t>FEORVQ</t>
  </si>
  <si>
    <t>CARVALHO/KAINAN</t>
  </si>
  <si>
    <t>Lindolfo Gomes/Luana</t>
  </si>
  <si>
    <t>LA9570032FKAY</t>
  </si>
  <si>
    <t>Eduardo Monteiro Miranda/José</t>
  </si>
  <si>
    <t>Associacao Renova Br</t>
  </si>
  <si>
    <t>YI8EMF</t>
  </si>
  <si>
    <t>RODRIGUES NETO/VASCO</t>
  </si>
  <si>
    <t>AQLNTC</t>
  </si>
  <si>
    <t>CORREIA DOS SANTOS BORTOLUZZI/CAROLINA</t>
  </si>
  <si>
    <t>Mobiauto Edicao de Anuncios On Line Ltda</t>
  </si>
  <si>
    <t>Henrique Brugnago/Diogo</t>
  </si>
  <si>
    <t>LLHTHY</t>
  </si>
  <si>
    <t>SAYER SAVOY/LAURA</t>
  </si>
  <si>
    <t>HGDGXI</t>
  </si>
  <si>
    <t>Antonio Ferreira/Marco</t>
  </si>
  <si>
    <t>Service Engenharia</t>
  </si>
  <si>
    <t>DLKJIP</t>
  </si>
  <si>
    <t>FRANCISCO DE CARVALHO/VINICIUS</t>
  </si>
  <si>
    <t>Porto, Miranda, Rocha Sociedade de Advogados</t>
  </si>
  <si>
    <t>CPBVLR</t>
  </si>
  <si>
    <t>RICARDO ALTERIO/JOAO</t>
  </si>
  <si>
    <t>Ind de Torrone Nossa Senhora de Montevergine Ltda</t>
  </si>
  <si>
    <t>MAZYOQ</t>
  </si>
  <si>
    <t>Flavia de Oliveira/Fernanda</t>
  </si>
  <si>
    <t>Nina Saude Vitoria Ltda</t>
  </si>
  <si>
    <t>WMUJGC</t>
  </si>
  <si>
    <t>JARDIM/Fábio</t>
  </si>
  <si>
    <t>XNLLXT</t>
  </si>
  <si>
    <t>Silva Machado/Joana</t>
  </si>
  <si>
    <t>WYLIJR</t>
  </si>
  <si>
    <t>Silva Bosser/André</t>
  </si>
  <si>
    <t>Rought Promocoes e Eventos Eireli</t>
  </si>
  <si>
    <t>XIWE5P</t>
  </si>
  <si>
    <t>PYTERSON CAPELLETTI/IGOR</t>
  </si>
  <si>
    <t>Tecthane Industria e Comercio de Artefatos Em Poliuretano</t>
  </si>
  <si>
    <t>Marziane Johann Capelletti/Deise</t>
  </si>
  <si>
    <t>LA9572863LTDJ</t>
  </si>
  <si>
    <t>Cardoso Ferreira/Walter</t>
  </si>
  <si>
    <t>Pessoa e Pessoa Advogados Associados</t>
  </si>
  <si>
    <t>Centro de custo não preenchido! (ACC01)</t>
  </si>
  <si>
    <t>BRSRMB</t>
  </si>
  <si>
    <t>Monteiro/André</t>
  </si>
  <si>
    <t>Medcentro To Distribuidora de Produtos Farmaceuticos</t>
  </si>
  <si>
    <t>LA9579644LMFE</t>
  </si>
  <si>
    <t>CRFZ9B</t>
  </si>
  <si>
    <t>QGMSXY</t>
  </si>
  <si>
    <t>LIMA SODRÉ/EDUARDO</t>
  </si>
  <si>
    <t>Didier, Sodre e Rosa Advocacia e Consultoria</t>
  </si>
  <si>
    <t>CQ6HWH</t>
  </si>
  <si>
    <t>DOS SANTOS/RAUL</t>
  </si>
  <si>
    <t>Independente</t>
  </si>
  <si>
    <t>Tap Air Portugal</t>
  </si>
  <si>
    <t>WGCOWU</t>
  </si>
  <si>
    <t>OLIVEIRA/MIZAEL</t>
  </si>
  <si>
    <t>IJUNUY</t>
  </si>
  <si>
    <t>LA9576369METC</t>
  </si>
  <si>
    <t>LA9576468SHXP</t>
  </si>
  <si>
    <t>de Sousa Correia/Renato</t>
  </si>
  <si>
    <t>Blood Comunicacao e Eventos Ltda</t>
  </si>
  <si>
    <t>XGJMGY</t>
  </si>
  <si>
    <t>MELO/Cláudia</t>
  </si>
  <si>
    <t>Grupo System Service</t>
  </si>
  <si>
    <t>System Service</t>
  </si>
  <si>
    <t>Não foi possível encontrar configuração válida para Administradora de código 1 e Data Emissão 11/08/2025</t>
  </si>
  <si>
    <t>SWHZRA</t>
  </si>
  <si>
    <t>QDOZKUT</t>
  </si>
  <si>
    <t>TABET/MARIANA</t>
  </si>
  <si>
    <t>QDOZKU</t>
  </si>
  <si>
    <t>Avaya Brasil Ltda</t>
  </si>
  <si>
    <t>Camino Real Polanco Mexico</t>
  </si>
  <si>
    <t>YLWOQMC</t>
  </si>
  <si>
    <t>BUTTON/PAULO ALVARO NANTES MR</t>
  </si>
  <si>
    <t>YLWOQM</t>
  </si>
  <si>
    <t>REC</t>
  </si>
  <si>
    <t>Grupo Axa</t>
  </si>
  <si>
    <t>Axa Cs - Inativo</t>
  </si>
  <si>
    <t>Avis - Br - Pe - Recife - Ibura</t>
  </si>
  <si>
    <t>FCM-OPE-SAO-PVI-BTC-CONCUR-AXA</t>
  </si>
  <si>
    <t>Centro de custo não preenchido! (ACC01) Empenho/departamento não preenchido! (ACC01)</t>
  </si>
  <si>
    <t>HNSZFJT</t>
  </si>
  <si>
    <t>HNSZFJ</t>
  </si>
  <si>
    <t>Mar Hotel Conventions</t>
  </si>
  <si>
    <t>OSJXFKT</t>
  </si>
  <si>
    <t>OSJXFK</t>
  </si>
  <si>
    <t>OTACEJT</t>
  </si>
  <si>
    <t>OTACEJ</t>
  </si>
  <si>
    <t>QHUXOS</t>
  </si>
  <si>
    <t>GOMEZ JORDAN/MATEO</t>
  </si>
  <si>
    <t>Karen Aparecida Ferreira</t>
  </si>
  <si>
    <t>Honeywell</t>
  </si>
  <si>
    <t>KTWYDMT</t>
  </si>
  <si>
    <t>GUALBINO/DANILO EDSON MR</t>
  </si>
  <si>
    <t>KTWYDM</t>
  </si>
  <si>
    <t>QLVOIKT</t>
  </si>
  <si>
    <t>SALLES SR/ELVIS CARLOS DE SOUSA MR</t>
  </si>
  <si>
    <t>Eliane da Silva Souza Paula</t>
  </si>
  <si>
    <t>QLVOIK</t>
  </si>
  <si>
    <t>Essex Hornets Brazil Ltda.</t>
  </si>
  <si>
    <t>IRMFBJC</t>
  </si>
  <si>
    <t>ROCHA/CLEBER DOS SANTOS SIR</t>
  </si>
  <si>
    <t>IRMFBJ</t>
  </si>
  <si>
    <t>FLN</t>
  </si>
  <si>
    <t>Honeywell Industria de Tecnologia - Itajuba - Mg</t>
  </si>
  <si>
    <t>OOEHUN</t>
  </si>
  <si>
    <t>VIEIRA AGUIAR/LETICIA</t>
  </si>
  <si>
    <t>Falta informar o status no trecho da accounting aérea (Bilhete: 2971612570)</t>
  </si>
  <si>
    <t>SIRVJQ</t>
  </si>
  <si>
    <t>LOUZAVIO/WILLIAN GUERRA</t>
  </si>
  <si>
    <t>CKJQDBC</t>
  </si>
  <si>
    <t>FALASQUI/LUIS EDUARDO MR</t>
  </si>
  <si>
    <t>CKJQDB</t>
  </si>
  <si>
    <t>MAO</t>
  </si>
  <si>
    <t>OKPGEAT</t>
  </si>
  <si>
    <t>AGUIAR/DORIVALDO GONCALVES</t>
  </si>
  <si>
    <t>OKPGEA</t>
  </si>
  <si>
    <t>YIHDQEC</t>
  </si>
  <si>
    <t>SANTOS/AILTON RIBEIRO DOS MR</t>
  </si>
  <si>
    <t>YIHDQE</t>
  </si>
  <si>
    <t>CWB</t>
  </si>
  <si>
    <t>KYNHEFC</t>
  </si>
  <si>
    <t>SANTOS I/PATRICIA MS</t>
  </si>
  <si>
    <t>KYNHEF</t>
  </si>
  <si>
    <t>GRU</t>
  </si>
  <si>
    <t>ISLQTUC</t>
  </si>
  <si>
    <t>ISLQTU</t>
  </si>
  <si>
    <t>FOR</t>
  </si>
  <si>
    <t>CURRLRT</t>
  </si>
  <si>
    <t>MONTEALEGRE/MATEO MR</t>
  </si>
  <si>
    <t>CURRLR</t>
  </si>
  <si>
    <t>YQFUMC</t>
  </si>
  <si>
    <t>GRACE CHINEN HIGA</t>
  </si>
  <si>
    <t>Gover</t>
  </si>
  <si>
    <t>Rps</t>
  </si>
  <si>
    <t>Reserva importada do sistema Gover. Id: 4575595</t>
  </si>
  <si>
    <t>8914890/6016184" possui uma transação de cartão efetivada</t>
  </si>
  <si>
    <t>Financeiro Conciliado</t>
  </si>
  <si>
    <t>Processo Operacional</t>
  </si>
  <si>
    <t>ADRIANA BRENTANO</t>
  </si>
  <si>
    <t>Pra</t>
  </si>
  <si>
    <t>Cozzy Suites Paraiso Hotel</t>
  </si>
  <si>
    <t>Reserva importada do sistema Gover. Id: 4401013</t>
  </si>
  <si>
    <t>FLÁVIA VAZ DE SOUZA</t>
  </si>
  <si>
    <t>Pagamento direto</t>
  </si>
  <si>
    <t>Travel Inn Wise Indaiatuba</t>
  </si>
  <si>
    <t>Reserva importada do sistema Gover. Id: 4579588</t>
  </si>
  <si>
    <t>VIVIANE ANDRADE</t>
  </si>
  <si>
    <t>Hilton Garden Inn Sao Jose do Rio Preto</t>
  </si>
  <si>
    <t>Reserva importada do sistema Gover. Id: 4579900</t>
  </si>
  <si>
    <t>WMDZHS</t>
  </si>
  <si>
    <t>MENDONCA/FELIPE</t>
  </si>
  <si>
    <t>Jti Distribuidora - Sao Paulo - Vila Nova Conceicao</t>
  </si>
  <si>
    <t>Swiss</t>
  </si>
  <si>
    <t>FCM-OPE-SAO-PVI-JTI</t>
  </si>
  <si>
    <t>5GF308</t>
  </si>
  <si>
    <t>CLAY REGAZZONNI TELES</t>
  </si>
  <si>
    <t>Salvador / SSA</t>
  </si>
  <si>
    <t>Mars Brasil - Mogi Mirim</t>
  </si>
  <si>
    <t>Reserva importada do Sistema TMS. OS: 8053</t>
  </si>
  <si>
    <t>5GT3MK</t>
  </si>
  <si>
    <t>CLARA BARIN</t>
  </si>
  <si>
    <t>Joinville / JOI</t>
  </si>
  <si>
    <t>Reserva importada do Sistema TMS. OS: 8046</t>
  </si>
  <si>
    <t>5GUDBK</t>
  </si>
  <si>
    <t>NATALIA FARIA</t>
  </si>
  <si>
    <t>Campinas / VCP</t>
  </si>
  <si>
    <t>Mars Brasil - Guararema</t>
  </si>
  <si>
    <t>Reserva importada do Sistema TMS. OS: 8030</t>
  </si>
  <si>
    <t>5G87VI</t>
  </si>
  <si>
    <t>FERNANDA DOS SANTOS PISKE</t>
  </si>
  <si>
    <t>Ana Cristina Neto de Almeida</t>
  </si>
  <si>
    <t>Youcom</t>
  </si>
  <si>
    <t>Reserva importada do Sistema Lemontech. Solicitação: 17272386</t>
  </si>
  <si>
    <t>5GPI4I</t>
  </si>
  <si>
    <t>5GP8CK</t>
  </si>
  <si>
    <t>CAMPOS/LEANDRO</t>
  </si>
  <si>
    <t>Vitoria Silva Lopes</t>
  </si>
  <si>
    <t>Lojas Renner</t>
  </si>
  <si>
    <t>Reserva importada do Sistema Lemontech. Solicitação: 17269714</t>
  </si>
  <si>
    <t>5G4IWK</t>
  </si>
  <si>
    <t>LUIS GUSTAVO MARQUES SERAFIM</t>
  </si>
  <si>
    <t>Reserva importada do Sistema Lemontech. Solicitação: 17262512</t>
  </si>
  <si>
    <t>5GT828</t>
  </si>
  <si>
    <t>5G1W8U</t>
  </si>
  <si>
    <t>HARUMI BARRANCO/ANA</t>
  </si>
  <si>
    <t>Reserva importada do Sistema Lemontech. Solicitação: 17244126</t>
  </si>
  <si>
    <t>5GT5UY</t>
  </si>
  <si>
    <t>STEIN/BRUNA</t>
  </si>
  <si>
    <t>Reserva importada do Sistema Lemontech. Solicitação: 17222446</t>
  </si>
  <si>
    <t>5G0YJH</t>
  </si>
  <si>
    <t>DE CARVALHO/DANIEL</t>
  </si>
  <si>
    <t>Reserva importada do Sistema Lemontech. Solicitação: 17244115</t>
  </si>
  <si>
    <t>5GA7UH</t>
  </si>
  <si>
    <t>MARTINS DOS SANTOS/DANIEL</t>
  </si>
  <si>
    <t>Daniel Luis Soares</t>
  </si>
  <si>
    <t>Reserva importada do Sistema Lemontech. Solicitação: 17260897</t>
  </si>
  <si>
    <t>5GA8DK</t>
  </si>
  <si>
    <t>CINTHIA HIDALGO MOLINA</t>
  </si>
  <si>
    <t>Reserva importada do Sistema Lemontech. Solicitação: 17270685</t>
  </si>
  <si>
    <t>5GKVJU</t>
  </si>
  <si>
    <t>ELIDIANE WITKOSKI</t>
  </si>
  <si>
    <t>Reserva importada do Sistema Lemontech. Solicitação: 17258829</t>
  </si>
  <si>
    <t>5GLV77</t>
  </si>
  <si>
    <t>5G0TJ7</t>
  </si>
  <si>
    <t>OLIVEIRA DUCHINI/HANNY</t>
  </si>
  <si>
    <t>Hiran Ricardo da Silva Ramos</t>
  </si>
  <si>
    <t>Reserva importada do Sistema Lemontech. Solicitação: 17259517</t>
  </si>
  <si>
    <t>5GNVCI</t>
  </si>
  <si>
    <t>TIEZZI/LUIZA</t>
  </si>
  <si>
    <t>Reserva importada do Sistema Lemontech. Solicitação: 17231468</t>
  </si>
  <si>
    <t>5G6IRI</t>
  </si>
  <si>
    <t>DE MORAES/GABRIELA</t>
  </si>
  <si>
    <t>Reserva importada do Sistema Lemontech. Solicitação: 17275152</t>
  </si>
  <si>
    <t>5G7KRK</t>
  </si>
  <si>
    <t>GIMENEZ/ANDERSON</t>
  </si>
  <si>
    <t>Reserva importada do Sistema Lemontech. Solicitação: 17275213</t>
  </si>
  <si>
    <t>5G8K4I</t>
  </si>
  <si>
    <t>DE ARAUJO/GABRIELA</t>
  </si>
  <si>
    <t>Reserva importada do Sistema Lemontech. Solicitação: 17275239</t>
  </si>
  <si>
    <t>5GNI4K</t>
  </si>
  <si>
    <t>DE OLIVEIRA/THAIS</t>
  </si>
  <si>
    <t>Reserva importada do Sistema Lemontech. Solicitação: 17275278</t>
  </si>
  <si>
    <t>5G0LVK</t>
  </si>
  <si>
    <t>POKORSKI/LUCAS</t>
  </si>
  <si>
    <t>Reserva importada do Sistema Lemontech. Solicitação: 17275319</t>
  </si>
  <si>
    <t>5GG6U6</t>
  </si>
  <si>
    <t>DE OLIVEIRA/ANA</t>
  </si>
  <si>
    <t>Reserva importada do Sistema Lemontech. Solicitação: 17259081</t>
  </si>
  <si>
    <t>5GVQMH</t>
  </si>
  <si>
    <t>SCHULTZ RODRIGUES/CAROLINE</t>
  </si>
  <si>
    <t>Reserva importada do Sistema Lemontech. Solicitação: 17221532</t>
  </si>
  <si>
    <t>5GIA0H</t>
  </si>
  <si>
    <t>DA SILVA/MARCIA</t>
  </si>
  <si>
    <t>Reserva importada do Sistema Lemontech. Solicitação: 17248713</t>
  </si>
  <si>
    <t>5G9Z0G</t>
  </si>
  <si>
    <t>SUKIENNIK/ALICE</t>
  </si>
  <si>
    <t>Reserva importada do Sistema Lemontech. Solicitação: 17248123</t>
  </si>
  <si>
    <t>5GFMZH</t>
  </si>
  <si>
    <t>DE OLIVEIRA/JANETE</t>
  </si>
  <si>
    <t>Reserva importada do Sistema Lemontech. Solicitação: 17255625</t>
  </si>
  <si>
    <t>5G0KWV</t>
  </si>
  <si>
    <t>MELLO DAMBROS/KAREN</t>
  </si>
  <si>
    <t>Reserva importada do Sistema Lemontech. Solicitação: 17130921</t>
  </si>
  <si>
    <t>5FNFJX</t>
  </si>
  <si>
    <t>MORASTONI/SHARI</t>
  </si>
  <si>
    <t>Reserva importada do Sistema Lemontech. Solicitação: 17088272</t>
  </si>
  <si>
    <t>5F11EU</t>
  </si>
  <si>
    <t>PEDOT/RENAN</t>
  </si>
  <si>
    <t>Reserva importada do Sistema Lemontech. Solicitação: 17072029</t>
  </si>
  <si>
    <t>5FXADU</t>
  </si>
  <si>
    <t>Reserva importada do Sistema Lemontech. Solicitação: 17072037</t>
  </si>
  <si>
    <t>5GETBV</t>
  </si>
  <si>
    <t>VIEIRA FERNANDES/LILIAM</t>
  </si>
  <si>
    <t>Ronaldo Pereira Muzel</t>
  </si>
  <si>
    <t>Reserva importada do Sistema Lemontech. Solicitação: 17240154</t>
  </si>
  <si>
    <t>5G4X67</t>
  </si>
  <si>
    <t>PAULO HENRIQUE RIBEIRO</t>
  </si>
  <si>
    <t>Track e Field Co Sa Matriz</t>
  </si>
  <si>
    <t>Reserva importada do Sistema TMS. OS: 5010</t>
  </si>
  <si>
    <t>5FTDL7</t>
  </si>
  <si>
    <t>RAFAEL YANES SOARES</t>
  </si>
  <si>
    <t>Tfsports Eventos Esportivos Ltda</t>
  </si>
  <si>
    <t>Hf Fenix Lisboa</t>
  </si>
  <si>
    <t>Reserva importada do Sistema TMS. OS: 296</t>
  </si>
  <si>
    <t xml:space="preserve">Não foi possível encontrar um contrato válido para o fornecedor 64482 (Código fornecedor) </t>
  </si>
  <si>
    <t>4U61T7.F</t>
  </si>
  <si>
    <t>5GJB9K</t>
  </si>
  <si>
    <t>THIAGO LARA</t>
  </si>
  <si>
    <t>Reserva importada do Sistema TMS. OS: 586</t>
  </si>
  <si>
    <t>5GKMLI</t>
  </si>
  <si>
    <t>FLAVIA MORGADO</t>
  </si>
  <si>
    <t>Reserva importada do Sistema TMS. OS: 585</t>
  </si>
  <si>
    <t>5FBVWK</t>
  </si>
  <si>
    <t>CATIA BAZARIN</t>
  </si>
  <si>
    <t>Claudia Lucia Stella</t>
  </si>
  <si>
    <t>Epson</t>
  </si>
  <si>
    <t>Reserva importada do Sistema TMS. OS: 3457</t>
  </si>
  <si>
    <t>5G6S0U</t>
  </si>
  <si>
    <t>MILENA CRISTINA</t>
  </si>
  <si>
    <t>Reserva importada do Sistema TMS. OS: 3513</t>
  </si>
  <si>
    <t>5GQWPK</t>
  </si>
  <si>
    <t>RICARDO COLLAZO</t>
  </si>
  <si>
    <t>Confins / CNF</t>
  </si>
  <si>
    <t>Reserva importada do Sistema TMS. OS: 3526</t>
  </si>
  <si>
    <t>5G1LAL</t>
  </si>
  <si>
    <t>Rocha/Bernardo</t>
  </si>
  <si>
    <t>Henrique Batista Tolentino</t>
  </si>
  <si>
    <t>Banco Genial</t>
  </si>
  <si>
    <t>Reserva importada do Sistema TMS. OS: 915</t>
  </si>
  <si>
    <t>Tarifa mínima não preenchida! (ACC01) Tarifa máxima não preenchida! (ACC01)</t>
  </si>
  <si>
    <t>5GPZPM</t>
  </si>
  <si>
    <t>FILIPE LEMOS</t>
  </si>
  <si>
    <t>Mariane Goncalves dos Santos</t>
  </si>
  <si>
    <t>Airbus</t>
  </si>
  <si>
    <t>Reserva importada do Sistema TMS. OS: 3425</t>
  </si>
  <si>
    <t>FPQBCM</t>
  </si>
  <si>
    <t>SARYANE PALLADINO ABREU</t>
  </si>
  <si>
    <t>Raissa Iorio Cestari</t>
  </si>
  <si>
    <t>Ultragaz-matriz</t>
  </si>
  <si>
    <t>Reserva importada do Sistema TMS. OS: 74525</t>
  </si>
  <si>
    <t>5GQ5HU</t>
  </si>
  <si>
    <t>CLEUTON DA SILVA</t>
  </si>
  <si>
    <t>Bahiana Distribuidora de Gas</t>
  </si>
  <si>
    <t>Reserva importada do Sistema TMS. OS: 76695</t>
  </si>
  <si>
    <t>5G5HOI</t>
  </si>
  <si>
    <t>MIQUEIAS SILVA COUTINHO</t>
  </si>
  <si>
    <t xml:space="preserve">Luís Eduardo Magalhães /    </t>
  </si>
  <si>
    <t>Reserva importada do Sistema TMS. OS: 76934</t>
  </si>
  <si>
    <t>5G6THU</t>
  </si>
  <si>
    <t>ADILSON ADILSON ALERICO</t>
  </si>
  <si>
    <t>Jessica Soares Teixeira</t>
  </si>
  <si>
    <t>Reserva importada do Sistema TMS. OS: 76595</t>
  </si>
  <si>
    <t>5GCD37</t>
  </si>
  <si>
    <t>ANDREYA KARINE SAMPAIO PINHEIRO</t>
  </si>
  <si>
    <t>Reserva importada do Sistema TMS. OS: 76562</t>
  </si>
  <si>
    <t>5G6GID</t>
  </si>
  <si>
    <t>ED CARLOS FRANCISCO</t>
  </si>
  <si>
    <t>Reserva importada do Sistema TMS. OS: 76303</t>
  </si>
  <si>
    <t>5G75I3</t>
  </si>
  <si>
    <t>RAFAEL DE SOUSA COSTA</t>
  </si>
  <si>
    <t>Reserva importada do Sistema TMS. OS: 76302</t>
  </si>
  <si>
    <t>5GBLF6</t>
  </si>
  <si>
    <t>HUGO DA SILVA</t>
  </si>
  <si>
    <t>Reserva importada do Sistema TMS. OS: 76560</t>
  </si>
  <si>
    <t>5FSVRY</t>
  </si>
  <si>
    <t>KAMILA OSOWSKI TOMAZI</t>
  </si>
  <si>
    <t>Palhoca / FLN</t>
  </si>
  <si>
    <t>Reserva importada do Sistema TMS. OS: 75692</t>
  </si>
  <si>
    <t>5EYH75</t>
  </si>
  <si>
    <t>CARLOS VINICIUS SALLES COSTA</t>
  </si>
  <si>
    <t>Reserva importada do Sistema TMS. OS: 74580</t>
  </si>
  <si>
    <t>5G105M</t>
  </si>
  <si>
    <t>Reserva importada do Sistema TMS. OS: 76097</t>
  </si>
  <si>
    <t>5G7WGM</t>
  </si>
  <si>
    <t>VICTOR DE OLIVEIRA</t>
  </si>
  <si>
    <t>Reserva importada do Sistema TMS. OS: 75930</t>
  </si>
  <si>
    <t>5GPJNT</t>
  </si>
  <si>
    <t>RAFAEL SOARES REIS</t>
  </si>
  <si>
    <t>Pousada Pau Brasil</t>
  </si>
  <si>
    <t>Reserva importada do Sistema TMS. OS: 76619</t>
  </si>
  <si>
    <t xml:space="preserve">Não foi possível encontrar um contrato válido para o fornecedor 24948 (Código fornecedor) </t>
  </si>
  <si>
    <t>5GDV37</t>
  </si>
  <si>
    <t>FABRICIO FABRICIO MACIEL</t>
  </si>
  <si>
    <t>Isabela de Melo da Silva</t>
  </si>
  <si>
    <t>Reserva importada do Sistema TMS. OS: 76305</t>
  </si>
  <si>
    <t>5G8PPN</t>
  </si>
  <si>
    <t>HENRIQUE DONAIRE SERTORIO</t>
  </si>
  <si>
    <t>Maria Gabriela Stella Azevedo Neves</t>
  </si>
  <si>
    <t>Reserva importada do Sistema TMS. OS: 76090</t>
  </si>
  <si>
    <t>5F8FVO</t>
  </si>
  <si>
    <t>AELIO GOMES REGO</t>
  </si>
  <si>
    <t>Tamara Michels Behn</t>
  </si>
  <si>
    <t>Reserva importada do Sistema TMS. OS: 75571</t>
  </si>
  <si>
    <t>5FQTV2</t>
  </si>
  <si>
    <t>FERNANDO OLIVEIRA CORREA</t>
  </si>
  <si>
    <t>Reserva importada do Sistema TMS. OS: 75371</t>
  </si>
  <si>
    <t>5GS5K3</t>
  </si>
  <si>
    <t>NILSON CESAR MONTEIRO NOGUEIRA</t>
  </si>
  <si>
    <t>Reserva importada do Sistema TMS. OS: 76308</t>
  </si>
  <si>
    <t>5GEG8D</t>
  </si>
  <si>
    <t>MAURICIO CESAR LADEIRA</t>
  </si>
  <si>
    <t>Reserva importada do Sistema TMS. OS: 76307</t>
  </si>
  <si>
    <t>5GVQEX</t>
  </si>
  <si>
    <t>NEIMAR DOS SANTOS</t>
  </si>
  <si>
    <t>Reserva importada do Sistema TMS. OS: 76179</t>
  </si>
  <si>
    <t>5GF25B</t>
  </si>
  <si>
    <t>Reserva importada do Sistema TMS. OS: 75959</t>
  </si>
  <si>
    <t>5GBQZW</t>
  </si>
  <si>
    <t>WAGNER DA CONCEICAO</t>
  </si>
  <si>
    <t>Reserva importada do Sistema TMS. OS: 76060</t>
  </si>
  <si>
    <t>5GG7AK</t>
  </si>
  <si>
    <t>YURI LIRA</t>
  </si>
  <si>
    <t>Vitoria / VIX</t>
  </si>
  <si>
    <t>Reserva importada do Sistema TMS. OS: 76933</t>
  </si>
  <si>
    <t>HWCKYB</t>
  </si>
  <si>
    <t>PATRICIA BURRIDGE</t>
  </si>
  <si>
    <t>SAMANTHA OLIVEIRA NASCIMENTO</t>
  </si>
  <si>
    <t>Deloitte Consultores - Sao Paulo</t>
  </si>
  <si>
    <t>Air Canada</t>
  </si>
  <si>
    <t>Reserva importada do Sistema TMS. OS: 110903</t>
  </si>
  <si>
    <t>Verificação de bilhetes: Bilhete 2971622195 já sendo utilizado para este fornecedor.</t>
  </si>
  <si>
    <t>NRAHJB</t>
  </si>
  <si>
    <t>CELSO GIULITO JUNIOR</t>
  </si>
  <si>
    <t>Deloitte Assessoria - Sao Paulo</t>
  </si>
  <si>
    <t>Reserva importada do Sistema TMS. OS: 111225</t>
  </si>
  <si>
    <t>Autorização do cartão da forma de pagamento não preenchida! (ACC01) Autorização do cartão da forma de recebimento não preenchida! (ACC01)</t>
  </si>
  <si>
    <t>SIJHIT</t>
  </si>
  <si>
    <t>ILVANIR CASTRO</t>
  </si>
  <si>
    <t>Deloitte Operate Services</t>
  </si>
  <si>
    <t>Alitalia</t>
  </si>
  <si>
    <t>Reserva importada do Sistema TMS. OS: 111161</t>
  </si>
  <si>
    <t>5EQI8Y</t>
  </si>
  <si>
    <t>ROGERIO PANESSA</t>
  </si>
  <si>
    <t>Catia Leite Oliveira</t>
  </si>
  <si>
    <t>Deloitte Outsourcing - Sao Paulo</t>
  </si>
  <si>
    <t>Hyatt Place San Jose Downtown</t>
  </si>
  <si>
    <t>Reserva importada do Sistema TMS. OS: 109945</t>
  </si>
  <si>
    <t xml:space="preserve">Não foi possível encontrar um contrato válido para o fornecedor 52355 (Código fornecedor) </t>
  </si>
  <si>
    <t>5EVKI6</t>
  </si>
  <si>
    <t>Reserva importada do Sistema TMS. OS: 109907</t>
  </si>
  <si>
    <t>5G9Y68</t>
  </si>
  <si>
    <t>FABIO LEITE</t>
  </si>
  <si>
    <t>Adriana Dias de Grano</t>
  </si>
  <si>
    <t>Manaus / AM, Brasil (MAO)</t>
  </si>
  <si>
    <t>Reserva importada do Sistema TMS. OS: 111088</t>
  </si>
  <si>
    <t>5FH818</t>
  </si>
  <si>
    <t>RAISSA COSTA</t>
  </si>
  <si>
    <t>Deloitte Consultores - Recife</t>
  </si>
  <si>
    <t>Charlie Nyc Berrini Residence - Inativo</t>
  </si>
  <si>
    <t>Reserva importada do Sistema TMS. OS: 110580</t>
  </si>
  <si>
    <t xml:space="preserve">Não foi possível encontrar um contrato válido para o fornecedor 52307 (Código fornecedor) </t>
  </si>
  <si>
    <t>5ENU9L</t>
  </si>
  <si>
    <t>DANIEL RODRIGUES</t>
  </si>
  <si>
    <t>Reserva importada do Sistema TMS. OS: 110165</t>
  </si>
  <si>
    <t>5F5RKE</t>
  </si>
  <si>
    <t>NATALIA ALICE BASSO CANDIDO</t>
  </si>
  <si>
    <t>Htb Engenharia e Construcao</t>
  </si>
  <si>
    <t>Itamarati Hotel</t>
  </si>
  <si>
    <t>Reserva importada do Sistema TMS. OS: 45950</t>
  </si>
  <si>
    <t xml:space="preserve">Não foi possível encontrar um contrato válido para o fornecedor 67595 (Código fornecedor) </t>
  </si>
  <si>
    <t>5G027I</t>
  </si>
  <si>
    <t>MARIENNE COUTINHO</t>
  </si>
  <si>
    <t>Viviane Novaes Araujo</t>
  </si>
  <si>
    <t>Kpmg</t>
  </si>
  <si>
    <t>Reserva importada do Sistema TMS. OS: 226069</t>
  </si>
  <si>
    <t>5G14JK</t>
  </si>
  <si>
    <t>ANA SILVA</t>
  </si>
  <si>
    <t>Reserva importada do Sistema TMS. OS: 225948</t>
  </si>
  <si>
    <t>5GEVJI</t>
  </si>
  <si>
    <t>CAUE GREGORES</t>
  </si>
  <si>
    <t>Reserva importada do Sistema TMS. OS: 225941</t>
  </si>
  <si>
    <t>5GGR78</t>
  </si>
  <si>
    <t>FELIPE CATHARINO</t>
  </si>
  <si>
    <t>Reserva importada do Sistema TMS. OS: 225935</t>
  </si>
  <si>
    <t>5GJVJK</t>
  </si>
  <si>
    <t>DINO ALMEIDA</t>
  </si>
  <si>
    <t>Reserva importada do Sistema TMS. OS: 225934</t>
  </si>
  <si>
    <t>5GJ7IY</t>
  </si>
  <si>
    <t>THOMAS FIGUEIREDO</t>
  </si>
  <si>
    <t>Kpmg Consultoria</t>
  </si>
  <si>
    <t>Reserva importada do Sistema TMS. OS: 225640</t>
  </si>
  <si>
    <t>5GSKK6</t>
  </si>
  <si>
    <t>BEATRIZ CAMARGO</t>
  </si>
  <si>
    <t>Reserva importada do Sistema TMS. OS: 225639</t>
  </si>
  <si>
    <t>5G5V8H</t>
  </si>
  <si>
    <t>PAOLA RIGO</t>
  </si>
  <si>
    <t>Reserva importada do Sistema TMS. OS: 225701</t>
  </si>
  <si>
    <t>5G7RIH</t>
  </si>
  <si>
    <t>5GQ721</t>
  </si>
  <si>
    <t>RICARDO ANTUNES</t>
  </si>
  <si>
    <t>Robson Amaro Santos da Silva</t>
  </si>
  <si>
    <t>Kpmg Assessores</t>
  </si>
  <si>
    <t>Reserva importada do Sistema TMS. OS: 224777</t>
  </si>
  <si>
    <t>5GV6FZ</t>
  </si>
  <si>
    <t>MARIA SILVA</t>
  </si>
  <si>
    <t>Reserva importada do Sistema TMS. OS: 224772</t>
  </si>
  <si>
    <t>5G56FZ</t>
  </si>
  <si>
    <t>FERNANDA FARIA</t>
  </si>
  <si>
    <t>Reserva importada do Sistema TMS. OS: 224770</t>
  </si>
  <si>
    <t>5GCY86</t>
  </si>
  <si>
    <t>VANUSA SOUZA</t>
  </si>
  <si>
    <t>Valeria Bottino da Silva</t>
  </si>
  <si>
    <t>Reserva importada do Sistema TMS. OS: 225661</t>
  </si>
  <si>
    <t>BFY8PY</t>
  </si>
  <si>
    <t>FLAVIO OLIVEIRA</t>
  </si>
  <si>
    <t>Reserva importada do Sistema TMS. OS: 225647</t>
  </si>
  <si>
    <t>5FAIHL</t>
  </si>
  <si>
    <t>FABIO GOULARTE</t>
  </si>
  <si>
    <t>Mirante Hotel</t>
  </si>
  <si>
    <t>Reserva importada do Sistema TMS. OS: 224403</t>
  </si>
  <si>
    <t>5G0NIH</t>
  </si>
  <si>
    <t>CAIO NOLASCO</t>
  </si>
  <si>
    <t>Donizete Alves de Souza</t>
  </si>
  <si>
    <t>Reserva importada do Sistema TMS. OS: 225613</t>
  </si>
  <si>
    <t>5GCOK6</t>
  </si>
  <si>
    <t>OCGMIA1</t>
  </si>
  <si>
    <t>DANIEL CIFU</t>
  </si>
  <si>
    <t>Kpmg Structured</t>
  </si>
  <si>
    <t>Reserva importada do Sistema TMS. OS: 224799</t>
  </si>
  <si>
    <t>Verificação de bilhetes: Bilhete 2971569341 já sendo utilizado para este fornecedor.</t>
  </si>
  <si>
    <t>5GZU1D</t>
  </si>
  <si>
    <t>ELIANE ALMEIDA</t>
  </si>
  <si>
    <t>Reserva importada do Sistema TMS. OS: 225008</t>
  </si>
  <si>
    <t>5FKQ75</t>
  </si>
  <si>
    <t>PIYALI CHAUDHURY</t>
  </si>
  <si>
    <t>Reserva importada do Sistema TMS. OS: 223634</t>
  </si>
  <si>
    <t>5G2S86</t>
  </si>
  <si>
    <t>ADLER WOCZIKOSKY</t>
  </si>
  <si>
    <t>Tuane Cristina Alves de Oliveira</t>
  </si>
  <si>
    <t>Fcam</t>
  </si>
  <si>
    <t>Reserva importada do Sistema TMS. OS: 225774</t>
  </si>
  <si>
    <t>5G9TUK</t>
  </si>
  <si>
    <t>HERCULES SILVA</t>
  </si>
  <si>
    <t>Porto Alegre / RS, Brasil (POA)</t>
  </si>
  <si>
    <t>Reserva importada do Sistema TMS. OS: 225851</t>
  </si>
  <si>
    <t>5G0HUI</t>
  </si>
  <si>
    <t>RODRIGO MONTEIRO</t>
  </si>
  <si>
    <t>Reserva importada do Sistema TMS. OS: 225848</t>
  </si>
  <si>
    <t>5GS3J8</t>
  </si>
  <si>
    <t>Coutinho/Marienne</t>
  </si>
  <si>
    <t>Reserva importada do Sistema TMS. OS: 225994</t>
  </si>
  <si>
    <t>5G94XN</t>
  </si>
  <si>
    <t>Reserva importada do Sistema TMS. OS: 226080</t>
  </si>
  <si>
    <t>UCODINC</t>
  </si>
  <si>
    <t>BARROS/JONATHAN COSTA MR</t>
  </si>
  <si>
    <t>UCODIN</t>
  </si>
  <si>
    <t>Innomotics Motores e Grandes Conversores Ltda</t>
  </si>
  <si>
    <t>YMVBVG</t>
  </si>
  <si>
    <t>GOMES DA MATA/FELIPE SIR</t>
  </si>
  <si>
    <t>Tarifa mínima não preenchida! (ACC01)</t>
  </si>
  <si>
    <t>MGJKWB</t>
  </si>
  <si>
    <t>Fernando Guilhem Silva</t>
  </si>
  <si>
    <t>Juliana dos Santos Pinto</t>
  </si>
  <si>
    <t>Reserva importada do sistema Gover. Id: 4575654</t>
  </si>
  <si>
    <t>OTZHIV</t>
  </si>
  <si>
    <t>SANTOS/WALLACE EDUARDO DOS</t>
  </si>
  <si>
    <t>Ctp - Planta Curitiba</t>
  </si>
  <si>
    <t>Verificação de bilhetes: Bilhete 2971604084 já sendo utilizado para este fornecedor.</t>
  </si>
  <si>
    <t>NVVNND</t>
  </si>
  <si>
    <t>ALVARENGA/ERIC COLPAERT DE</t>
  </si>
  <si>
    <t>Robert Bosch Limitada - 908a</t>
  </si>
  <si>
    <t>Verificação de bilhetes: Bilhete 2971592825 já sendo utilizado para este fornecedor.</t>
  </si>
  <si>
    <t>SOJZDC</t>
  </si>
  <si>
    <t>SANDEOVITH/JOAO ANTONIO DO AM</t>
  </si>
  <si>
    <t>Cap1 - Planta Campinas Bosch - 9080</t>
  </si>
  <si>
    <t>Lufthansa</t>
  </si>
  <si>
    <t>Verificação de bilhetes: Bilhete 2971604113 já sendo utilizado para este fornecedor.</t>
  </si>
  <si>
    <t>CTTKUN</t>
  </si>
  <si>
    <t>SOUZA/LEANDRO BARCELLOS DE</t>
  </si>
  <si>
    <t>Delta</t>
  </si>
  <si>
    <t>Verificação de bilhetes: Bilhete 2971604104 já sendo utilizado para este fornecedor.</t>
  </si>
  <si>
    <t>UKMXNR</t>
  </si>
  <si>
    <t>CARRAU JIMENEZ/AGUSTIN</t>
  </si>
  <si>
    <t>Robert Bosch Limitada - 9085</t>
  </si>
  <si>
    <t>Verificação de bilhetes: Bilhete 2971604118 já sendo utilizado para este fornecedor.</t>
  </si>
  <si>
    <t>LXVCAG</t>
  </si>
  <si>
    <t>SIMOES/STEFFANY MILAN</t>
  </si>
  <si>
    <t>Jvl - Planta Joinville</t>
  </si>
  <si>
    <t>Verificação de bilhetes: Bilhete 2971604119 já sendo utilizado para este fornecedor.</t>
  </si>
  <si>
    <t>WRPRWL</t>
  </si>
  <si>
    <t>ALMEIDA/BEATRIZ DIOGO DE</t>
  </si>
  <si>
    <t>Verificação de bilhetes: Bilhete 2971604121 já sendo utilizado para este fornecedor.</t>
  </si>
  <si>
    <t>KDZKNK</t>
  </si>
  <si>
    <t>ALENCAR/NICOLAS NOGUEIRA</t>
  </si>
  <si>
    <t>Robert Bosch Limitada - 9087</t>
  </si>
  <si>
    <t>Verificação de bilhetes: Bilhete 2971604123 já sendo utilizado para este fornecedor.</t>
  </si>
  <si>
    <t>FSGFVQ</t>
  </si>
  <si>
    <t>Verificação de bilhetes: Bilhete 2971604117 já sendo utilizado para este fornecedor.</t>
  </si>
  <si>
    <t>NFZQFY</t>
  </si>
  <si>
    <t>Air Europa</t>
  </si>
  <si>
    <t>Verificação de bilhetes: Bilhete 2952816576 já sendo utilizado para este fornecedor.</t>
  </si>
  <si>
    <t>URMYWF</t>
  </si>
  <si>
    <t>BLASQUEZ/DIEGO DOS SANTOS</t>
  </si>
  <si>
    <t>Verificação de bilhetes: Bilhete 2971604102 já sendo utilizado para este fornecedor.</t>
  </si>
  <si>
    <t>FAOGOE</t>
  </si>
  <si>
    <t>SILVESTRIN/VITOR</t>
  </si>
  <si>
    <t>Verificação de bilhetes: Bilhete 2971604101 já sendo utilizado para este fornecedor.</t>
  </si>
  <si>
    <t>UXFZDX</t>
  </si>
  <si>
    <t>CECCON/EMANUEL VITOR</t>
  </si>
  <si>
    <t>Verificação de bilhetes: Bilhete 2971604088 já sendo utilizado para este fornecedor.</t>
  </si>
  <si>
    <t>ABUINN</t>
  </si>
  <si>
    <t>Turkish Airlines</t>
  </si>
  <si>
    <t>Verificação de bilhetes: Bilhete 2971604086 já sendo utilizado para este fornecedor.</t>
  </si>
  <si>
    <t>AEOQJY</t>
  </si>
  <si>
    <t>CAETANO/HELENE GUERSONI DE LI</t>
  </si>
  <si>
    <t>Verificação de bilhetes: Bilhete 2971604125 já sendo utilizado para este fornecedor.</t>
  </si>
  <si>
    <t>KJMHCX</t>
  </si>
  <si>
    <t>MAI/ARTHUR HENRIQUE GIACOMETT</t>
  </si>
  <si>
    <t>United</t>
  </si>
  <si>
    <t>Verificação de bilhetes: Bilhete 2971604124 já sendo utilizado para este fornecedor.</t>
  </si>
  <si>
    <t>UYWLCN</t>
  </si>
  <si>
    <t>SUDANO/MARCOS VINICIUS</t>
  </si>
  <si>
    <t>Eurowings</t>
  </si>
  <si>
    <t>Verificação de bilhetes: Bilhete 2971604145 já sendo utilizado para este fornecedor.</t>
  </si>
  <si>
    <t>UZZPZR</t>
  </si>
  <si>
    <t>FERRARO BASTOS/EDUARDO</t>
  </si>
  <si>
    <t>Verificação de bilhetes: Bilhete 2971604143 já sendo utilizado para este fornecedor.</t>
  </si>
  <si>
    <t>ICEKOG</t>
  </si>
  <si>
    <t>SAMPAIO/RAFAEL COSTA</t>
  </si>
  <si>
    <t>Air France</t>
  </si>
  <si>
    <t>Verificação de bilhetes: Bilhete 2971604148 já sendo utilizado para este fornecedor.</t>
  </si>
  <si>
    <t>UNWYXU</t>
  </si>
  <si>
    <t>Verificação de bilhetes: Bilhete 2971604147 já sendo utilizado para este fornecedor.</t>
  </si>
  <si>
    <t>IFSHTP</t>
  </si>
  <si>
    <t>Verificação de bilhetes: Bilhete 2971604144 já sendo utilizado para este fornecedor.</t>
  </si>
  <si>
    <t>UXRHTQ</t>
  </si>
  <si>
    <t>ALMEIDA/LAURA BATISTA RODRIGU</t>
  </si>
  <si>
    <t>Verificação de bilhetes: Bilhete 2971604146 já sendo utilizado para este fornecedor.</t>
  </si>
  <si>
    <t>YMJMGU</t>
  </si>
  <si>
    <t>MATTOS/LEONARDO LEITE DE</t>
  </si>
  <si>
    <t>IFRUUC</t>
  </si>
  <si>
    <t>Verificação de bilhetes: Bilhete 2971622753 já sendo utilizado para este fornecedor.</t>
  </si>
  <si>
    <t>861MLS</t>
  </si>
  <si>
    <t>PINHEIRO VAZ/DANILO</t>
  </si>
  <si>
    <t>Ernani Afranio dos Santos</t>
  </si>
  <si>
    <t>BO070825</t>
  </si>
  <si>
    <t>Johnson Controls Hitachi Ar Condicionado do Brasil Ltda</t>
  </si>
  <si>
    <t>Verificação de bilhetes: Bilhete 2971604111 já sendo utilizado para este fornecedor.</t>
  </si>
  <si>
    <t>MPHMWD</t>
  </si>
  <si>
    <t>OLIVEIRA/THIAGO MENEZES DE</t>
  </si>
  <si>
    <t>Tarifa máxima não preenchida! (ACC01)</t>
  </si>
  <si>
    <t>HLHVYE</t>
  </si>
  <si>
    <t>PUIG/TIAGO CARRIL</t>
  </si>
  <si>
    <t>MNTV7N</t>
  </si>
  <si>
    <t>Bosch Solucoes Integradas Brasil Ltda</t>
  </si>
  <si>
    <t>HCPHKQ</t>
  </si>
  <si>
    <t>VALERIO/MARCELO FIGUEIREDO</t>
  </si>
  <si>
    <t>AVXEAQ</t>
  </si>
  <si>
    <t>MWUGLA</t>
  </si>
  <si>
    <t>NORONHA/TIAGO RODRIGUES</t>
  </si>
  <si>
    <t>NMHTKL</t>
  </si>
  <si>
    <t>DSUOAG</t>
  </si>
  <si>
    <t>GALLO JUNIOR/ADEMAR</t>
  </si>
  <si>
    <t>BHVRVC</t>
  </si>
  <si>
    <t>OLKLCU</t>
  </si>
  <si>
    <t>CUNHA/CARLOS GUILHERME PORCIU</t>
  </si>
  <si>
    <t>Verificação de bilhetes: Bilhete 2952816561 já sendo utilizado para este fornecedor.</t>
  </si>
  <si>
    <t>WXYOVD</t>
  </si>
  <si>
    <t>BORER/FERNANDO</t>
  </si>
  <si>
    <t>Verificação de bilhetes: Bilhete 2952816552 já sendo utilizado para este fornecedor.</t>
  </si>
  <si>
    <t>HVRAEH</t>
  </si>
  <si>
    <t>SILVA/MARIA HELENA DA</t>
  </si>
  <si>
    <t>Verificação de bilhetes: Bilhete 2952816550 já sendo utilizado para este fornecedor.</t>
  </si>
  <si>
    <t>HSMRYQ</t>
  </si>
  <si>
    <t>NASCIMENTO/JANEIDE FERREIRA D</t>
  </si>
  <si>
    <t>Verificação de bilhetes: Bilhete 2971622849 já sendo utilizado para este fornecedor.</t>
  </si>
  <si>
    <t>AYFGVQ</t>
  </si>
  <si>
    <t>CRUZ/FELIPE ALBERTO BRESSANE</t>
  </si>
  <si>
    <t>Verificação de bilhetes: Bilhete 2971604094 já sendo utilizado para este fornecedor.</t>
  </si>
  <si>
    <t>LQPFKH</t>
  </si>
  <si>
    <t>QUEIROGA FILHO/ROBERTO HONORI</t>
  </si>
  <si>
    <t>Verificação de bilhetes: Bilhete 2971604112 já sendo utilizado para este fornecedor.</t>
  </si>
  <si>
    <t>KXIPTN</t>
  </si>
  <si>
    <t>MENDONCA/WESLEY DE MELO</t>
  </si>
  <si>
    <t>Verificação de bilhetes: Bilhete 2971622833 já sendo utilizado para este fornecedor.</t>
  </si>
  <si>
    <t>KUMXNW</t>
  </si>
  <si>
    <t>BELLETE/RAFAEL MAXIMIANO</t>
  </si>
  <si>
    <t>Verificação de bilhetes: Bilhete 2971604085 já sendo utilizado para este fornecedor.</t>
  </si>
  <si>
    <t>QAWKEB</t>
  </si>
  <si>
    <t>Verificação de bilhetes: Bilhete 2971604092 já sendo utilizado para este fornecedor.</t>
  </si>
  <si>
    <t>AXIZKK</t>
  </si>
  <si>
    <t>OORSCHOT/ALEXANDRE FREDERICI</t>
  </si>
  <si>
    <t>Verificação de bilhetes: Bilhete 2971604087 já sendo utilizado para este fornecedor.</t>
  </si>
  <si>
    <t>UZKPAM</t>
  </si>
  <si>
    <t>Verificação de bilhetes: Bilhete 2971604093 já sendo utilizado para este fornecedor.</t>
  </si>
  <si>
    <t>AQZKVO</t>
  </si>
  <si>
    <t>MARCHINI/MATHEUS DONISETI</t>
  </si>
  <si>
    <t>Verificação de bilhetes: Bilhete 2971604083 já sendo utilizado para este fornecedor.</t>
  </si>
  <si>
    <t>IDYQSF</t>
  </si>
  <si>
    <t>WIENS/RICARDO DANIEL</t>
  </si>
  <si>
    <t>Verificação de bilhetes: Bilhete 2971604090 já sendo utilizado para este fornecedor.</t>
  </si>
  <si>
    <t>DPBAVM</t>
  </si>
  <si>
    <t>DE SOUZA JUNIOR/JOSE ALEXANDRE</t>
  </si>
  <si>
    <t>EMAIL</t>
  </si>
  <si>
    <t>JGQOEU</t>
  </si>
  <si>
    <t>MARIZ GOMES/CACIO JORGE</t>
  </si>
  <si>
    <t>JEJXKO</t>
  </si>
  <si>
    <t>REZENDE DE SOUZA/ANDRE LUIZ</t>
  </si>
  <si>
    <t>JHPRQD</t>
  </si>
  <si>
    <t>LUGFSO</t>
  </si>
  <si>
    <t>QUADROS REBOUCAS/OLAVO</t>
  </si>
  <si>
    <t>Verificação de bilhetes: Bilhete 2952834970 já sendo utilizado para este fornecedor.</t>
  </si>
  <si>
    <t>IOHTJS</t>
  </si>
  <si>
    <t>RAFAEL BARROSO</t>
  </si>
  <si>
    <t>Firmenich</t>
  </si>
  <si>
    <t>Reserva importada do sistema Gover. Id: 4580114</t>
  </si>
  <si>
    <t>OG5IPY01</t>
  </si>
  <si>
    <t>LEANDRO CORREA DOS SANTOS</t>
  </si>
  <si>
    <t>Ercy Iwamoto</t>
  </si>
  <si>
    <t>OG5IPY</t>
  </si>
  <si>
    <t>Fm Global - Servicos</t>
  </si>
  <si>
    <t>8984158/6039144" possui uma transação de cartão efetivada</t>
  </si>
  <si>
    <t>Livia Kent Paiva</t>
  </si>
  <si>
    <t>Pousada Mirante de Minas Francisca</t>
  </si>
  <si>
    <t>Reserva importada do sistema Gover. Id: 4577704</t>
  </si>
  <si>
    <t>HQJEHIT</t>
  </si>
  <si>
    <t>MISSAWA/CINTHIA HIDEKO</t>
  </si>
  <si>
    <t>Grupo Diageo</t>
  </si>
  <si>
    <t>Diageo Brasil</t>
  </si>
  <si>
    <t>FCM-OPE-SAO-PVI-DIAGEO</t>
  </si>
  <si>
    <t>UAKOWG</t>
  </si>
  <si>
    <t>COBO/JULIO CESAR TONELLI</t>
  </si>
  <si>
    <t>Falta informar o status no trecho da accounting aérea (Bilhete: 2952834968)</t>
  </si>
  <si>
    <t>WJCRZV</t>
  </si>
  <si>
    <t>ANA PAULA DE SOUZA LOPES</t>
  </si>
  <si>
    <t>Priscilla Andrade Sobrinho</t>
  </si>
  <si>
    <t>Grupo Rio Galeao</t>
  </si>
  <si>
    <t>Atendimento Riogaleao</t>
  </si>
  <si>
    <t>Emirates Airlines</t>
  </si>
  <si>
    <t>Reserva importada do sistema Gover. Id: 4573356</t>
  </si>
  <si>
    <t>Verificação de bilhetes: Bilhete 2971547132 já sendo utilizado para este fornecedor.</t>
  </si>
  <si>
    <t>B2OQFL</t>
  </si>
  <si>
    <t>Kleiton Aparecido Stoco</t>
  </si>
  <si>
    <t>Wilson Jose Araujo de Gusmao Junior</t>
  </si>
  <si>
    <t>Mobility - Eua - Ex - Detroit - Aeroporto DTW Endereço: DETROIT LOJA AEROPORTO DTW</t>
  </si>
  <si>
    <t>Zf do Brasil - Limeira</t>
  </si>
  <si>
    <t>Reserva importada do sistema Gover. Id: 4565213</t>
  </si>
  <si>
    <t>YCHYHF</t>
  </si>
  <si>
    <t>Tiago Caldas</t>
  </si>
  <si>
    <t>Zf do Brasil - Divisao Z</t>
  </si>
  <si>
    <t>Reserva importada do sistema Gover. Id: 4575525</t>
  </si>
  <si>
    <t>Verificação de bilhetes: Bilhete 2971228101 já sendo utilizado para este fornecedor.</t>
  </si>
  <si>
    <t>ASXEDL</t>
  </si>
  <si>
    <t>Claudia Gomes</t>
  </si>
  <si>
    <t>Reserva importada do sistema Gover. Id: 4575483</t>
  </si>
  <si>
    <t>Verificação de bilhetes: Bilhete 2971228100 já sendo utilizado para este fornecedor.</t>
  </si>
  <si>
    <t>1680742306COUNT</t>
  </si>
  <si>
    <t>National Car Rental - Flughafen Stuttgart Endereço:  Terminal 3, Ebene 2, 70629 Stuttgart, Alemanha</t>
  </si>
  <si>
    <t>Reserva importada do sistema Gover. Id: 4575831</t>
  </si>
  <si>
    <t>HCHAPH</t>
  </si>
  <si>
    <t>JOSE WILSON FERREIRA</t>
  </si>
  <si>
    <t>Robinson Crusoe</t>
  </si>
  <si>
    <t>Reserva importada do sistema Gover. Id: 4566694</t>
  </si>
  <si>
    <t>5418-4</t>
  </si>
  <si>
    <t>CARLOS JOSE FERREIRA</t>
  </si>
  <si>
    <t>Rafaela Leitao Oliveira</t>
  </si>
  <si>
    <t>Movicar Aluguel de Carros - Br - Sc - Chapeco Endereço: Acesso Florenal Ribeiro, 4180</t>
  </si>
  <si>
    <t>Biomerieux</t>
  </si>
  <si>
    <t>Reserva importada do sistema Gover. Id: 4564042</t>
  </si>
  <si>
    <t>5FYGNO</t>
  </si>
  <si>
    <t>SERGIO MACHADO</t>
  </si>
  <si>
    <t>Claro Sao Paulo (santo Amaro)</t>
  </si>
  <si>
    <t>Reserva importada do Sistema TMS. OS: 65394</t>
  </si>
  <si>
    <t>5FUG9O</t>
  </si>
  <si>
    <t>RAFAEL DUARTE</t>
  </si>
  <si>
    <t>Reserva importada do Sistema TMS. OS: 64750</t>
  </si>
  <si>
    <t>5FBHLO</t>
  </si>
  <si>
    <t>MARCELO MICHEL FERRO</t>
  </si>
  <si>
    <t>Claro Nxt Telecomunicacoes</t>
  </si>
  <si>
    <t>Reserva importada do Sistema TMS. OS: 60403</t>
  </si>
  <si>
    <t>5F1HON</t>
  </si>
  <si>
    <t>Reserva importada do Sistema TMS. OS: 58141</t>
  </si>
  <si>
    <t>5GLD6I</t>
  </si>
  <si>
    <t>ANDERSON AMORIM SILVA</t>
  </si>
  <si>
    <t>Reserva importada do Sistema TMS. OS: 76960</t>
  </si>
  <si>
    <t>ERPUBT</t>
  </si>
  <si>
    <t>RAFAEL LUCCHESI</t>
  </si>
  <si>
    <t>Alexander Perez Alves</t>
  </si>
  <si>
    <t>Braskem - Camacari</t>
  </si>
  <si>
    <t>Reserva importada do Sistema TMS. OS: 10419</t>
  </si>
  <si>
    <t>5GW6B9</t>
  </si>
  <si>
    <t>DIEGO ZEOLLA</t>
  </si>
  <si>
    <t>Reserva importada do Sistema TMS. OS: 10428</t>
  </si>
  <si>
    <t>5GKVPO</t>
  </si>
  <si>
    <t>BRUNA LOVATO</t>
  </si>
  <si>
    <t>Goiânia / GYN</t>
  </si>
  <si>
    <t>Reserva importada do Sistema TMS. OS: 10540</t>
  </si>
  <si>
    <t>5GNRBO</t>
  </si>
  <si>
    <t>RENATO DITOMASO</t>
  </si>
  <si>
    <t>Porto Alegre / POA</t>
  </si>
  <si>
    <t>Reserva importada do Sistema TMS. OS: 10536</t>
  </si>
  <si>
    <t>5GR5PN</t>
  </si>
  <si>
    <t>THIAGO MEYER</t>
  </si>
  <si>
    <t>Reserva importada do Sistema TMS. OS: 10529</t>
  </si>
  <si>
    <t>5GHCX8</t>
  </si>
  <si>
    <t>DANILO GONSALVES</t>
  </si>
  <si>
    <t>Reserva importada do Sistema TMS. OS: 10522</t>
  </si>
  <si>
    <t>5GUK92</t>
  </si>
  <si>
    <t>MARCELO NEVES</t>
  </si>
  <si>
    <t>ADRIANA MIRANDA COUTINHO</t>
  </si>
  <si>
    <t>Reserva importada do Sistema TMS. OS: 10120</t>
  </si>
  <si>
    <t>5GK8NW</t>
  </si>
  <si>
    <t>Reserva importada do Sistema TMS. OS: 10119</t>
  </si>
  <si>
    <t>5GITB9</t>
  </si>
  <si>
    <t>Arruda/Claudia</t>
  </si>
  <si>
    <t>Bruna Carlos da Silva</t>
  </si>
  <si>
    <t>Reserva importada do Sistema TMS. OS: 10525</t>
  </si>
  <si>
    <t>Empenho/departamento não preenchido! (ACC01) Tarifa mínima não preenchida! (ACC01) Tarifa máxima não preenchida! (ACC01)</t>
  </si>
  <si>
    <t>5GZHMO</t>
  </si>
  <si>
    <t>Curitiba / CWB</t>
  </si>
  <si>
    <t>Reserva importada do Sistema TMS. OS: 10498</t>
  </si>
  <si>
    <t>5GDYP9</t>
  </si>
  <si>
    <t>MAURO JUNIOR</t>
  </si>
  <si>
    <t>Reserva importada do Sistema TMS. OS: 10283</t>
  </si>
  <si>
    <t>5GRY0O</t>
  </si>
  <si>
    <t>Reserva importada do Sistema TMS. OS: 10281</t>
  </si>
  <si>
    <t>SJMEWI</t>
  </si>
  <si>
    <t>CAVALCANTI DE MEDEIROS/THIAGO</t>
  </si>
  <si>
    <t>Maria Clara Landeira Mezavila</t>
  </si>
  <si>
    <t>Bristow</t>
  </si>
  <si>
    <t>KON-OPE-SAO-PVI-BTC-LEMON</t>
  </si>
  <si>
    <t>Reserva importada do Sistema Lemontech. Solicitação: 17266419</t>
  </si>
  <si>
    <t>Verificação de bilhetes: Bilhete 2952835556 já sendo utilizado para este fornecedor.</t>
  </si>
  <si>
    <t>FSQGPN</t>
  </si>
  <si>
    <t>XIMENES KNUPP/ALEXANDRE</t>
  </si>
  <si>
    <t>Reserva importada do Sistema Lemontech. Solicitação: 17266449</t>
  </si>
  <si>
    <t>Verificação de bilhetes: Bilhete 2952835557 já sendo utilizado para este fornecedor.</t>
  </si>
  <si>
    <t>K-NARARP01</t>
  </si>
  <si>
    <t>Debora Cardoso Vieira Oliver</t>
  </si>
  <si>
    <t>GABRIEL ALVES MOURA</t>
  </si>
  <si>
    <t>Energisa Distribuicao de Gas S.a</t>
  </si>
  <si>
    <t>Reserva importada do sistema Gover. Id: 4579033</t>
  </si>
  <si>
    <t>Verificação de bilhetes: Bilhete 2244662996 já sendo utilizado para este fornecedor.</t>
  </si>
  <si>
    <t>K-CMFFIP01</t>
  </si>
  <si>
    <t>Mauricio Perez Botelho</t>
  </si>
  <si>
    <t>Energisa S.a.</t>
  </si>
  <si>
    <t>Reserva importada do sistema Gover. Id: 4579790</t>
  </si>
  <si>
    <t>Verificação de bilhetes: Bilhete 2142999330 já sendo utilizado para este fornecedor.</t>
  </si>
  <si>
    <t>Brena Felix Rodrigues</t>
  </si>
  <si>
    <t>Hypera S.a.</t>
  </si>
  <si>
    <t>Pousada Santo Amaro</t>
  </si>
  <si>
    <t>Reserva importada do sistema Gover. Id: 4576986</t>
  </si>
  <si>
    <t xml:space="preserve">Não foi possível encontrar um contrato válido para o fornecedor 16504 (Código fornecedor) </t>
  </si>
  <si>
    <t xml:space="preserve">Maira Da Conceição Moraes </t>
  </si>
  <si>
    <t>Reserva importada do sistema Gover. Id: 4567637</t>
  </si>
  <si>
    <t>Caique  Nascimento De Araújo</t>
  </si>
  <si>
    <t>Reserva importada do sistema Gover. Id: 4568443</t>
  </si>
  <si>
    <t>MV1UHWXJR2BR</t>
  </si>
  <si>
    <t>Pedro Oliveira</t>
  </si>
  <si>
    <t>WAGNER PAULINO</t>
  </si>
  <si>
    <t>Movida - Br - Ba - Vitoria da Conquista - Aeroport Endereço: Rodovia Rodovia Santos Dumont</t>
  </si>
  <si>
    <t>Reserva importada do sistema Gover. Id: 4578711</t>
  </si>
  <si>
    <t>Adriano Jose da Silva</t>
  </si>
  <si>
    <t>Intercement Nacoes Unidas</t>
  </si>
  <si>
    <t>America Palace Hotel - Inativo</t>
  </si>
  <si>
    <t>Reserva importada do sistema Gover. Id: 4576274</t>
  </si>
  <si>
    <t xml:space="preserve">Não foi possível encontrar um contrato válido para o fornecedor 28953 (Código fornecedor) </t>
  </si>
  <si>
    <t>Cesar Francisco Antunes Cavalheiro</t>
  </si>
  <si>
    <t>Reserva importada do sistema Gover. Id: 4576387</t>
  </si>
  <si>
    <t>AV78VYK5LP</t>
  </si>
  <si>
    <t>Leticia Siqueira Mendes</t>
  </si>
  <si>
    <t>Marcos de Oliveira Miklos</t>
  </si>
  <si>
    <t xml:space="preserve">Localiza - Br - Sp - Sao Jose dos Campos - Agencia Endereço: Av Andromeda, 100 - Agencia Centro </t>
  </si>
  <si>
    <t>Reserva importada do sistema Gover. Id: 4580640</t>
  </si>
  <si>
    <t>QGPROE</t>
  </si>
  <si>
    <t>GOMES/ELI EBER BATISTA DR</t>
  </si>
  <si>
    <t>7S</t>
  </si>
  <si>
    <t>Marcelo Pereira de Melo</t>
  </si>
  <si>
    <t>Shell</t>
  </si>
  <si>
    <t>Falta informar o status no trecho da accounting aérea (Bilhete: 2952834969)</t>
  </si>
  <si>
    <t>NUYDEJ</t>
  </si>
  <si>
    <t>PAES DE CASTRO BARRETO/ANA CA</t>
  </si>
  <si>
    <t>Vanessa Pereira Ribeiro Carlos</t>
  </si>
  <si>
    <t>NRWYKO</t>
  </si>
  <si>
    <t>MACRINI/FERNANDA CERRI</t>
  </si>
  <si>
    <t>CONCUR</t>
  </si>
  <si>
    <t>CLTSTU</t>
  </si>
  <si>
    <t>PASSADORE/JULIANA DE ALMEIDA</t>
  </si>
  <si>
    <t>WKDOWD</t>
  </si>
  <si>
    <t>MARIANO DA SILVA JUNIOR/CARLOS EDUARDO</t>
  </si>
  <si>
    <t>Adriana Vieira de Freitas dos Santos</t>
  </si>
  <si>
    <t>FONE</t>
  </si>
  <si>
    <t>Verificação de bilhetes: Bilhete 2143250893 já sendo utilizado para este fornecedor.</t>
  </si>
  <si>
    <t>5GKAM8</t>
  </si>
  <si>
    <t>ISRAEL CAVALCANTE</t>
  </si>
  <si>
    <t>Fortaleza / FOR</t>
  </si>
  <si>
    <t>Enaex</t>
  </si>
  <si>
    <t>Reserva importada do Sistema TMS. OS: 24991</t>
  </si>
  <si>
    <t>5GRGGU</t>
  </si>
  <si>
    <t>EZEQUIEL TRAMUNTINN</t>
  </si>
  <si>
    <t>Marcia Fernandes de Sousa</t>
  </si>
  <si>
    <t>Reserva importada do Sistema TMS. OS: 24884</t>
  </si>
  <si>
    <t>5GE8TV</t>
  </si>
  <si>
    <t>JOAO EDUARDO BUTURE BECKER</t>
  </si>
  <si>
    <t>Reserva importada do Sistema TMS. OS: 24909</t>
  </si>
  <si>
    <t>5G05EH</t>
  </si>
  <si>
    <t>EDMUNDO ANJOS</t>
  </si>
  <si>
    <t>Reserva importada do Sistema TMS. OS: 24942</t>
  </si>
  <si>
    <t>5GAGDH</t>
  </si>
  <si>
    <t>DENILSON PONTES</t>
  </si>
  <si>
    <t>Reserva importada do Sistema TMS. OS: 24941</t>
  </si>
  <si>
    <t>5FS8LZ</t>
  </si>
  <si>
    <t>BANNI/MAICON</t>
  </si>
  <si>
    <t>Fernando Augusto Santiago da Silva</t>
  </si>
  <si>
    <t>Biolab Centro Administrativo - Escritorio</t>
  </si>
  <si>
    <t>Reserva importada do Sistema Lemontech. Solicitação: 17075340</t>
  </si>
  <si>
    <t>5FZLHB</t>
  </si>
  <si>
    <t>Reserva importada do Sistema Lemontech. Solicitação: 17075013</t>
  </si>
  <si>
    <t>5FXL60</t>
  </si>
  <si>
    <t>Reserva importada do Sistema Lemontech. Solicitação: 17075260</t>
  </si>
  <si>
    <t>5FD9HB</t>
  </si>
  <si>
    <t>Reserva importada do Sistema Lemontech. Solicitação: 17075278</t>
  </si>
  <si>
    <t>5F5FTE</t>
  </si>
  <si>
    <t>NAKANO/RICARDO</t>
  </si>
  <si>
    <t>Reserva importada do Sistema Lemontech. Solicitação: 17054255</t>
  </si>
  <si>
    <t>5FHVGC</t>
  </si>
  <si>
    <t>Reserva importada do Sistema Lemontech. Solicitação: 17054289</t>
  </si>
  <si>
    <t>5F7V5C</t>
  </si>
  <si>
    <t>Reserva importada do Sistema Lemontech. Solicitação: 17054303</t>
  </si>
  <si>
    <t>5F8VGD</t>
  </si>
  <si>
    <t>Reserva importada do Sistema Lemontech. Solicitação: 17054438</t>
  </si>
  <si>
    <t>5F9FTD</t>
  </si>
  <si>
    <t>Reserva importada do Sistema Lemontech. Solicitação: 17054452</t>
  </si>
  <si>
    <t>5F0GGD</t>
  </si>
  <si>
    <t>Reserva importada do Sistema Lemontech. Solicitação: 17064048</t>
  </si>
  <si>
    <t>5FQG5C</t>
  </si>
  <si>
    <t>Reserva importada do Sistema Lemontech. Solicitação: 17075499</t>
  </si>
  <si>
    <t>5EVMYH</t>
  </si>
  <si>
    <t>Reserva importada do Sistema Lemontech. Solicitação: 17054223</t>
  </si>
  <si>
    <t>5EJW5O</t>
  </si>
  <si>
    <t>Reserva importada do Sistema Lemontech. Solicitação: 17051581</t>
  </si>
  <si>
    <t>5EISTL</t>
  </si>
  <si>
    <t>5ENWGO</t>
  </si>
  <si>
    <t>Reserva importada do Sistema Lemontech. Solicitação: 17075042</t>
  </si>
  <si>
    <t>5E0ET9</t>
  </si>
  <si>
    <t>CAMPOS MUSSI/FILIPE</t>
  </si>
  <si>
    <t>Reserva importada do Sistema Lemontech. Solicitação: 17075092</t>
  </si>
  <si>
    <t>5E1DGN</t>
  </si>
  <si>
    <t>Reserva importada do Sistema Lemontech. Solicitação: 17075165</t>
  </si>
  <si>
    <t>5EWD5O</t>
  </si>
  <si>
    <t>Reserva importada do Sistema Lemontech. Solicitação: 17075193</t>
  </si>
  <si>
    <t>5E33GO</t>
  </si>
  <si>
    <t>Reserva importada do Sistema Lemontech. Solicitação: 17075303</t>
  </si>
  <si>
    <t>5EFETN</t>
  </si>
  <si>
    <t>Reserva importada do Sistema Lemontech. Solicitação: 17075441</t>
  </si>
  <si>
    <t>5E5GH9</t>
  </si>
  <si>
    <t>Reserva importada do Sistema Lemontech. Solicitação: 17075466</t>
  </si>
  <si>
    <t>5B49O8</t>
  </si>
  <si>
    <t>CASTRO MARQUES/PAULO</t>
  </si>
  <si>
    <t>Reserva importada do Sistema Lemontech. Solicitação: 16949647</t>
  </si>
  <si>
    <t>5D8Y86</t>
  </si>
  <si>
    <t>SOUZA MENDES/WANDREA</t>
  </si>
  <si>
    <t>Reserva importada do Sistema Lemontech. Solicitação: 17068265</t>
  </si>
  <si>
    <t>5DN3I9</t>
  </si>
  <si>
    <t>AMAZONAS/ROBERTO</t>
  </si>
  <si>
    <t>Reserva importada do Sistema Lemontech. Solicitação: 17075997</t>
  </si>
  <si>
    <t>5DBRK9</t>
  </si>
  <si>
    <t>BROSSI PELISSARI/FILIPE</t>
  </si>
  <si>
    <t>Reserva importada do Sistema Lemontech. Solicitação: 17075998</t>
  </si>
  <si>
    <t>5DQRI9</t>
  </si>
  <si>
    <t>GUEDES/MARCELO</t>
  </si>
  <si>
    <t>Reserva importada do Sistema Lemontech. Solicitação: 17075999</t>
  </si>
  <si>
    <t>5DWRIO</t>
  </si>
  <si>
    <t>PAVAO/LEANDRO</t>
  </si>
  <si>
    <t>Reserva importada do Sistema Lemontech. Solicitação: 17076001</t>
  </si>
  <si>
    <t>5D3R8L</t>
  </si>
  <si>
    <t>BRITO/AMANDA</t>
  </si>
  <si>
    <t>Reserva importada do Sistema Lemontech. Solicitação: 17077287</t>
  </si>
  <si>
    <t>5E25PM</t>
  </si>
  <si>
    <t>OPPI/EGLE</t>
  </si>
  <si>
    <t>Reserva importada do Sistema Lemontech. Solicitação: 17070514</t>
  </si>
  <si>
    <t>5EE50B</t>
  </si>
  <si>
    <t>RANGEL GIOMETTI/ELLEN</t>
  </si>
  <si>
    <t>Reserva importada do Sistema Lemontech. Solicitação: 17070561</t>
  </si>
  <si>
    <t>5E1SUD</t>
  </si>
  <si>
    <t>Reserva importada do Sistema Lemontech. Solicitação: 17050995</t>
  </si>
  <si>
    <t>5EE083</t>
  </si>
  <si>
    <t>Reserva importada do Sistema Lemontech. Solicitação: 17051665</t>
  </si>
  <si>
    <t>5EFMKD</t>
  </si>
  <si>
    <t>5ERD6V</t>
  </si>
  <si>
    <t>Reserva importada do Sistema Lemontech. Solicitação: 17054472</t>
  </si>
  <si>
    <t>5GWAP6</t>
  </si>
  <si>
    <t>Reserva importada do Sistema Lemontech. Solicitação: 17203729</t>
  </si>
  <si>
    <t>5G31MH</t>
  </si>
  <si>
    <t>Reserva importada do Sistema Lemontech. Solicitação: 17211366</t>
  </si>
  <si>
    <t>5FB41J</t>
  </si>
  <si>
    <t>TORMEN/JULIA</t>
  </si>
  <si>
    <t>Reserva importada do Sistema Lemontech. Solicitação: 17187934</t>
  </si>
  <si>
    <t>5FHZCU</t>
  </si>
  <si>
    <t>MARQUES/MELISSA</t>
  </si>
  <si>
    <t>Reserva importada do Sistema Lemontech. Solicitação: 17158893</t>
  </si>
  <si>
    <t>5FNBJL</t>
  </si>
  <si>
    <t>CHRISTOFANO/EMERSON</t>
  </si>
  <si>
    <t>Reserva importada do Sistema Lemontech. Solicitação: 17141693</t>
  </si>
  <si>
    <t>5GR29R</t>
  </si>
  <si>
    <t>ESPOSITO FILHO/DANIEL</t>
  </si>
  <si>
    <t>Reserva importada do Sistema Lemontech. Solicitação: 17243717</t>
  </si>
  <si>
    <t>5GOXSY</t>
  </si>
  <si>
    <t>LACERDA DE ALENCAR/SUANA RAYSSA</t>
  </si>
  <si>
    <t>Lemontech</t>
  </si>
  <si>
    <t>Reserva importada do Sistema Lemontech. Solicitação: 17255925</t>
  </si>
  <si>
    <t>5GGDN0</t>
  </si>
  <si>
    <t>SILVA MOURA/BRUNNO</t>
  </si>
  <si>
    <t>Reserva importada do Sistema Lemontech. Solicitação: 17223345</t>
  </si>
  <si>
    <t>5FAOKU</t>
  </si>
  <si>
    <t>TRASSI/THAIS</t>
  </si>
  <si>
    <t>Reserva importada do Sistema Lemontech. Solicitação: 17202443</t>
  </si>
  <si>
    <t>5F5CA7</t>
  </si>
  <si>
    <t>GOMES/SAULL</t>
  </si>
  <si>
    <t>Reserva importada do Sistema Lemontech. Solicitação: 17169221</t>
  </si>
  <si>
    <t>5FJ59A</t>
  </si>
  <si>
    <t>ZAMBRANO CORREA/LUIS</t>
  </si>
  <si>
    <t>Reserva importada do Sistema Lemontech. Solicitação: 17165445</t>
  </si>
  <si>
    <t>5FIUQ4</t>
  </si>
  <si>
    <t>DA COSTA/ANNIELLY</t>
  </si>
  <si>
    <t>Reserva importada do Sistema Lemontech. Solicitação: 17180402</t>
  </si>
  <si>
    <t>5FLJQR</t>
  </si>
  <si>
    <t>Reserva importada do Sistema Lemontech. Solicitação: 17180492</t>
  </si>
  <si>
    <t>5CBBVY</t>
  </si>
  <si>
    <t>WAGNER FLESCH/RICARDO</t>
  </si>
  <si>
    <t>Ibis Sao Paulo Ibirapuera</t>
  </si>
  <si>
    <t>Reserva importada do Sistema Lemontech. Solicitação: 16994702</t>
  </si>
  <si>
    <t>5CLJ96</t>
  </si>
  <si>
    <t>SPERLING VIANA/NANCY</t>
  </si>
  <si>
    <t>Reserva importada do Sistema Lemontech. Solicitação: 17009338</t>
  </si>
  <si>
    <t>5GFGCI</t>
  </si>
  <si>
    <t>DE SOUZA/MILENA</t>
  </si>
  <si>
    <t>Reserva importada do Sistema Lemontech. Solicitação: 17261957</t>
  </si>
  <si>
    <t>5G3ER7</t>
  </si>
  <si>
    <t>BARBOSA/RICARDO</t>
  </si>
  <si>
    <t>Reserva importada do Sistema Lemontech. Solicitação: 17253199</t>
  </si>
  <si>
    <t>5G88NK</t>
  </si>
  <si>
    <t>ALPES/YGOR</t>
  </si>
  <si>
    <t>Reserva importada do Sistema Lemontech. Solicitação: 17209500</t>
  </si>
  <si>
    <t>5G3DMD</t>
  </si>
  <si>
    <t>BANDEIRA/JOSE</t>
  </si>
  <si>
    <t>Reserva importada do Sistema Lemontech. Solicitação: 17218296</t>
  </si>
  <si>
    <t>5GJFMC</t>
  </si>
  <si>
    <t>ANCELMO/KAROLINNE</t>
  </si>
  <si>
    <t>Reserva importada do Sistema Lemontech. Solicitação: 17231543</t>
  </si>
  <si>
    <t>5GSI28</t>
  </si>
  <si>
    <t>MIELCZAREK JUNIOR/EDSON</t>
  </si>
  <si>
    <t>AGENCIA CENTRO OSASCO</t>
  </si>
  <si>
    <t>Reserva importada do Sistema Lemontech. Solicitação: 17258268</t>
  </si>
  <si>
    <t>5GTTCI</t>
  </si>
  <si>
    <t>NEVES/DAIANE</t>
  </si>
  <si>
    <t>MACAPA/AP - AEROPORTO MACAPA II</t>
  </si>
  <si>
    <t>Reserva importada do Sistema Lemontech. Solicitação: 17262161</t>
  </si>
  <si>
    <t>5G1GC8</t>
  </si>
  <si>
    <t>AVELAR FINCO/ERIKA</t>
  </si>
  <si>
    <t>BRAGANCA PAULISTA/SP - AG CENTRO</t>
  </si>
  <si>
    <t>Reserva importada do Sistema Lemontech. Solicitação: 17253797</t>
  </si>
  <si>
    <t>MZHWRT</t>
  </si>
  <si>
    <t>Elder  Souza da Fonseca</t>
  </si>
  <si>
    <t>Consorcio Nova Doca</t>
  </si>
  <si>
    <t>Reserva importada do sistema Gover. Id: 4576769</t>
  </si>
  <si>
    <t>QEOQKW</t>
  </si>
  <si>
    <t>DNBJIC</t>
  </si>
  <si>
    <t>Ana Lúcia Ferreira Coutinho</t>
  </si>
  <si>
    <t>Michelly Andrade Leandro da Silva</t>
  </si>
  <si>
    <t>Isdin Sp</t>
  </si>
  <si>
    <t>Reserva importada do sistema Gover. Id: 4575390</t>
  </si>
  <si>
    <t>Verificação de bilhetes: Bilhete 2971575248 já sendo utilizado para este fornecedor.</t>
  </si>
  <si>
    <t>5GUNXL</t>
  </si>
  <si>
    <t>FELIPE SOUZA PINTO</t>
  </si>
  <si>
    <t>São Luís / SLZ</t>
  </si>
  <si>
    <t>Environpact Sustentabilidade e Resiliencia</t>
  </si>
  <si>
    <t>5GINSN</t>
  </si>
  <si>
    <t>MARCOS DE ANDRADE</t>
  </si>
  <si>
    <t>Reserva importada do Sistema TMS. OS: 76059</t>
  </si>
  <si>
    <t>5G1117</t>
  </si>
  <si>
    <t>BRUNA ALVES MENDES</t>
  </si>
  <si>
    <t>MICHELI FERENZINI TORRES</t>
  </si>
  <si>
    <t>Oceanpact Servicos Maritimos</t>
  </si>
  <si>
    <t>Reserva importada do Sistema TMS. OS: 75767</t>
  </si>
  <si>
    <t>5GZSKI</t>
  </si>
  <si>
    <t>JOSE RODRIGUES JUNIOR</t>
  </si>
  <si>
    <t>Reserva importada do Sistema TMS. OS: 75986</t>
  </si>
  <si>
    <t>5GAD8K</t>
  </si>
  <si>
    <t>VICTOR HUGO PINTO</t>
  </si>
  <si>
    <t>Niteroi / QNT</t>
  </si>
  <si>
    <t>Reserva importada do Sistema TMS. OS: 75957</t>
  </si>
  <si>
    <t>5DUMK5</t>
  </si>
  <si>
    <t>RICARDO COELHO DIAS</t>
  </si>
  <si>
    <t>Reserva importada do Sistema TMS. OS: 71529</t>
  </si>
  <si>
    <t>5FYJGU</t>
  </si>
  <si>
    <t>CARLOS HENRIQUE AZEVEDO</t>
  </si>
  <si>
    <t>Nataly Franca Regal de Castro</t>
  </si>
  <si>
    <t>Up Offshore Apoio Maritimo</t>
  </si>
  <si>
    <t>Reserva importada do Sistema TMS. OS: 74380</t>
  </si>
  <si>
    <t>5G3664</t>
  </si>
  <si>
    <t>JOSE SILVA TAVARES</t>
  </si>
  <si>
    <t>JOSE ALEXANDRE SOARES CALDAS</t>
  </si>
  <si>
    <t>Reserva importada do Sistema TMS. OS: 75160</t>
  </si>
  <si>
    <t>YBHHCT1</t>
  </si>
  <si>
    <t>EDWIN ARANA SUXO</t>
  </si>
  <si>
    <t>Reserva importada do Sistema TMS. OS: 72633</t>
  </si>
  <si>
    <t>Verificação de bilhetes: Bilhete 2971294092 já sendo utilizado para este fornecedor.</t>
  </si>
  <si>
    <t>YBHHCTA</t>
  </si>
  <si>
    <t>Boa - Boliviana de Aviacion</t>
  </si>
  <si>
    <t>Verificação de bilhetes: Bilhete 2971294091 já sendo utilizado para este fornecedor.</t>
  </si>
  <si>
    <t>5GANAU</t>
  </si>
  <si>
    <t>CAMILLA SILVA</t>
  </si>
  <si>
    <t>Reserva importada do Sistema TMS. OS: 74272</t>
  </si>
  <si>
    <t>SRNTYY0</t>
  </si>
  <si>
    <t>ALDO OMAR PORTAL</t>
  </si>
  <si>
    <t>Reserva importada do Sistema TMS. OS: 75577</t>
  </si>
  <si>
    <t>Verificação de bilhetes: Bilhete 2952815374 já sendo utilizado para este fornecedor.</t>
  </si>
  <si>
    <t>5EDJ0J</t>
  </si>
  <si>
    <t>Reserva importada do Sistema TMS. OS: 73566</t>
  </si>
  <si>
    <t>5E3FIU</t>
  </si>
  <si>
    <t>Reserva importada do Sistema TMS. OS: 73594</t>
  </si>
  <si>
    <t>WFODSV</t>
  </si>
  <si>
    <t>FERNANDES GOMES/FELIPE</t>
  </si>
  <si>
    <t>Basf Sa</t>
  </si>
  <si>
    <t>Verificação de bilhetes: Bilhete 2971499806 já sendo utilizado para este fornecedor.</t>
  </si>
  <si>
    <t>HDLPBN</t>
  </si>
  <si>
    <t>BRANDA PAULETTI/GIOVANA</t>
  </si>
  <si>
    <t>Verificação de bilhetes: Bilhete 2971622800 já sendo utilizado para este fornecedor.</t>
  </si>
  <si>
    <t>NQUJHUT</t>
  </si>
  <si>
    <t>MYAGUSHICU/DANIELA MRS</t>
  </si>
  <si>
    <t>Felipe Anderson da Silva</t>
  </si>
  <si>
    <t>BA0608251442</t>
  </si>
  <si>
    <t>Lefel Hotel</t>
  </si>
  <si>
    <t>NQTOPYT</t>
  </si>
  <si>
    <t>DAMELIO/ALDANA</t>
  </si>
  <si>
    <t>BA0608251444</t>
  </si>
  <si>
    <t>NNPOBOT</t>
  </si>
  <si>
    <t>CARDOZO/ALEJANDRA</t>
  </si>
  <si>
    <t>BA0608251445</t>
  </si>
  <si>
    <t>OBYQLFT</t>
  </si>
  <si>
    <t>LAVACH SANTANA/FLAVIO LUIZ MR</t>
  </si>
  <si>
    <t>BA0608251128</t>
  </si>
  <si>
    <t>YLHRXMC</t>
  </si>
  <si>
    <t>GIAVENO/CARLOS DANIEL MR</t>
  </si>
  <si>
    <t>BA0508251439</t>
  </si>
  <si>
    <t>RDU</t>
  </si>
  <si>
    <t>YJSUHHT</t>
  </si>
  <si>
    <t>FISCHER/EVELYN CHRISTIANE MRS</t>
  </si>
  <si>
    <t>BA1108251343</t>
  </si>
  <si>
    <t>DZUKJST</t>
  </si>
  <si>
    <t>SARDASHTI/POUYAN</t>
  </si>
  <si>
    <t>BA1108251412</t>
  </si>
  <si>
    <t>Blue Tree Premium Morumbi</t>
  </si>
  <si>
    <t>EAFITET</t>
  </si>
  <si>
    <t>BORGES/ROBSON JAYME MR</t>
  </si>
  <si>
    <t>BA1108250906</t>
  </si>
  <si>
    <t>WZGUDAT</t>
  </si>
  <si>
    <t>SANTOS/JOSE RIBEIRO DOS MR</t>
  </si>
  <si>
    <t>BA0708251725</t>
  </si>
  <si>
    <t>NRQEMKC</t>
  </si>
  <si>
    <t>VIANA SANTIAGO/VITOR MR</t>
  </si>
  <si>
    <t>BA1208251545</t>
  </si>
  <si>
    <t>SAO</t>
  </si>
  <si>
    <t>GZLSYHT</t>
  </si>
  <si>
    <t>BARONI/REGIANE</t>
  </si>
  <si>
    <t>BA1208251745</t>
  </si>
  <si>
    <t>Suvinil</t>
  </si>
  <si>
    <t>SCWNVR</t>
  </si>
  <si>
    <t>ISHIKAWA SUZART/MARINA</t>
  </si>
  <si>
    <t>BA1208251342</t>
  </si>
  <si>
    <t>HSRZEAC</t>
  </si>
  <si>
    <t>VIEIRA BRANCO/PAULO MR</t>
  </si>
  <si>
    <t>C2MOMWYP0</t>
  </si>
  <si>
    <t>NVT</t>
  </si>
  <si>
    <t>WBUIFH</t>
  </si>
  <si>
    <t>BRANDAO/ALESSANDRO PEREIRA</t>
  </si>
  <si>
    <t>F2HRC26SJ</t>
  </si>
  <si>
    <t>OMVBSZT</t>
  </si>
  <si>
    <t>ZANUTTO PIVA/LARISSA MISS</t>
  </si>
  <si>
    <t>183304969-50896</t>
  </si>
  <si>
    <t>Moxy Ludwigshafen</t>
  </si>
  <si>
    <t>UMKSJOT</t>
  </si>
  <si>
    <t>PIERRO/ANTONIO MR</t>
  </si>
  <si>
    <t>183263704-61833</t>
  </si>
  <si>
    <t>Ca Pesquisa e Comercio de Sementes</t>
  </si>
  <si>
    <t>KCBRNHT</t>
  </si>
  <si>
    <t>183263820-65509</t>
  </si>
  <si>
    <t>YZCFLVT</t>
  </si>
  <si>
    <t>183263947-78912</t>
  </si>
  <si>
    <t>KXTHKBT</t>
  </si>
  <si>
    <t>LA TORRE/DANIELLA CAMPOS MRS</t>
  </si>
  <si>
    <t>183241241-78843</t>
  </si>
  <si>
    <t>MEOMSF</t>
  </si>
  <si>
    <t>RENZI/CEZAR EDUARDO</t>
  </si>
  <si>
    <t>D27E8KWTP</t>
  </si>
  <si>
    <t>KDAQYDT</t>
  </si>
  <si>
    <t>FERNANDES GOMES/FELIPE MR</t>
  </si>
  <si>
    <t>KDAQYD</t>
  </si>
  <si>
    <t>AHMALPT</t>
  </si>
  <si>
    <t>183306747-28216</t>
  </si>
  <si>
    <t>NNJIQO</t>
  </si>
  <si>
    <t>CIUCCIO/CARLOS EDUARDO PARISI</t>
  </si>
  <si>
    <t>OLSHUE</t>
  </si>
  <si>
    <t>COSTA/ERICA CRISTINA MEIRELES</t>
  </si>
  <si>
    <t>Verificação de bilhetes: Bilhete 2952816567 já sendo utilizado para este fornecedor.</t>
  </si>
  <si>
    <t>AIERFD</t>
  </si>
  <si>
    <t>DA SILVA/ADRIEL CARLOS</t>
  </si>
  <si>
    <t>Verificação de bilhetes: Bilhete 2971499788 já sendo utilizado para este fornecedor.</t>
  </si>
  <si>
    <t>QWNHFY</t>
  </si>
  <si>
    <t>DOS SANTOS/ALEX PADILHA</t>
  </si>
  <si>
    <t>AOGKTN</t>
  </si>
  <si>
    <t>BATISTA DE OLIVEIRA/WALISSON</t>
  </si>
  <si>
    <t>STLHGX</t>
  </si>
  <si>
    <t>FREDERICO DE MESQUITA/RENATA</t>
  </si>
  <si>
    <t>H2EOZUM89</t>
  </si>
  <si>
    <t>FYWRYDC</t>
  </si>
  <si>
    <t>DAVILA/JOAO FRANCISCO DE ANDRADE MR</t>
  </si>
  <si>
    <t>FYWRYD</t>
  </si>
  <si>
    <t>ORD</t>
  </si>
  <si>
    <t>YOUEDK</t>
  </si>
  <si>
    <t>SAEZ/AMANDA FELIX DA COSTA</t>
  </si>
  <si>
    <t>L2IZGVFD6</t>
  </si>
  <si>
    <t>AOBZBMT</t>
  </si>
  <si>
    <t>DA SILVA/GIOVANNE JOSE MR</t>
  </si>
  <si>
    <t>183216610-31702</t>
  </si>
  <si>
    <t>Chemetall do Brasil</t>
  </si>
  <si>
    <t>NQKJNUT</t>
  </si>
  <si>
    <t>SILVA/CICERO DIONISIO DA MR</t>
  </si>
  <si>
    <t>183216679-27885</t>
  </si>
  <si>
    <t>AYDZPQT</t>
  </si>
  <si>
    <t>CORREIA/LEILANE MISS</t>
  </si>
  <si>
    <t>183216563-90811</t>
  </si>
  <si>
    <t>Novotel Lima San Isidro</t>
  </si>
  <si>
    <t>EXIBKMT</t>
  </si>
  <si>
    <t>EXIBKM</t>
  </si>
  <si>
    <t>Hilton Garden Inn Houston Energy Corridor</t>
  </si>
  <si>
    <t>MSVYWLT</t>
  </si>
  <si>
    <t>MSVYWL</t>
  </si>
  <si>
    <t>HPUXMPC</t>
  </si>
  <si>
    <t>ARAUJO SILVA/DEIDSON MR</t>
  </si>
  <si>
    <t>BA12082025</t>
  </si>
  <si>
    <t>PET</t>
  </si>
  <si>
    <t>KFFMAGT</t>
  </si>
  <si>
    <t>KGFBAKT</t>
  </si>
  <si>
    <t>OSVISST</t>
  </si>
  <si>
    <t>RODRIGUES/RICARDO RODRIGO MR</t>
  </si>
  <si>
    <t>QLESED</t>
  </si>
  <si>
    <t>DE MORAIS/MIRELEN MOREIRA</t>
  </si>
  <si>
    <t>OMFEOFT</t>
  </si>
  <si>
    <t>GENOVEVA DE SOUZA ROBERTO/FERNANDA MRS</t>
  </si>
  <si>
    <t>BA08082025</t>
  </si>
  <si>
    <t>AFQGCOT</t>
  </si>
  <si>
    <t>MARASCHIN GRANJA/HENRIQUE SIR</t>
  </si>
  <si>
    <t>AMIABWT</t>
  </si>
  <si>
    <t>RIBEIRO/ALEXANDRE MARQUES MR</t>
  </si>
  <si>
    <t>BA07082025</t>
  </si>
  <si>
    <t>CQJFIGC</t>
  </si>
  <si>
    <t>BA05082025</t>
  </si>
  <si>
    <t>FAR</t>
  </si>
  <si>
    <t>AHCPAIT</t>
  </si>
  <si>
    <t>ISMAEL/MARCELO MANIERO MR</t>
  </si>
  <si>
    <t>Marcelo de Freitas</t>
  </si>
  <si>
    <t>BA0808251321</t>
  </si>
  <si>
    <t>LZUBCV</t>
  </si>
  <si>
    <t>DE OLIVEIRA/ANDRE</t>
  </si>
  <si>
    <t>BA0608251144</t>
  </si>
  <si>
    <t>Verificação de bilhetes: Bilhete 2971606798 já sendo utilizado para este fornecedor.</t>
  </si>
  <si>
    <t>QVMOHZT</t>
  </si>
  <si>
    <t>CARNEIRO/CARLOS ALMEIDA DURSO MR</t>
  </si>
  <si>
    <t>Fabiola Lima de Oliveira</t>
  </si>
  <si>
    <t>BA0808250901</t>
  </si>
  <si>
    <t>SKKLTLT</t>
  </si>
  <si>
    <t>FERNANDES/RAFAEL PAPA MR</t>
  </si>
  <si>
    <t>BA1108251544</t>
  </si>
  <si>
    <t>JDGMQQT</t>
  </si>
  <si>
    <t>MEDEIROS RIEKES/AUGUSTO MR</t>
  </si>
  <si>
    <t>BA1108250854</t>
  </si>
  <si>
    <t>DMAPRQT</t>
  </si>
  <si>
    <t>GABIN/ADOLFO LUIS MR</t>
  </si>
  <si>
    <t>DMAPRQ</t>
  </si>
  <si>
    <t>Chanel</t>
  </si>
  <si>
    <t>Ruby Claire Hotel &amp; Bar</t>
  </si>
  <si>
    <t>Centro de custo não preenchido! (ACC01) Matrícula não preenchida! (ACC01)</t>
  </si>
  <si>
    <t>DNDSBV</t>
  </si>
  <si>
    <t>SANTOS/MARIA</t>
  </si>
  <si>
    <t>CH2507251510</t>
  </si>
  <si>
    <t>Falta informar o status no trecho da accounting aérea (Bilhete: 2952834974)</t>
  </si>
  <si>
    <t>YAREHZ</t>
  </si>
  <si>
    <t>SANTOS/JULIANA</t>
  </si>
  <si>
    <t>CH2507251450</t>
  </si>
  <si>
    <t>Falta informar o status no trecho da accounting aérea (Bilhete: 2952834975)</t>
  </si>
  <si>
    <t>GEHKMA</t>
  </si>
  <si>
    <t>PERIM DRAGO/CRISTINA</t>
  </si>
  <si>
    <t>CH0708251903</t>
  </si>
  <si>
    <t>Verificação de bilhetes: Bilhete 2952816553 já sendo utilizado para este fornecedor.</t>
  </si>
  <si>
    <t>EZHMTUT</t>
  </si>
  <si>
    <t>SANTOS GOMES II/LUANA SANTOS GOMES MISS</t>
  </si>
  <si>
    <t>NI3107250906</t>
  </si>
  <si>
    <t>Nielseniq do Brasil</t>
  </si>
  <si>
    <t>Novotel Porto Alegre Airport</t>
  </si>
  <si>
    <t>QLJMYNT</t>
  </si>
  <si>
    <t>JOSE CRISPIM/FABRICIO</t>
  </si>
  <si>
    <t>NI3107250942</t>
  </si>
  <si>
    <t>CLFJBPT</t>
  </si>
  <si>
    <t>ABREU/JOAO PEDRO DE OLIVEIRA</t>
  </si>
  <si>
    <t>NI1208251723_0</t>
  </si>
  <si>
    <t>AJCZAET</t>
  </si>
  <si>
    <t>NEVES DE OLIVEIRA/GUILHERME MR</t>
  </si>
  <si>
    <t>AJCZAE</t>
  </si>
  <si>
    <t>WLHAOCT</t>
  </si>
  <si>
    <t>COSTA/MARCOS ROGERIO MR</t>
  </si>
  <si>
    <t>LU</t>
  </si>
  <si>
    <t>Sibelco - Pedra do Indaia - Matriz</t>
  </si>
  <si>
    <t>ITRJBM</t>
  </si>
  <si>
    <t>DE ANDRADE BALTIERI/BEATRIZ</t>
  </si>
  <si>
    <t>Sep Global Informacoes do Brasil Ltda</t>
  </si>
  <si>
    <t>OZGZRD</t>
  </si>
  <si>
    <t>MONTEIRO LOPES/JOAO VITOR</t>
  </si>
  <si>
    <t>Ihs Informacoes Rio de Janeiro</t>
  </si>
  <si>
    <t>AMPJWB</t>
  </si>
  <si>
    <t>SILVA/ANNE MS</t>
  </si>
  <si>
    <t>EVWVYE</t>
  </si>
  <si>
    <t>DA SILVA/RODRIGO</t>
  </si>
  <si>
    <t>Tarifa máxima não preenchida! (ACC01) Finalidade não preenchida! (ACC01)</t>
  </si>
  <si>
    <t>JGQJOV</t>
  </si>
  <si>
    <t>THALES SILVA</t>
  </si>
  <si>
    <t>Alexandre Isidio da Silva</t>
  </si>
  <si>
    <t>Petroreconcavo</t>
  </si>
  <si>
    <t>Reserva importada do Sistema TMS. OS: 17120</t>
  </si>
  <si>
    <t>Verificação de bilhetes: Bilhete 2971622843 já sendo utilizado para este fornecedor.</t>
  </si>
  <si>
    <t>Gustavo FRANCA</t>
  </si>
  <si>
    <t>Arcadis</t>
  </si>
  <si>
    <t>Mhajol Plaza Hotel</t>
  </si>
  <si>
    <t>Reserva importada do sistema Gover. Id: 4573938</t>
  </si>
  <si>
    <t xml:space="preserve">Não foi possível encontrar um contrato válido para o fornecedor 24774 (Código fornecedor) </t>
  </si>
  <si>
    <t>Ana B CONCEICAO DE AMORIM COELHO</t>
  </si>
  <si>
    <t>Reserva importada do sistema Gover. Id: 4573950</t>
  </si>
  <si>
    <t>MV2M9OAHSIBR</t>
  </si>
  <si>
    <t>Tais AVELAR GUIMARAES</t>
  </si>
  <si>
    <t>Ana Carolina da Silva</t>
  </si>
  <si>
    <t>Movida - Br - Sp - Sao Paulo - Bela Vista - Shoppi Endereço: Rua Rua Treze de Maio 1947</t>
  </si>
  <si>
    <t>Reserva importada do sistema Gover. Id: 4580746</t>
  </si>
  <si>
    <t>MV3024FG78BR</t>
  </si>
  <si>
    <t>Wilson LIMA GOMES JUNIOR</t>
  </si>
  <si>
    <t>Movida - Br - Sp - Sao Paulo - Pinheiros Endereço: Avenida Reboucas, 3970 Pinheiros</t>
  </si>
  <si>
    <t>Reserva importada do sistema Gover. Id: 4580142</t>
  </si>
  <si>
    <t>5FYE0K</t>
  </si>
  <si>
    <t>MERIELEN SILVA</t>
  </si>
  <si>
    <t>Mauricio Almeida de Lima</t>
  </si>
  <si>
    <t>Ache Laboratorios Farmaceuticos Sa</t>
  </si>
  <si>
    <t>Reserva importada do Sistema TMS. OS: 79826</t>
  </si>
  <si>
    <t>5GLHCD</t>
  </si>
  <si>
    <t>ASSIS MONTI NETO</t>
  </si>
  <si>
    <t>Giovanna Duarte Pereira</t>
  </si>
  <si>
    <t>Reserva importada do Sistema TMS. OS: 79043</t>
  </si>
  <si>
    <t>5GJBEC</t>
  </si>
  <si>
    <t>ANA DIAS</t>
  </si>
  <si>
    <t>Reserva importada do Sistema TMS. OS: 80526</t>
  </si>
  <si>
    <t>5G5S2H</t>
  </si>
  <si>
    <t>DAVID CHAGAS</t>
  </si>
  <si>
    <t>Reserva importada do Sistema TMS. OS: 81131</t>
  </si>
  <si>
    <t>5GMM8H</t>
  </si>
  <si>
    <t>THIAGO SILVEIRA</t>
  </si>
  <si>
    <t>Thais Peixoto de Melo</t>
  </si>
  <si>
    <t>Reserva importada do Sistema TMS. OS: 81021</t>
  </si>
  <si>
    <t>5G58HZ</t>
  </si>
  <si>
    <t>JOSE AZEVEDO</t>
  </si>
  <si>
    <t>Reserva importada do Sistema TMS. OS: 79691</t>
  </si>
  <si>
    <t>5G6GDC</t>
  </si>
  <si>
    <t>ISAIAS ALVES</t>
  </si>
  <si>
    <t>Reserva importada do Sistema TMS. OS: 79890</t>
  </si>
  <si>
    <t>5F6N7L</t>
  </si>
  <si>
    <t>ADRIANO SILVA</t>
  </si>
  <si>
    <t>BEATRYZ DA SILVA COSTA</t>
  </si>
  <si>
    <t>Reserva importada do Sistema TMS. OS: 80263</t>
  </si>
  <si>
    <t>5GT8FV</t>
  </si>
  <si>
    <t>REGINALDO TORRES</t>
  </si>
  <si>
    <t>Leticia Jesus Vital</t>
  </si>
  <si>
    <t>Reserva importada do Sistema TMS. OS: 80624</t>
  </si>
  <si>
    <t>5GMQWO</t>
  </si>
  <si>
    <t>AMANDA ARAUJO</t>
  </si>
  <si>
    <t>Rio de Janeiro / RJ, Brasil (RIO)</t>
  </si>
  <si>
    <t>Etau</t>
  </si>
  <si>
    <t>Reserva importada do Sistema TMS. OS: 21963</t>
  </si>
  <si>
    <t>5GC6ZK</t>
  </si>
  <si>
    <t>RENATO OLIVEIRA AGUIAR</t>
  </si>
  <si>
    <t>Felipe Aparecido da Silva Neves</t>
  </si>
  <si>
    <t>Ate 2 - Ate Ii Transmissora de Energia</t>
  </si>
  <si>
    <t>Reserva importada do Sistema TMS. OS: 22299</t>
  </si>
  <si>
    <t>GAQTUR2</t>
  </si>
  <si>
    <t>JORGE TEIXEIRA LOURENCO</t>
  </si>
  <si>
    <t>Sao Pedro</t>
  </si>
  <si>
    <t>Reserva importada do Sistema TMS. OS: 21209</t>
  </si>
  <si>
    <t>Verificação de bilhetes: Bilhete 2142011770 já sendo utilizado para este fornecedor.</t>
  </si>
  <si>
    <t>5GUPSO</t>
  </si>
  <si>
    <t>LUDMILLA LIMA COUTO LOUBACK</t>
  </si>
  <si>
    <t>Taesa Matriz</t>
  </si>
  <si>
    <t>Reserva importada do Sistema TMS. OS: 22317</t>
  </si>
  <si>
    <t>5G9PY7</t>
  </si>
  <si>
    <t>SANDRO DA CRUZ</t>
  </si>
  <si>
    <t>Reserva importada do Sistema TMS. OS: 22306</t>
  </si>
  <si>
    <t>5GBZ6U</t>
  </si>
  <si>
    <t>FREDERICO DA FONSECA</t>
  </si>
  <si>
    <t>Reserva importada do Sistema TMS. OS: 22305</t>
  </si>
  <si>
    <t>5GAQ6J</t>
  </si>
  <si>
    <t>JORGE BRAGA JUNIOR</t>
  </si>
  <si>
    <t>Reserva importada do Sistema TMS. OS: 22304</t>
  </si>
  <si>
    <t>5GCAHU</t>
  </si>
  <si>
    <t>ALESSANDRO MACEDO</t>
  </si>
  <si>
    <t>Ananai</t>
  </si>
  <si>
    <t>Reserva importada do Sistema TMS. OS: 22271</t>
  </si>
  <si>
    <t>5FH4I8</t>
  </si>
  <si>
    <t>EDUARDO RODRIGUES</t>
  </si>
  <si>
    <t>Mattos Filho</t>
  </si>
  <si>
    <t>Reserva importada do Sistema TMS. OS: 4698</t>
  </si>
  <si>
    <t>5G05F0</t>
  </si>
  <si>
    <t>THIAGO LUIS SOMBRA</t>
  </si>
  <si>
    <t>Jennifer dos Santos Guedes de Oliveira</t>
  </si>
  <si>
    <t>Reserva importada do Sistema TMS. OS: 4723</t>
  </si>
  <si>
    <t>5G958Z</t>
  </si>
  <si>
    <t>FERNANDO NEUSTEIN</t>
  </si>
  <si>
    <t>Reserva importada do Sistema TMS. OS: 4744</t>
  </si>
  <si>
    <t>5GF7G7</t>
  </si>
  <si>
    <t>ALEXANDRO MARCELO FRANCISCO</t>
  </si>
  <si>
    <t>Motiva Filial</t>
  </si>
  <si>
    <t>Reserva importada do Sistema TMS. OS: 39486</t>
  </si>
  <si>
    <t>5GF6BK</t>
  </si>
  <si>
    <t>LUCAS GABRIEL JULIAO</t>
  </si>
  <si>
    <t>Prvias</t>
  </si>
  <si>
    <t>Reserva importada do Sistema TMS. OS: 39500</t>
  </si>
  <si>
    <t>5GY60K</t>
  </si>
  <si>
    <t>MATHEUS RAMOS</t>
  </si>
  <si>
    <t>Reserva importada do Sistema TMS. OS: 39499</t>
  </si>
  <si>
    <t>5GU6PK</t>
  </si>
  <si>
    <t>ARIEL ANTUNES TEIXEIRA</t>
  </si>
  <si>
    <t>Reserva importada do Sistema TMS. OS: 39498</t>
  </si>
  <si>
    <t>5GNHPI</t>
  </si>
  <si>
    <t>LEANDRO JUNIOR DA CRUZ NOBRE</t>
  </si>
  <si>
    <t>Reserva importada do Sistema TMS. OS: 39497</t>
  </si>
  <si>
    <t>5G87WN</t>
  </si>
  <si>
    <t>Reserva importada do Sistema TMS. OS: 39627</t>
  </si>
  <si>
    <t>5DY96L</t>
  </si>
  <si>
    <t>LUIS ANTONIO GONCALVES</t>
  </si>
  <si>
    <t>Mercure Curitiba Sete de Setembro Inativo</t>
  </si>
  <si>
    <t>Reserva importada do Sistema TMS. OS: 37762</t>
  </si>
  <si>
    <t xml:space="preserve">Não foi possível encontrar um contrato válido para o fornecedor 3626 (Código fornecedor) </t>
  </si>
  <si>
    <t>5C5569</t>
  </si>
  <si>
    <t>FELIPE DELMIRO PEREIRA</t>
  </si>
  <si>
    <t>Araucaria / CWB</t>
  </si>
  <si>
    <t>Bloco Sul</t>
  </si>
  <si>
    <t>Reserva importada do Sistema TMS. OS: 36965</t>
  </si>
  <si>
    <t>53S3O8.F2</t>
  </si>
  <si>
    <t>FRANCIELE MARIA HOENIG QUADROS</t>
  </si>
  <si>
    <t>Viasul</t>
  </si>
  <si>
    <t>Movida - Br - Rs - Porto Alegre - Sao Joao</t>
  </si>
  <si>
    <t>Reserva importada do Sistema TMS. OS: 30855</t>
  </si>
  <si>
    <t>5F2WCX</t>
  </si>
  <si>
    <t>DIOGO ALVES RIOS</t>
  </si>
  <si>
    <t>Motiva Matriz</t>
  </si>
  <si>
    <t>Reserva importada do Sistema TMS. OS: 38484</t>
  </si>
  <si>
    <t>5FTJTA</t>
  </si>
  <si>
    <t>FERNAO CAMARGO</t>
  </si>
  <si>
    <t>Flavio Roberto Ferreira</t>
  </si>
  <si>
    <t>Reserva importada do Sistema TMS. OS: 38477</t>
  </si>
  <si>
    <t>5EJS4K</t>
  </si>
  <si>
    <t>Reserva importada do Sistema TMS. OS: 38265</t>
  </si>
  <si>
    <t>5GGQBN</t>
  </si>
  <si>
    <t>ARTHUR SILVA</t>
  </si>
  <si>
    <t>Belo Horizonte / BHZ</t>
  </si>
  <si>
    <t>Pagseguro Internet Instituicao de Pagamento S.a.</t>
  </si>
  <si>
    <t>Reserva importada do Sistema TMS. OS: 25782</t>
  </si>
  <si>
    <t>5GK6U4</t>
  </si>
  <si>
    <t>ABNER FRANCISCO LAUXEN</t>
  </si>
  <si>
    <t>Ana Paula Salgado de Oliveira</t>
  </si>
  <si>
    <t>Colt - Compass. Uol Tecnologia</t>
  </si>
  <si>
    <t>Reserva importada do Sistema TMS. OS: 25308</t>
  </si>
  <si>
    <t>5GZZCP</t>
  </si>
  <si>
    <t>FRANCISCO BATISTA</t>
  </si>
  <si>
    <t>NATALIA BARRAL DE OLIVEIRA</t>
  </si>
  <si>
    <t>Reserva importada do Sistema TMS. OS: 24266</t>
  </si>
  <si>
    <t>H/4580264</t>
  </si>
  <si>
    <t>Saulo Pimentel dos Santos</t>
  </si>
  <si>
    <t>Francisca Maria Mangueira</t>
  </si>
  <si>
    <t>Souza Cruz</t>
  </si>
  <si>
    <t>Reserva importada do sistema Gover. Id: 4580264</t>
  </si>
  <si>
    <t>Renata Vanni de Lima</t>
  </si>
  <si>
    <t>Fundacao Albino Souza Cruz</t>
  </si>
  <si>
    <t>Radisson Oscar Freire</t>
  </si>
  <si>
    <t>Reserva importada do sistema Gover. Id: 4572443</t>
  </si>
  <si>
    <t>Thais Dayane Mueller</t>
  </si>
  <si>
    <t>Reserva importada do sistema Gover. Id: 4580799</t>
  </si>
  <si>
    <t>WNOEGST</t>
  </si>
  <si>
    <t>SILVA/CLEIDE</t>
  </si>
  <si>
    <t>Ana Clara Brime</t>
  </si>
  <si>
    <t>L9PC</t>
  </si>
  <si>
    <t>Grupo Casas Bahia S.a.</t>
  </si>
  <si>
    <t>WRWVCLT</t>
  </si>
  <si>
    <t>MAIOLI/ALDA</t>
  </si>
  <si>
    <t>L9PD</t>
  </si>
  <si>
    <t>UQINQUT</t>
  </si>
  <si>
    <t>NEVES/HENRIQUE</t>
  </si>
  <si>
    <t>LC39</t>
  </si>
  <si>
    <t>FJILYNT</t>
  </si>
  <si>
    <t>SILVA/MICHELE</t>
  </si>
  <si>
    <t>L9YR</t>
  </si>
  <si>
    <t>GUDHQPT</t>
  </si>
  <si>
    <t>SOUZA/FLAVIO</t>
  </si>
  <si>
    <t>L9RT</t>
  </si>
  <si>
    <t>AGKDXNT</t>
  </si>
  <si>
    <t>OLIVEIRA/FABRICIO</t>
  </si>
  <si>
    <t>L9T6</t>
  </si>
  <si>
    <t>Hotel Brotas</t>
  </si>
  <si>
    <t>FOHKIPT</t>
  </si>
  <si>
    <t>SILVA/EDNEIA</t>
  </si>
  <si>
    <t>L9RV</t>
  </si>
  <si>
    <t>Ibis Petrolina</t>
  </si>
  <si>
    <t>Fornecedor não preenchido! (ACC03)</t>
  </si>
  <si>
    <t>Novoleste Hotel</t>
  </si>
  <si>
    <t>YKTXOYT</t>
  </si>
  <si>
    <t>PIRES/FERNANDO</t>
  </si>
  <si>
    <t>L9TQ</t>
  </si>
  <si>
    <t>AJOJHOT</t>
  </si>
  <si>
    <t>FREITAS NETO/JOSE</t>
  </si>
  <si>
    <t>L9MK</t>
  </si>
  <si>
    <t>GFLVWET</t>
  </si>
  <si>
    <t>BERGELT/LISIA</t>
  </si>
  <si>
    <t>L9PG</t>
  </si>
  <si>
    <t>HHDBPMT</t>
  </si>
  <si>
    <t>PINHEIRO/ALANA</t>
  </si>
  <si>
    <t>L9P9</t>
  </si>
  <si>
    <t>MGOUWQT</t>
  </si>
  <si>
    <t>SILVA/WELLINGTON</t>
  </si>
  <si>
    <t>L9K3</t>
  </si>
  <si>
    <t>NINLCFT</t>
  </si>
  <si>
    <t>JACINTO/ALESSANDRA</t>
  </si>
  <si>
    <t>L969</t>
  </si>
  <si>
    <t>UATHIXT</t>
  </si>
  <si>
    <t>MADRUGA/ADENILSON</t>
  </si>
  <si>
    <t>L96C</t>
  </si>
  <si>
    <t>ARRLWAT</t>
  </si>
  <si>
    <t>AREIAS/RONALDO</t>
  </si>
  <si>
    <t>L9WP</t>
  </si>
  <si>
    <t>MBVIHBT</t>
  </si>
  <si>
    <t>BRITO/PRISCILA</t>
  </si>
  <si>
    <t>L9TR</t>
  </si>
  <si>
    <t>MCEIKNT</t>
  </si>
  <si>
    <t>SEGATTO/FERNANDO</t>
  </si>
  <si>
    <t>L9XN</t>
  </si>
  <si>
    <t>GZAWRRT</t>
  </si>
  <si>
    <t>SANTOS/ANDRE</t>
  </si>
  <si>
    <t>L9RX</t>
  </si>
  <si>
    <t>Go Inn Aracaju</t>
  </si>
  <si>
    <t>OIENNQT</t>
  </si>
  <si>
    <t>SANTOS/ANTONIO</t>
  </si>
  <si>
    <t>L9TC</t>
  </si>
  <si>
    <t>Jardins Plaza Hotel</t>
  </si>
  <si>
    <t>Nord Easy Patos</t>
  </si>
  <si>
    <t>ARKZTRT</t>
  </si>
  <si>
    <t>L9X4</t>
  </si>
  <si>
    <t>NQEZUST</t>
  </si>
  <si>
    <t>CORREA/FERNANDA</t>
  </si>
  <si>
    <t>L9VX</t>
  </si>
  <si>
    <t>KUUCHRT</t>
  </si>
  <si>
    <t>SANTANA/EDSON</t>
  </si>
  <si>
    <t>L9X6</t>
  </si>
  <si>
    <t>OSVKYLT</t>
  </si>
  <si>
    <t>L9TW</t>
  </si>
  <si>
    <t>QZDHOPT</t>
  </si>
  <si>
    <t>LESSA/PAULO</t>
  </si>
  <si>
    <t>L9X9</t>
  </si>
  <si>
    <t>FZITHV</t>
  </si>
  <si>
    <t>DA SILVA LEITE/JESSICA</t>
  </si>
  <si>
    <t>CORA TORLAI CIRINO</t>
  </si>
  <si>
    <t>Consulado Geral da Nova Zelandia</t>
  </si>
  <si>
    <t>CMMYPQ</t>
  </si>
  <si>
    <t>ROSARIO/ROSANA PEREIRA DO</t>
  </si>
  <si>
    <t>William da Cruz Canteiro</t>
  </si>
  <si>
    <t>3N74</t>
  </si>
  <si>
    <t>Grupo Atento</t>
  </si>
  <si>
    <t>Atento Brasil S/a</t>
  </si>
  <si>
    <t>FCM-OPE-POA-PVI-ATENTO</t>
  </si>
  <si>
    <t>WGVRHAT</t>
  </si>
  <si>
    <t>WGVRHA</t>
  </si>
  <si>
    <t>DOTTHU1</t>
  </si>
  <si>
    <t>SUELMA ROSA DOS SANTOS</t>
  </si>
  <si>
    <t>Tami Maron</t>
  </si>
  <si>
    <t>Pepsico</t>
  </si>
  <si>
    <t>Reserva importada do Sistema TMS. OS: 1293</t>
  </si>
  <si>
    <t>Verificação de bilhetes: Bilhete 2971585096 já sendo utilizado para este fornecedor.</t>
  </si>
  <si>
    <t>5F6KG7</t>
  </si>
  <si>
    <t>RAPHAEL WOREK CYJON</t>
  </si>
  <si>
    <t>Thais Matte Andreis</t>
  </si>
  <si>
    <t>Reserva importada do Sistema TMS. OS: 1136</t>
  </si>
  <si>
    <t>5GSKQQ</t>
  </si>
  <si>
    <t>Reserva importada do Sistema TMS. OS: 1251</t>
  </si>
  <si>
    <t>5GHTLJ</t>
  </si>
  <si>
    <t>RITA MELO</t>
  </si>
  <si>
    <t>Renata Claudia de Oliveira</t>
  </si>
  <si>
    <t>Colegio e Pre-vestibular Bernoulli - Un. Raja</t>
  </si>
  <si>
    <t>Reserva importada do Sistema TMS. OS: 2786</t>
  </si>
  <si>
    <t>5GUGNJ</t>
  </si>
  <si>
    <t>Reserva importada do Sistema TMS. OS: 2782</t>
  </si>
  <si>
    <t>5GQK5K</t>
  </si>
  <si>
    <t>LUIZ GUILHERME NOVAIS</t>
  </si>
  <si>
    <t>Bernoulli Sistema de Ensino - Belo Horizonte</t>
  </si>
  <si>
    <t>Reserva importada do Sistema TMS. OS: 2920</t>
  </si>
  <si>
    <t>5GXKTK</t>
  </si>
  <si>
    <t>5G4XZO</t>
  </si>
  <si>
    <t>LUCAS SILVA</t>
  </si>
  <si>
    <t>Recife / REC</t>
  </si>
  <si>
    <t>Reserva importada do Sistema TMS. OS: 2849</t>
  </si>
  <si>
    <t>5G5AQN</t>
  </si>
  <si>
    <t>JUNIO FERREIRA</t>
  </si>
  <si>
    <t>Rio de Janeiro / RIO</t>
  </si>
  <si>
    <t>Reserva importada do Sistema TMS. OS: 2909</t>
  </si>
  <si>
    <t>5GKQAN</t>
  </si>
  <si>
    <t>FERNANDA SANTOS</t>
  </si>
  <si>
    <t>Reserva importada do Sistema TMS. OS: 2878</t>
  </si>
  <si>
    <t>5GOAQO</t>
  </si>
  <si>
    <t>Reserva importada do Sistema TMS. OS: 2877</t>
  </si>
  <si>
    <t>5GRTO7</t>
  </si>
  <si>
    <t>FERNANDO VIEIRA FILHO</t>
  </si>
  <si>
    <t>Osasco / QOC</t>
  </si>
  <si>
    <t>Reserva importada do Sistema TMS. OS: 2857</t>
  </si>
  <si>
    <t>5GU8NM</t>
  </si>
  <si>
    <t>BRAULIO UCHOA</t>
  </si>
  <si>
    <t>Reserva importada do Sistema TMS. OS: 2186</t>
  </si>
  <si>
    <t>5GIK90</t>
  </si>
  <si>
    <t>5GNKNB</t>
  </si>
  <si>
    <t>5GMLOM</t>
  </si>
  <si>
    <t>MOZART RAMOS</t>
  </si>
  <si>
    <t>Reserva importada do Sistema TMS. OS: 2179</t>
  </si>
  <si>
    <t>5G1N9P</t>
  </si>
  <si>
    <t>5GAXAL</t>
  </si>
  <si>
    <t>PATRICIA ROCHA</t>
  </si>
  <si>
    <t>Reserva importada do Sistema TMS. OS: 2861</t>
  </si>
  <si>
    <t>5GESZN</t>
  </si>
  <si>
    <t>REBECA TEIXEIRA</t>
  </si>
  <si>
    <t>Reserva importada do Sistema TMS. OS: 2854</t>
  </si>
  <si>
    <t>5GT2AL</t>
  </si>
  <si>
    <t>FLAVIA DIAS</t>
  </si>
  <si>
    <t>Florianópolis / FLN</t>
  </si>
  <si>
    <t>Reserva importada do Sistema TMS. OS: 2846</t>
  </si>
  <si>
    <t>5G6SZO</t>
  </si>
  <si>
    <t>Reserva importada do Sistema TMS. OS: 2843</t>
  </si>
  <si>
    <t>5GPDZO</t>
  </si>
  <si>
    <t>MARIA FABIANNE PAIXAO</t>
  </si>
  <si>
    <t>Belém / BEL</t>
  </si>
  <si>
    <t>Reserva importada do Sistema TMS. OS: 2818</t>
  </si>
  <si>
    <t>5GAD1L</t>
  </si>
  <si>
    <t>SANDRA NEGRINI</t>
  </si>
  <si>
    <t>Reserva importada do Sistema TMS. OS: 2817</t>
  </si>
  <si>
    <t>5G3I58</t>
  </si>
  <si>
    <t>MAYSA SILVA</t>
  </si>
  <si>
    <t>Campo Grande / CGR</t>
  </si>
  <si>
    <t>Reserva importada do Sistema TMS. OS: 2911</t>
  </si>
  <si>
    <t>5GQDP3</t>
  </si>
  <si>
    <t>DEBORA TUREK</t>
  </si>
  <si>
    <t>Genial Investimentos Corretora</t>
  </si>
  <si>
    <t>Verificação de bilhetes: Bilhete 4453300183 já sendo utilizado para este fornecedor.</t>
  </si>
  <si>
    <t>QUANTIDADE</t>
  </si>
  <si>
    <t>CAUSA</t>
  </si>
  <si>
    <t>SOLUÇÃO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</si>
  <si>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</si>
  <si>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</si>
  <si>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</si>
  <si>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</si>
  <si>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</si>
  <si>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</si>
  <si>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Caractere inválido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</si>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</sst>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pivotButton="1" applyFont="1" applyAlignment="1">
      <alignment horizontal="left"/>
    </xf>
    <xf numFmtId="3" fontId="7" fillId="7" borderId="0" xfId="0" applyNumberFormat="1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16" fillId="8" borderId="0" xfId="0" applyFont="1" applyFill="1" applyAlignment="1">
      <alignment horizontal="left"/>
    </xf>
    <xf numFmtId="0" fontId="16" fillId="8" borderId="0" xfId="0" applyFont="1" applyFill="1"/>
    <xf numFmtId="0" fontId="17" fillId="9" borderId="0" xfId="0" applyFont="1" applyFill="1"/>
    <xf numFmtId="0" fontId="18" fillId="0" borderId="0" xfId="0" applyFont="1" applyAlignment="1">
      <alignment horizontal="left"/>
    </xf>
    <xf numFmtId="0" fontId="11" fillId="7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7" fillId="0" borderId="0" xfId="0" applyNumberFormat="1" applyFont="1" applyAlignment="1">
      <alignment horizontal="center"/>
    </xf>
  </cellXfs>
  <cellStyles count="1">
    <cellStyle name="Normal" xfId="0" builtinId="0"/>
  </cellStyles>
  <dxfs count="1132"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131"/>
      <tableStyleElement type="totalRow" dxfId="1130"/>
      <tableStyleElement type="firstSubtotalRow" dxfId="1129"/>
      <tableStyleElement type="pageFieldLabels" dxfId="1128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82.323696527776" createdVersion="8" refreshedVersion="8" minRefreshableVersion="3" recordCount="562" xr:uid="{00000000-000A-0000-FFFF-FFFF93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2130785" maxValue="22734794"/>
    </cacheField>
    <cacheField name="Handle ACC" numFmtId="0">
      <sharedItems containsString="0" containsBlank="1" containsNumber="1" containsInteger="1" minValue="23011274" maxValue="23531755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3-01-11T09:14:44" maxDate="2025-08-13T06:05:06" count="8000">
        <d v="2025-08-12T16:20:05"/>
        <d v="2025-08-11T19:07:55"/>
        <d v="2025-08-12T12:36:00"/>
        <d v="2025-08-12T12:36:12"/>
        <d v="2025-08-12T12:29:21"/>
        <d v="2025-08-13T06:05:06"/>
        <d v="2025-08-12T16:22:50"/>
        <d v="2025-08-05T00:04:41"/>
        <d v="2025-08-12T00:14:44"/>
        <d v="2025-08-12T09:44:11"/>
        <d v="2025-08-12T14:39:14"/>
        <d v="2025-08-13T00:42:22"/>
        <d v="2025-08-13T00:45:13"/>
        <d v="2025-08-12T22:44:19"/>
        <d v="2025-06-26T20:26:48"/>
        <d v="2025-08-05T22:38:34"/>
        <d v="2025-06-05T10:32:08"/>
        <d v="2025-08-12T09:01:47"/>
        <d v="2025-08-12T09:15:59"/>
        <d v="2025-08-12T09:16:13"/>
        <d v="2025-08-12T16:22:40"/>
        <d v="2025-08-12T16:23:07"/>
        <d v="2025-08-08T15:01:38"/>
        <d v="2025-08-11T17:47:23"/>
        <d v="2025-08-12T18:02:47"/>
        <d v="2025-08-05T10:01:59"/>
        <d v="2025-08-01T19:46:17"/>
        <d v="2025-08-06T10:16:40"/>
        <d v="2025-08-11T18:16:08"/>
        <d v="2025-08-11T18:16:16"/>
        <d v="2025-08-11T18:16:23"/>
        <d v="2025-08-07T09:01:50"/>
        <d v="2025-08-12T10:01:25"/>
        <d v="2025-08-12T16:23:13"/>
        <d v="2025-08-06T13:19:07"/>
        <d v="2025-08-12T18:32:27"/>
        <d v="2025-08-12T18:43:58"/>
        <d v="2025-08-12T18:20:43"/>
        <d v="2025-08-12T19:43:59"/>
        <d v="2025-08-12T20:39:56"/>
        <d v="2025-07-30T12:43:00"/>
        <d v="2025-08-05T15:42:10"/>
        <d v="2025-08-06T10:53:29"/>
        <d v="2025-08-06T13:47:55"/>
        <d v="2025-08-06T12:52:24"/>
        <d v="2025-08-07T11:52:07"/>
        <d v="2025-08-07T12:24:00"/>
        <d v="2025-08-07T12:41:55"/>
        <d v="2025-08-12T15:34:30"/>
        <d v="2025-08-12T15:48:30"/>
        <d v="2025-08-12T16:00:36"/>
        <d v="2025-08-12T12:46:12"/>
        <d v="2025-08-12T12:53:57"/>
        <d v="2025-08-12T12:32:28"/>
        <d v="2025-08-12T12:59:59"/>
        <d v="2025-08-12T17:40:30"/>
        <d v="2025-08-12T17:48:52"/>
        <d v="2025-08-12T17:32:02"/>
        <d v="2025-08-12T19:08:21"/>
        <d v="2025-08-12T18:56:39"/>
        <d v="2025-08-12T19:02:27"/>
        <d v="2025-08-12T16:22:00"/>
        <d v="2025-08-12T08:11:59"/>
        <d v="2025-08-12T10:16:32"/>
        <d v="2025-08-12T10:19:58"/>
        <d v="2025-08-12T14:57:53"/>
        <d v="2025-08-12T14:06:03"/>
        <d v="2025-08-12T14:18:01"/>
        <d v="2025-08-12T16:12:36"/>
        <d v="2025-08-12T16:12:39"/>
        <d v="2025-08-12T10:08:08"/>
        <d v="2025-08-12T18:39:58"/>
        <d v="2025-08-12T19:56:01"/>
        <d v="2025-08-12T08:31:26"/>
        <d v="2025-08-12T08:01:49"/>
        <d v="2025-08-12T13:16:44"/>
        <d v="2025-08-12T13:16:59"/>
        <d v="2025-08-12T13:17:11"/>
        <d v="2025-08-07T18:21:39"/>
        <d v="2025-07-31T18:50:17"/>
        <d v="2025-08-12T19:05:23"/>
        <d v="2025-08-01T19:21:00"/>
        <d v="2025-08-12T16:17:39"/>
        <d v="2025-08-12T16:20:18"/>
        <d v="2025-08-01T10:06:28"/>
        <d v="2025-08-12T08:20:55"/>
        <d v="2025-08-01T17:08:00"/>
        <d v="2025-08-07T15:06:30"/>
        <d v="2025-08-05T13:06:07"/>
        <d v="2025-08-11T09:06:30"/>
        <d v="2025-08-01T09:07:30"/>
        <d v="2025-05-05T11:58:46"/>
        <d v="2025-08-08T17:44:53"/>
        <d v="2025-08-11T10:45:26"/>
        <d v="2025-08-12T16:18:12"/>
        <d v="2025-08-12T12:20:09"/>
        <d v="2025-08-12T12:20:13"/>
        <d v="2025-08-12T12:20:17"/>
        <d v="2025-08-12T18:04:14"/>
        <d v="2025-08-12T18:04:15"/>
        <d v="2025-08-12T17:02:26"/>
        <d v="2025-08-12T14:01:43"/>
        <d v="2025-08-12T14:01:45"/>
        <d v="2025-08-12T12:01:25"/>
        <d v="2025-08-11T18:01:03"/>
        <d v="2025-08-11T18:01:39"/>
        <d v="2025-08-11T18:03:09"/>
        <d v="2025-08-12T17:02:27"/>
        <d v="2025-08-12T10:03:17"/>
        <d v="2025-08-12T10:03:18"/>
        <d v="2025-08-12T10:03:31"/>
        <d v="2025-08-12T16:00:56"/>
        <d v="2025-08-12T18:04:29"/>
        <d v="2025-08-12T18:04:30"/>
        <d v="2025-08-12T18:04:32"/>
        <d v="2025-08-12T18:04:33"/>
        <d v="2025-08-12T18:04:34"/>
        <d v="2025-08-11T18:02:41"/>
        <d v="2025-08-11T09:01:07"/>
        <d v="2025-08-11T09:01:54"/>
        <d v="2025-08-08T18:03:34"/>
        <d v="2025-08-11T11:02:23"/>
        <d v="2025-08-08T10:00:33"/>
        <d v="2025-07-30T18:00:39"/>
        <d v="2025-08-04T12:00:39"/>
        <d v="2025-08-04T12:00:42"/>
        <d v="2025-08-08T01:04:51"/>
        <d v="2025-08-12T00:16:52"/>
        <d v="2025-08-04T17:02:56"/>
        <d v="2025-08-04T17:04:45"/>
        <d v="2025-08-12T18:47:03"/>
        <d v="2025-08-12T18:47:06"/>
        <d v="2025-08-04T18:22:06"/>
        <d v="2025-08-11T18:27:05"/>
        <d v="2025-08-12T12:18:20"/>
        <d v="2025-08-13T00:16:27"/>
        <d v="2025-08-05T18:24:07"/>
        <d v="2025-08-13T00:21:50"/>
        <d v="2025-08-12T00:19:37"/>
        <d v="2025-08-12T18:56:38"/>
        <d v="2025-08-12T00:20:08"/>
        <d v="2025-08-11T19:07:07"/>
        <d v="2025-08-07T19:13:34"/>
        <d v="2025-08-07T19:13:42"/>
        <d v="2025-08-11T12:34:30"/>
        <d v="2025-08-01T18:48:28"/>
        <d v="2025-07-23T18:41:25"/>
        <d v="2025-08-06T00:16:49"/>
        <d v="2025-08-06T00:20:49"/>
        <d v="2025-08-11T00:03:44"/>
        <d v="2025-08-11T19:08:27"/>
        <d v="2025-08-12T19:03:17"/>
        <d v="2025-08-05T12:28:10"/>
        <d v="2025-07-30T12:58:31"/>
        <d v="2025-08-07T19:13:01"/>
        <d v="2025-08-07T19:13:08"/>
        <d v="2025-08-07T00:16:47"/>
        <d v="2025-08-06T00:20:27"/>
        <d v="2025-08-06T18:56:26"/>
        <d v="2025-08-12T12:35:37"/>
        <d v="2025-08-08T12:14:25"/>
        <d v="2025-08-12T18:20:24"/>
        <d v="2025-08-12T18:20:34"/>
        <d v="2025-07-24T18:18:12"/>
        <d v="2025-07-24T18:18:28"/>
        <d v="2025-08-12T18:20:45"/>
        <d v="2025-08-04T18:18:06"/>
        <d v="2025-07-28T18:23:36"/>
        <d v="2025-07-31T12:21:52"/>
        <d v="2025-08-12T18:25:54"/>
        <d v="2025-08-12T18:27:48"/>
        <d v="2025-08-12T18:28:00"/>
        <d v="2025-08-12T18:28:07"/>
        <d v="2025-08-12T18:28:13"/>
        <d v="2025-08-11T18:09:54"/>
        <d v="2025-08-11T18:10:07"/>
        <d v="2025-08-11T18:08:18"/>
        <d v="2025-08-11T18:08:19"/>
        <d v="2025-08-06T12:47:08"/>
        <d v="2025-08-06T16:27:13"/>
        <d v="2025-08-06T16:27:27"/>
        <d v="2025-08-11T18:09:18"/>
        <d v="2025-08-11T18:09:29"/>
        <d v="2025-08-05T16:11:09"/>
        <d v="2025-08-11T18:10:37"/>
        <d v="2025-08-11T18:10:38"/>
        <d v="2025-08-07T19:21:41"/>
        <d v="2025-08-07T16:47:09"/>
        <d v="2025-08-01T12:40:14"/>
        <d v="2025-08-11T18:06:49"/>
        <d v="2025-08-12T18:28:46"/>
        <d v="2025-08-12T18:28:49"/>
        <d v="2025-08-12T18:26:46"/>
        <d v="2025-08-13T00:23:31"/>
        <d v="2025-08-11T10:31:14"/>
        <d v="2025-08-11T17:17:19"/>
        <d v="2025-08-04T19:44:56"/>
        <d v="2025-08-11T19:37:00"/>
        <d v="2025-08-11T19:36:14"/>
        <d v="2025-08-11T19:37:49"/>
        <d v="2025-08-11T19:37:22"/>
        <d v="2025-08-11T19:38:21"/>
        <d v="2025-08-11T19:49:56"/>
        <d v="2025-08-11T19:50:02"/>
        <d v="2025-08-11T19:50:07"/>
        <d v="2025-08-11T19:38:11"/>
        <d v="2025-08-11T19:38:16"/>
        <d v="2025-08-11T19:37:06"/>
        <d v="2025-08-11T19:37:16"/>
        <d v="2025-08-11T19:36:38"/>
        <d v="2025-08-11T19:22:07"/>
        <d v="2025-08-11T19:50:12"/>
        <d v="2025-08-11T19:37:59"/>
        <d v="2025-08-12T19:06:00"/>
        <d v="2025-08-12T19:06:07"/>
        <d v="2025-08-12T18:50:33"/>
        <d v="2025-08-12T18:50:38"/>
        <d v="2025-08-12T18:50:43"/>
        <d v="2025-08-12T18:50:54"/>
        <d v="2025-08-06T13:30:24"/>
        <d v="2025-08-08T17:10:54"/>
        <d v="2025-08-04T18:07:43"/>
        <d v="2025-08-11T08:49:51"/>
        <d v="2025-08-06T16:06:00"/>
        <d v="2025-08-07T10:35:31"/>
        <d v="2025-08-07T15:06:47"/>
        <d v="2025-08-11T19:21:37"/>
        <d v="2025-08-11T19:21:43"/>
        <d v="2025-08-11T19:21:48"/>
        <d v="2025-08-11T19:21:52"/>
        <d v="2025-08-11T19:36:44"/>
        <d v="2025-08-11T19:37:43"/>
        <d v="2025-08-11T19:22:02"/>
        <d v="2025-08-11T19:36:20"/>
        <d v="2025-08-11T19:36:26"/>
        <d v="2025-08-11T19:36:32"/>
        <d v="2025-08-11T19:22:12"/>
        <d v="2025-08-11T19:36:01"/>
        <d v="2025-08-11T19:36:08"/>
        <d v="2025-08-12T17:50:40"/>
        <d v="2025-08-12T18:08:12"/>
        <d v="2025-08-12T18:20:21"/>
        <d v="2025-08-12T18:35:24"/>
        <d v="2025-08-12T19:05:53"/>
        <d v="2025-08-11T14:07:25"/>
        <d v="2025-08-10T15:20:36"/>
        <d v="2025-08-05T23:04:56"/>
        <d v="2025-08-12T15:37:28"/>
        <d v="2025-08-12T15:50:01"/>
        <d v="2025-08-12T17:25:46"/>
        <d v="2025-07-15T13:04:37"/>
        <d v="2025-08-06T18:14:24"/>
        <d v="2025-08-06T18:24:16"/>
        <d v="2025-08-04T16:06:35"/>
        <d v="2025-07-15T19:34:35"/>
        <d v="2025-07-16T18:44:21"/>
        <d v="2025-08-05T18:17:10"/>
        <d v="2025-08-05T18:17:15"/>
        <d v="2025-08-05T18:17:29"/>
        <d v="2025-08-05T18:17:34"/>
        <d v="2025-08-12T18:15:05"/>
        <d v="2025-08-08T19:12:20"/>
        <d v="2025-08-12T19:09:23"/>
        <d v="2025-08-12T19:07:34"/>
        <d v="2025-08-12T19:07:51"/>
        <d v="2025-08-12T19:08:28"/>
        <d v="2025-08-12T12:43:11"/>
        <d v="2025-08-07T12:54:43"/>
        <d v="2025-08-07T12:54:47"/>
        <d v="2025-08-12T19:08:50"/>
        <d v="2025-08-12T19:09:14"/>
        <d v="2025-08-12T19:09:26"/>
        <d v="2025-08-12T19:09:30"/>
        <d v="2025-08-12T10:04:51"/>
        <d v="2025-08-12T10:04:54"/>
        <d v="2025-08-08T09:56:37"/>
        <d v="2025-08-11T09:14:15"/>
        <d v="2025-08-07T15:10:56"/>
        <d v="2025-07-16T18:54:16"/>
        <d v="2025-07-18T11:16:33"/>
        <d v="2025-08-12T10:15:54"/>
        <d v="2025-08-04T18:14:40"/>
        <d v="2025-08-05T08:04:49"/>
        <d v="2025-08-12T16:07:08"/>
        <d v="2025-08-12T16:19:27"/>
        <d v="2025-08-12T18:02:32"/>
        <d v="2025-08-12T17:02:44"/>
        <d v="2025-08-12T17:02:51"/>
        <d v="2025-08-12T10:01:48"/>
        <d v="2025-08-12T12:18:08"/>
        <d v="2025-08-12T00:10:50"/>
        <d v="2025-08-08T12:15:30"/>
        <d v="2025-08-11T12:16:43"/>
        <d v="2025-08-11T12:16:50"/>
        <d v="2025-07-30T10:01:00"/>
        <d v="2025-07-29T09:01:00"/>
        <d v="2025-07-29T09:01:02"/>
        <d v="2025-07-29T09:01:04"/>
        <d v="2025-07-31T10:00:41"/>
        <d v="2025-07-31T10:00:42"/>
        <d v="2025-07-31T10:00:45"/>
        <d v="2025-07-31T10:00:46"/>
        <d v="2025-07-31T10:00:47"/>
        <d v="2025-07-31T10:00:50"/>
        <d v="2025-07-24T15:00:38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7-01T17:02:22"/>
        <d v="2025-07-16T18:04:07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8-11T09:00:58"/>
        <d v="2025-08-11T09:01:03"/>
        <d v="2025-08-04T09:02:14"/>
        <d v="2025-08-04T12:01:06"/>
        <d v="2025-08-05T17:00:33"/>
        <d v="2025-08-08T17:03:26"/>
        <d v="2025-08-11T12:02:50"/>
        <d v="2025-08-06T12:06:03"/>
        <d v="2025-08-04T16:02:23"/>
        <d v="2025-08-04T09:01:34"/>
        <d v="2025-07-30T09:03:42"/>
        <d v="2025-07-31T16:06:17"/>
        <d v="2025-07-31T16:06:18"/>
        <d v="2025-07-08T11:01:08"/>
        <d v="2025-07-08T16:02:56"/>
        <d v="2025-08-12T16:02:16"/>
        <d v="2025-08-11T21:01:05"/>
        <d v="2025-08-12T19:01:00"/>
        <d v="2025-08-07T14:02:47"/>
        <d v="2025-08-07T14:03:52"/>
        <d v="2025-08-12T14:01:23"/>
        <d v="2025-08-12T16:02:18"/>
        <d v="2025-08-12T16:01:31"/>
        <d v="2025-08-05T14:17:44"/>
        <d v="2025-08-05T14:17:45"/>
        <d v="2025-08-06T18:24:15"/>
        <d v="2025-08-13T06:04:49"/>
        <d v="2025-08-13T06:04:52"/>
        <d v="2025-08-11T18:39:05"/>
        <d v="2025-08-12T18:37:12"/>
        <d v="2025-08-12T18:38:45"/>
        <d v="2025-07-15T18:43:42"/>
        <d v="2025-08-04T12:26:02"/>
        <d v="2025-08-08T12:27:05"/>
        <d v="2025-08-08T18:47:15"/>
        <d v="2025-08-08T18:47:16"/>
        <d v="2025-08-11T18:47:05"/>
        <d v="2025-08-11T12:26:35"/>
        <d v="2025-07-24T18:35:00"/>
        <d v="2025-07-25T12:21:23"/>
        <d v="2025-07-23T11:02:26"/>
        <d v="2025-08-06T19:17:59"/>
        <d v="2025-08-06T15:31:52"/>
        <d v="2025-08-06T15:31:58"/>
        <d v="2025-08-06T15:32:04"/>
        <d v="2025-08-06T12:01:20"/>
        <d v="2025-08-05T16:02:13"/>
        <d v="2025-08-11T15:02:59"/>
        <d v="2025-08-11T15:16:14"/>
        <d v="2025-08-11T10:16:16"/>
        <d v="2025-08-07T18:17:29"/>
        <d v="2025-08-12T16:45:52"/>
        <d v="2025-08-12T18:01:07"/>
        <d v="2025-08-12T17:01:06"/>
        <d v="2025-08-08T10:15:55"/>
        <d v="2025-08-08T10:46:54"/>
        <d v="2025-08-11T17:31:40"/>
        <d v="2025-08-08T17:32:46"/>
        <d v="2025-08-08T17:32:53"/>
        <d v="2025-08-08T17:33:00"/>
        <d v="2025-08-07T19:00:48"/>
        <d v="2025-08-06T15:32:23"/>
        <d v="2025-08-12T11:46:25"/>
        <d v="2025-08-12T09:01:09"/>
        <d v="2025-08-12T16:45:34"/>
        <d v="2025-08-08T15:45:44"/>
        <d v="2025-08-08T12:15:38"/>
        <d v="2025-08-12T15:01:44"/>
        <d v="2025-08-12T16:22:45"/>
        <d v="2025-08-04T16:15:52"/>
        <d v="2025-08-11T13:46:16"/>
        <d v="2025-08-01T17:45:49"/>
        <d v="2025-08-06T14:16:25"/>
        <d v="2025-08-06T14:16:30"/>
        <d v="2025-08-06T14:31:15"/>
        <d v="2025-08-05T09:31:41"/>
        <d v="2025-08-04T18:45:50"/>
        <d v="2025-08-12T12:01:44"/>
        <d v="2025-08-12T12:02:14"/>
        <d v="2025-08-12T12:02:38"/>
        <d v="2025-08-12T11:46:50"/>
        <d v="2025-08-12T18:45:38"/>
        <d v="2025-08-08T12:16:18"/>
        <d v="2025-08-08T15:45:51"/>
        <d v="2025-08-07T18:16:44"/>
        <d v="2025-08-05T13:46:34"/>
        <d v="2025-08-08T15:46:01"/>
        <d v="2025-08-07T18:17:38"/>
        <d v="2025-08-08T10:46:44"/>
        <d v="2025-08-11T16:01:14"/>
        <d v="2025-08-11T10:01:31"/>
        <d v="2025-08-01T15:18:06"/>
        <d v="2025-08-12T16:21:10"/>
        <d v="2025-08-12T16:21:35"/>
        <d v="2025-08-08T10:17:56"/>
        <d v="2025-08-04T11:41:37"/>
        <d v="2025-08-04T11:41:40"/>
        <d v="2025-08-12T17:49:51"/>
        <d v="2025-08-08T16:20:09"/>
        <d v="2025-07-28T16:31:41"/>
        <d v="2025-08-07T18:50:06"/>
        <d v="2025-08-07T13:05:47"/>
        <d v="2025-08-01T17:35:33"/>
        <d v="2025-08-01T10:05:44"/>
        <d v="2025-08-12T18:43:44"/>
        <d v="2025-07-29T16:07:10"/>
        <d v="2025-07-29T16:16:28"/>
        <d v="2025-08-12T12:54:45"/>
        <d v="2025-08-12T12:44:21"/>
        <d v="2025-08-04T18:04:40"/>
        <d v="2025-08-07T18:12:51"/>
        <d v="2025-08-07T18:07:49"/>
        <d v="2025-08-11T12:02:41"/>
        <d v="2025-08-11T18:05:28"/>
        <d v="2025-08-06T18:11:10"/>
        <d v="2025-08-07T18:11:47"/>
        <d v="2025-08-05T18:04:11"/>
        <d v="2025-08-08T12:04:03"/>
        <d v="2025-08-13T00:18:23"/>
        <d v="2025-08-12T12:34:10"/>
        <d v="2025-08-05T18:41:15"/>
        <d v="2025-08-13T00:18:13"/>
        <d v="2025-08-12T00:15:20"/>
        <d v="2025-08-12T00:15:24"/>
        <d v="2025-08-12T00:15:28"/>
        <d v="2025-08-12T00:15:45"/>
        <d v="2025-08-05T00:15:53"/>
        <d v="2025-08-06T00:11:09"/>
        <d v="2025-08-06T18:30:16"/>
        <d v="2025-08-12T00:12:04"/>
        <d v="2025-08-12T12:23:06"/>
        <d v="2025-08-12T12:23:12"/>
        <d v="2025-08-12T12:23:18"/>
        <d v="2025-08-12T12:23:22"/>
        <d v="2025-08-13T06:02:50"/>
        <d v="2025-07-18T14:10:51"/>
        <d v="2025-07-10T12:14:46"/>
        <d v="2025-08-12T14:24:26"/>
        <d v="2025-07-30T12:44:22"/>
        <d v="2025-07-29T18:26:16"/>
        <d v="2025-07-25T18:28:35"/>
        <d v="2025-08-12T19:04:02"/>
        <d v="2025-08-08T12:41:37"/>
        <d v="2025-08-05T18:56:07"/>
        <d v="2025-08-12T15:06:01"/>
        <d v="2025-07-25T15:55:33"/>
        <d v="2025-08-12T18:15:57"/>
        <d v="2025-08-11T18:06:22"/>
        <d v="2025-08-11T18:20:31"/>
        <d v="2025-08-11T16:21:27"/>
        <d v="2025-08-11T15:36:06"/>
        <d v="2025-08-08T16:21:08"/>
        <d v="2025-08-11T11:37:25"/>
        <d v="2025-08-11T11:50:19"/>
        <d v="2025-08-11T13:20:57"/>
        <d v="2025-08-07T17:09:00"/>
        <d v="2025-08-07T09:20:28"/>
        <d v="2025-08-07T12:51:23"/>
        <d v="2025-08-06T15:37:53"/>
        <d v="2025-07-30T13:20:32"/>
        <d v="2025-07-29T11:05:14"/>
        <d v="2025-08-12T17:50:52"/>
        <d v="2025-08-12T17:35:43"/>
        <d v="2025-08-12T17:35:52"/>
        <d v="2025-08-12T17:21:17"/>
        <d v="2025-08-12T17:21:22"/>
        <d v="2025-08-12T18:08:58"/>
        <d v="2025-08-12T13:35:26"/>
        <d v="2025-08-12T13:05:14"/>
        <d v="2025-08-12T09:50:00"/>
        <d v="2025-08-12T11:35:19"/>
        <d v="2025-08-11T18:50:14"/>
        <d v="2025-08-12T18:03:01"/>
        <d v="2025-08-12T18:51:17"/>
        <d v="2025-08-07T12:41:08"/>
        <d v="2025-08-04T12:26:38"/>
        <d v="2025-08-06T12:34:39"/>
        <d v="2025-08-12T12:11:48"/>
        <d v="2025-08-12T12:11:51"/>
        <d v="2025-08-12T18:10:23"/>
        <d v="2025-08-13T00:09:51"/>
        <d v="2025-08-13T00:09:15"/>
        <d v="2025-08-13T00:09:30"/>
        <d v="2025-08-13T00:09:33"/>
        <d v="2025-08-12T12:11:38"/>
        <d v="2025-08-06T12:10:35"/>
        <d v="2025-08-06T12:10:39"/>
        <d v="2025-08-06T12:10:40"/>
        <d v="2025-08-13T00:09:41"/>
        <d v="2025-08-13T00:09:48"/>
        <d v="2025-08-13T00:09:53"/>
        <d v="2025-08-13T00:09:57"/>
        <d v="2025-08-13T00:10:12"/>
        <d v="2025-08-13T00:10:15"/>
        <d v="2025-08-12T18:10:36"/>
        <d v="2025-08-07T14:02:20"/>
        <m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8-04T15:53:01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7-30T17:46:31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3-31T11:32:4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6-17T05:56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  <d v="2025-07-02T10:50:48" u="1"/>
        <d v="2025-07-02T08:35:03" u="1"/>
        <d v="2025-07-03T13:22:36" u="1"/>
        <d v="2025-07-03T13:35:52" u="1"/>
        <d v="2025-07-03T10:20:50" u="1"/>
        <d v="2025-07-04T13:38:42" u="1"/>
        <d v="2025-07-04T16:41:46" u="1"/>
        <d v="2025-07-04T16:41:50" u="1"/>
        <d v="2025-07-04T10:35:23" u="1"/>
        <d v="2025-07-04T10:35:28" u="1"/>
        <d v="2025-07-04T11:35:47" u="1"/>
        <d v="2025-07-04T12:36:07" u="1"/>
        <d v="2025-07-07T16:50:41" u="1"/>
        <d v="2025-07-08T12:21:49" u="1"/>
        <d v="2025-07-08T12:21:54" u="1"/>
        <d v="2025-07-08T12:35:36" u="1"/>
        <d v="2025-07-08T09:35:49" u="1"/>
        <d v="2025-07-08T11:51:04" u="1"/>
        <d v="2025-07-08T11:05:13" u="1"/>
        <d v="2025-07-10T17:22:33" u="1"/>
        <d v="2025-07-10T17:50:23" u="1"/>
        <d v="2025-07-10T16:07:20" u="1"/>
        <d v="2025-07-10T16:36:26" u="1"/>
        <d v="2025-07-11T12:21:36" u="1"/>
        <d v="2025-07-03T16:06:42" u="1"/>
        <d v="2025-07-11T11:15:41" u="1"/>
        <d v="2025-07-11T18:33:21" u="1"/>
        <d v="2025-07-11T18:33:22" u="1"/>
        <d v="2025-07-11T19:16:51" u="1"/>
        <d v="2025-07-11T19:00:27" u="1"/>
        <d v="2025-07-11T19:00:31" u="1"/>
        <d v="2025-06-21T21:42:20" u="1"/>
        <d v="2025-06-23T12:01:12" u="1"/>
        <d v="2025-07-09T18:04:59" u="1"/>
        <d v="2025-07-11T19:32:27" u="1"/>
        <d v="2025-07-11T17:47:15" u="1"/>
        <d v="2025-07-10T14:58:25" u="1"/>
        <d v="2025-07-11T11:16:19" u="1"/>
        <d v="2025-07-11T11:16:25" u="1"/>
        <d v="2025-07-11T13:45:36" u="1"/>
        <d v="2025-07-11T11:16:36" u="1"/>
        <d v="2025-07-11T10:45:55" u="1"/>
        <d v="2025-07-11T13:45:41" u="1"/>
        <d v="2025-07-11T13:48:42" u="1"/>
        <d v="2025-07-11T17:17:22" u="1"/>
        <d v="2025-07-11T21:32:25" u="1"/>
        <d v="2025-07-11T17:35:23" u="1"/>
        <d v="2025-07-11T08:31:54" u="1"/>
        <d v="2025-07-11T17:17:11" u="1"/>
        <d v="2025-07-11T13:17:27" u="1"/>
        <d v="2025-07-09T18:40:53" u="1"/>
        <d v="2025-07-11T19:32:31" u="1"/>
        <d v="2025-06-11T05:49:51" u="1"/>
        <d v="2025-07-11T17:47:10" u="1"/>
        <d v="2025-06-26T21:56:03" u="1"/>
        <d v="2025-06-21T21:45:19" u="1"/>
        <d v="2025-07-11T16:25:14" u="1"/>
        <d v="2025-06-23T15:06:30" u="1"/>
        <d v="2025-06-21T21:43:58" u="1"/>
        <d v="2025-07-11T17:47:28" u="1"/>
        <d v="2025-07-11T17:47:38" u="1"/>
        <d v="2025-07-11T17:47:48" u="1"/>
        <d v="2025-06-26T22:15:31" u="1"/>
        <d v="2025-06-26T21:35:09" u="1"/>
        <d v="2025-07-10T19:22:40" u="1"/>
        <d v="2025-05-27T19:44:18" u="1"/>
        <d v="2025-07-11T11:36:06" u="1"/>
        <d v="2025-07-11T11:36:07" u="1"/>
        <d v="2025-07-11T11:45:10" u="1"/>
        <d v="2025-06-27T09:44:59" u="1"/>
        <d v="2025-06-23T15:06:26" u="1"/>
        <d v="2025-07-11T19:33:51" u="1"/>
        <d v="2025-07-09T18:26:40" u="1"/>
        <d v="2025-07-11T15:40:34" u="1"/>
        <d v="2025-06-12T12:29:20" u="1"/>
        <d v="2025-06-12T12:29:42" u="1"/>
        <d v="2025-07-02T10:50:52" u="1"/>
        <d v="2025-07-02T13:07:00" u="1"/>
        <d v="2025-07-02T13:20:46" u="1"/>
        <d v="2025-07-02T11:11:15" u="1"/>
        <d v="2025-07-02T11:11:19" u="1"/>
        <d v="2025-06-30T21:02:43" u="1"/>
        <d v="2025-06-29T06:05:49" u="1"/>
        <d v="2025-06-28T19:39:25" u="1"/>
        <d v="2025-06-27T12:51:31" u="1"/>
        <d v="2025-06-30T21:09:07" u="1"/>
        <d v="2025-07-07T19:01:55" u="1"/>
        <d v="2025-07-07T19:02:00" u="1"/>
        <d v="2025-07-07T14:50:29" u="1"/>
        <d v="2025-07-07T18:56:05" u="1"/>
        <d v="2025-07-07T18:56:12" u="1"/>
        <d v="2025-07-08T12:36:01" u="1"/>
        <d v="2025-07-10T12:24:53" u="1"/>
        <d v="2025-07-04T17:16:53" u="1"/>
        <d v="2025-07-08T09:16:13" u="1"/>
        <d v="2025-07-08T07:00:26" u="1"/>
        <d v="2025-07-08T15:03:16" u="1"/>
        <d v="2025-07-08T12:32:19" u="1"/>
        <d v="2025-07-10T12:33:54" u="1"/>
        <d v="2025-07-09T10:05:54" u="1"/>
        <d v="2025-07-03T15:07:18" u="1"/>
        <d v="2025-07-02T16:56:22" u="1"/>
        <d v="2025-07-04T17:47:27" u="1"/>
        <d v="2025-07-07T18:06:02" u="1"/>
        <d v="2025-07-07T17:25:37" u="1"/>
        <d v="2025-07-07T17:25:38" u="1"/>
        <d v="2025-07-07T17:25:39" u="1"/>
        <d v="2025-07-07T17:25:40" u="1"/>
        <d v="2025-07-07T17:25:41" u="1"/>
        <d v="2025-07-07T17:25:42" u="1"/>
        <d v="2025-07-07T17:25:43" u="1"/>
        <d v="2025-07-10T14:25:15" u="1"/>
        <d v="2025-07-10T12:36:10" u="1"/>
        <d v="2025-07-10T12:37:19" u="1"/>
        <d v="2025-07-10T19:21:25" u="1"/>
        <d v="2025-07-10T12:22:01" u="1"/>
        <d v="2025-07-08T18:49:51" u="1"/>
        <d v="2025-07-10T14:20:09" u="1"/>
        <d v="2025-07-10T14:04:50" u="1"/>
        <d v="2025-07-09T14:16:35" u="1"/>
        <d v="2025-07-09T14:16:45" u="1"/>
        <d v="2025-07-09T11:31:12" u="1"/>
        <d v="2025-07-10T17:07:55" u="1"/>
        <d v="2025-07-10T16:50:09" u="1"/>
        <d v="2025-07-09T11:33:21" u="1"/>
        <d v="2025-07-10T18:32:31" u="1"/>
        <d v="2025-07-10T18:32:37" u="1"/>
        <d v="2025-07-10T12:13:45" u="1"/>
        <d v="2025-07-10T13:01:47" u="1"/>
        <d v="2025-07-10T17:08:38" u="1"/>
        <d v="2025-07-10T18:50:13" u="1"/>
        <d v="2025-07-10T18:53:44" u="1"/>
        <d v="2025-07-10T09:31:01" u="1"/>
        <d v="2025-07-10T11:16:07" u="1"/>
        <d v="2025-07-10T15:35:45" u="1"/>
        <d v="2025-07-09T15:47:45" u="1"/>
        <d v="2025-07-10T16:02:46" u="1"/>
        <d v="2025-07-10T16:17:16" u="1"/>
        <d v="2025-07-10T18:02:40" u="1"/>
        <d v="2025-07-10T18:26:28" u="1"/>
        <d v="2025-07-10T16:03:36" u="1"/>
        <d v="2025-07-10T16:03:45" u="1"/>
        <d v="2025-07-10T14:03:59" u="1"/>
        <d v="2025-07-10T14:05:04" u="1"/>
        <d v="2025-07-10T14:05:05" u="1"/>
        <d v="2025-07-10T10:02:13" u="1"/>
        <d v="2025-07-09T16:03:02" u="1"/>
        <d v="2025-07-10T16:03:17" u="1"/>
        <d v="2025-07-10T18:37:36" u="1"/>
        <d v="2025-07-10T15:35:13" u="1"/>
        <d v="2025-07-10T16:06:44" u="1"/>
        <d v="2025-07-10T12:02:58" u="1"/>
        <d v="2025-07-10T18:02:11" u="1"/>
        <d v="2025-07-10T18:01:56" u="1"/>
        <d v="2025-07-10T12:11:35" u="1"/>
        <d v="2025-07-09T12:27:00" u="1"/>
        <d v="2025-07-10T18:07:51" u="1"/>
        <d v="2025-07-10T18:08:13" u="1"/>
        <d v="2025-07-09T18:19:06" u="1"/>
        <d v="2025-07-10T14:40:01" u="1"/>
        <d v="2025-07-10T10:44:03" u="1"/>
        <d v="2025-07-10T09:38:26" u="1"/>
        <d v="2025-07-10T17:02:20" u="1"/>
        <d v="2025-07-10T16:02:28" u="1"/>
        <d v="2025-07-10T11:22:19" u="1"/>
        <d v="2025-07-10T18:30:34" u="1"/>
        <d v="2025-07-10T14:47:54" u="1"/>
        <d v="2025-07-10T09:51:50" u="1"/>
        <d v="2025-07-09T08:15:56" u="1"/>
        <d v="2025-07-09T08:17:53" u="1"/>
        <d v="2025-07-10T14:53:53" u="1"/>
        <d v="2025-07-04T12:23:08" u="1"/>
        <d v="2025-07-03T18:26:44" u="1"/>
        <d v="2025-07-10T17:09:58" u="1"/>
        <d v="2025-07-10T08:10:53" u="1"/>
        <d v="2025-07-10T15:43:56" u="1"/>
        <d v="2025-07-10T11:55:56" u="1"/>
        <d v="2025-07-10T16:58:01" u="1"/>
        <d v="2025-07-10T13:23:54" u="1"/>
        <d v="2025-07-09T17:33:56" u="1"/>
        <d v="2025-07-10T15:23:58" u="1"/>
        <d v="2025-07-10T15:29:57" u="1"/>
        <d v="2025-07-10T15:02:10" u="1"/>
        <d v="2025-07-09T18:59:54" u="1"/>
        <d v="2025-07-09T17:24:05" u="1"/>
        <d v="2025-07-09T12:05:54" u="1"/>
        <d v="2025-07-10T17:00:00" u="1"/>
        <d v="2025-07-10T16:48:01" u="1"/>
        <d v="2025-07-10T12:44:29" u="1"/>
        <d v="2025-07-09T15:09:51" u="1"/>
        <d v="2025-07-10T00:14:26" u="1"/>
        <d v="2025-07-10T17:07:51" u="1"/>
        <d v="2025-07-09T09:59:52" u="1"/>
        <d v="2025-07-09T09:56:04" u="1"/>
        <d v="2025-07-09T09:44:02" u="1"/>
        <d v="2025-07-09T09:44:03" u="1"/>
        <d v="2025-07-09T09:18:05" u="1"/>
        <d v="2025-07-09T09:21:55" u="1"/>
        <d v="2025-07-10T16:23:57" u="1"/>
        <d v="2025-07-09T09:49:54" u="1"/>
        <d v="2025-07-09T09:51:55" u="1"/>
        <d v="2025-07-10T12:35:21" u="1"/>
        <d v="2025-07-09T16:35:54" u="1"/>
        <d v="2025-07-09T10:36:31" u="1"/>
        <d v="2025-07-10T16:34:08" u="1"/>
        <d v="2025-07-10T13:25:00" u="1"/>
        <d v="2025-07-10T13:25:01" u="1"/>
        <d v="2025-07-10T13:25:13" u="1"/>
        <d v="2025-07-10T13:25:14" u="1"/>
        <d v="2025-07-09T18:24:28" u="1"/>
        <d v="2025-07-09T18:24:29" u="1"/>
        <d v="2025-07-09T18:24:30" u="1"/>
        <d v="2025-07-10T12:21:44" u="1"/>
        <d v="2025-07-10T18:31:07" u="1"/>
        <d v="2025-07-10T18:31:19" u="1"/>
        <d v="2025-07-10T10:50:17" u="1"/>
        <d v="2025-07-10T19:35:32" u="1"/>
        <d v="2025-07-10T19:19:41" u="1"/>
        <d v="2025-07-10T19:19:42" u="1"/>
        <d v="2025-07-11T00:23:45" u="1"/>
        <d v="2025-07-10T19:17:09" u="1"/>
        <d v="2025-07-10T19:19:48" u="1"/>
        <d v="2025-07-10T19:19:54" u="1"/>
        <d v="2025-07-10T19:19:59" u="1"/>
        <d v="2025-07-10T19:20:12" u="1"/>
        <d v="2025-07-10T19:13:16" u="1"/>
        <d v="2025-07-10T18:08:15" u="1"/>
        <d v="2025-07-10T18:08:28" u="1"/>
        <d v="2025-07-10T18:35:02" u="1"/>
        <d v="2025-07-10T12:14:00" u="1"/>
        <d v="2025-07-10T12:15:06" u="1"/>
        <d v="2025-07-10T18:33:30" u="1"/>
        <d v="2025-07-11T00:17:45" u="1"/>
        <d v="2025-07-11T00:16:02" u="1"/>
        <d v="2025-07-10T21:03:39" u="1"/>
        <d v="2025-07-10T19:04:05" u="1"/>
        <d v="2025-07-11T00:09:59" u="1"/>
        <d v="2025-07-11T06:01:36" u="1"/>
        <d v="2025-07-10T19:09:18" u="1"/>
        <d v="2025-07-11T01:32:14" u="1"/>
        <d v="2025-07-11T01:32:28" u="1"/>
        <d v="2025-07-11T01:16:52" u="1"/>
        <d v="2025-07-11T01:32:02" u="1"/>
        <d v="2025-07-09T00:18:13" u="1"/>
        <d v="2025-07-08T18:33:48" u="1"/>
        <d v="2025-07-10T19:15:56" u="1"/>
        <d v="2025-07-11T01:16:45" u="1"/>
        <d v="2025-07-10T19:05:14" u="1"/>
        <d v="2025-07-10T20:29:24" u="1"/>
        <d v="2025-07-01T12:01:05" u="1"/>
        <d v="2025-07-01T08:35:36" u="1"/>
        <d v="2025-07-01T09:34:56" u="1"/>
        <d v="2025-07-01T18:36:41" u="1"/>
        <d v="2025-07-02T00:15:44" u="1"/>
        <d v="2025-07-01T08:26:07" u="1"/>
        <d v="2025-06-30T18:56:40" u="1"/>
        <d v="2025-07-02T00:15:49" u="1"/>
        <d v="2025-07-01T18:36:42" u="1"/>
        <d v="2025-07-01T18:37:22" u="1"/>
        <d v="2025-07-01T16:36:17" u="1"/>
        <d v="2025-07-01T16:36:22" u="1"/>
        <d v="2025-07-01T16:54:03" u="1"/>
        <d v="2025-07-01T15:37:35" u="1"/>
        <d v="2025-06-30T12:39:14" u="1"/>
        <d v="2025-06-30T15:27:23" u="1"/>
        <d v="2025-06-30T17:12:35" u="1"/>
        <d v="2025-06-30T17:29:03" u="1"/>
        <d v="2025-07-02T09:47:20" u="1"/>
        <d v="2025-07-03T11:16:31" u="1"/>
        <d v="2025-07-03T11:16:35" u="1"/>
        <d v="2025-07-03T12:02:11" u="1"/>
        <d v="2025-07-07T12:31:48" u="1"/>
        <d v="2025-07-03T23:21:12" u="1"/>
        <d v="2025-07-07T16:08:14" u="1"/>
        <d v="2025-07-04T13:20:55" u="1"/>
        <d v="2025-07-04T13:21:09" u="1"/>
        <d v="2025-07-04T17:06:11" u="1"/>
        <d v="2025-07-03T16:35:45" u="1"/>
        <d v="2025-07-07T09:20:14" u="1"/>
        <d v="2025-07-07T18:52:12" u="1"/>
        <d v="2025-07-04T14:45:58" u="1"/>
        <d v="2025-07-07T18:01:56" u="1"/>
        <d v="2025-07-07T18:01:57" u="1"/>
        <d v="2025-07-07T12:30:23" u="1"/>
        <d v="2025-07-07T12:30:25" u="1"/>
        <d v="2025-07-07T12:30:28" u="1"/>
        <d v="2025-07-07T12:30:30" u="1"/>
        <d v="2025-07-07T12:30:44" u="1"/>
        <d v="2025-07-07T12:30:59" u="1"/>
        <d v="2025-07-07T16:01:33" u="1"/>
        <d v="2025-07-07T13:03:39" u="1"/>
        <d v="2025-07-02T10:50:44" u="1"/>
        <d v="2025-07-03T18:36:43" u="1"/>
        <d v="2025-07-04T18:28:34" u="1"/>
        <d v="2025-07-04T12:21:54" u="1"/>
        <d v="2025-07-04T12:22:04" u="1"/>
        <d v="2025-07-04T12:22:18" u="1"/>
        <d v="2025-07-04T12:22:35" u="1"/>
        <d v="2025-07-02T18:22:12" u="1"/>
        <d v="2025-07-03T18:35:37" u="1"/>
        <d v="2025-07-07T10:43:44" u="1"/>
        <d v="2025-07-03T00:16:01" u="1"/>
        <d v="2025-07-07T14:43:19" u="1"/>
        <d v="2025-07-07T10:56:58" u="1"/>
        <d v="2025-07-07T10:57:01" u="1"/>
        <d v="2025-07-04T15:15:45" u="1"/>
        <d v="2025-07-03T18:20:11" u="1"/>
        <d v="2025-07-07T17:07:29" u="1"/>
        <d v="2025-07-07T12:05:25" u="1"/>
        <d v="2025-07-02T18:39:20" u="1"/>
        <d v="2025-07-04T08:12:27" u="1"/>
        <d v="2025-07-07T12:20:02" u="1"/>
        <d v="2025-07-08T12:55:10" u="1"/>
        <d v="2025-07-07T18:44:51" u="1"/>
        <d v="2025-07-07T18:44:55" u="1"/>
        <d v="2025-07-07T18:47:29" u="1"/>
        <d v="2025-07-07T18:38:18" u="1"/>
        <d v="2025-07-07T18:37:46" u="1"/>
        <d v="2025-07-07T18:37:52" u="1"/>
        <d v="2025-07-07T18:37:58" u="1"/>
        <d v="2025-07-07T18:38:05" u="1"/>
        <d v="2025-07-07T18:38:12" u="1"/>
        <d v="2025-07-07T18:31:14" u="1"/>
        <d v="2025-07-09T06:03:08" u="1"/>
        <d v="2025-07-08T00:12:48" u="1"/>
        <d v="2025-07-08T12:34:19" u="1"/>
        <d v="2025-07-08T19:00:38" u="1"/>
        <d v="2025-07-08T12:35:13" u="1"/>
        <d v="2025-07-08T13:20:26" u="1"/>
        <d v="2025-07-09T11:01:08" u="1"/>
        <d v="2025-07-09T11:01:13" u="1"/>
        <d v="2025-07-09T11:01:17" u="1"/>
        <d v="2025-07-09T11:01:21" u="1"/>
        <d v="2025-07-09T11:01:25" u="1"/>
        <d v="2025-07-09T11:16:09" u="1"/>
        <d v="2025-07-08T12:45:38" u="1"/>
        <d v="2025-07-08T12:45:43" u="1"/>
        <d v="2025-07-08T10:03:13" u="1"/>
        <d v="2025-07-08T08:01:35" u="1"/>
        <d v="2025-07-07T18:02:04" u="1"/>
        <d v="2025-07-08T17:01:05" u="1"/>
        <d v="2025-07-08T15:01:43" u="1"/>
        <d v="2025-07-09T10:00:46" u="1"/>
        <d v="2025-07-09T10:00:48" u="1"/>
        <d v="2025-07-09T11:00:27" u="1"/>
        <d v="2025-07-08T18:41:16" u="1"/>
        <d v="2025-07-08T18:41:38" u="1"/>
        <d v="2025-07-08T18:42:33" u="1"/>
        <d v="2025-07-07T18:40:50" u="1"/>
        <d v="2025-07-09T11:03:08" u="1"/>
        <d v="2025-07-08T15:03:00" u="1"/>
        <d v="2025-07-08T18:02:27" u="1"/>
        <d v="2025-07-08T18:02:28" u="1"/>
        <d v="2025-07-08T19:02:31" u="1"/>
        <d v="2025-07-08T19:02:34" u="1"/>
        <d v="2025-07-08T17:02:23" u="1"/>
        <d v="2025-07-07T18:26:07" u="1"/>
        <d v="2025-07-07T18:26:12" u="1"/>
        <d v="2025-07-08T18:44:16" u="1"/>
        <d v="2025-07-08T18:44:18" u="1"/>
        <d v="2025-07-08T18:43:04" u="1"/>
        <d v="2025-07-08T18:03:34" u="1"/>
        <d v="2025-07-08T00:09:13" u="1"/>
        <d v="2025-07-07T18:06:41" u="1"/>
        <d v="2025-07-09T00:17:34" u="1"/>
        <d v="2025-07-09T00:17:37" u="1"/>
        <d v="2025-07-07T18:27:50" u="1"/>
        <d v="2025-07-08T12:20:36" u="1"/>
        <d v="2025-07-08T19:05:11" u="1"/>
        <d v="2025-07-07T19:07:46" u="1"/>
        <d v="2025-07-07T19:08:41" u="1"/>
        <d v="2025-07-07T19:08:44" u="1"/>
        <d v="2025-07-07T19:08:50" u="1"/>
        <d v="2025-07-08T12:38:35" u="1"/>
        <d v="2025-07-08T09:15:17" u="1"/>
        <d v="2025-07-08T15:31:55" u="1"/>
        <d v="2025-07-08T18:29:12" u="1"/>
        <d v="2025-07-08T12:21:12" u="1"/>
        <d v="2025-07-07T18:28:46" u="1"/>
        <d v="2025-07-08T09:49:45" u="1"/>
        <d v="2025-07-08T09:49:57" u="1"/>
        <d v="2025-07-08T09:50:01" u="1"/>
        <d v="2025-07-08T12:29:13" u="1"/>
        <d v="2025-07-08T18:45:20" u="1"/>
        <d v="2025-07-07T18:44:31" u="1"/>
        <d v="2025-07-08T18:45:44" u="1"/>
        <d v="2025-07-08T18:46:02" u="1"/>
        <d v="2025-07-08T12:30:17" u="1"/>
        <d v="2025-07-08T12:08:09" u="1"/>
        <d v="2025-07-08T12:09:01" u="1"/>
        <d v="2025-07-08T12:09:31" u="1"/>
        <d v="2025-07-08T12:09:35" u="1"/>
        <d v="2025-07-08T12:09:39" u="1"/>
        <d v="2025-07-08T09:49:53" u="1"/>
        <d v="2025-07-08T17:02:44" u="1"/>
        <d v="2025-07-08T11:42:18" u="1"/>
        <d v="2025-07-08T15:56:05" u="1"/>
        <d v="2025-07-09T08:21:53" u="1"/>
        <d v="2025-07-09T08:31:42" u="1"/>
        <d v="2025-07-08T12:02:50" u="1"/>
        <d v="2025-07-09T01:01:21" u="1"/>
        <d v="2025-07-09T10:09:54" u="1"/>
        <d v="2025-07-08T12:29:30" u="1"/>
        <d v="2025-07-09T10:22:06" u="1"/>
        <d v="2025-07-09T09:13:56" u="1"/>
        <d v="2025-07-09T10:55:49" u="1"/>
        <d v="2025-07-09T02:33:17" u="1"/>
        <d v="2025-07-08T17:07:16" u="1"/>
        <d v="2025-07-08T16:20:15" u="1"/>
        <d v="2025-07-08T18:35:23" u="1"/>
        <d v="2025-07-09T11:07:57" u="1"/>
        <d v="2025-07-09T10:36:08" u="1"/>
        <d v="2025-07-08T17:12:59" u="1"/>
        <d v="2025-07-08T17:16:09" u="1"/>
        <d v="2025-07-08T10:55:36" u="1"/>
        <d v="2025-07-07T18:07:32" u="1"/>
        <d v="2025-07-09T00:11:42" u="1"/>
        <d v="2025-07-07T18:32:50" u="1"/>
        <d v="2025-07-09T11:25:19" u="1"/>
        <d v="2025-07-09T12:27:18" u="1"/>
        <d v="2025-07-09T22:46:41" u="1"/>
        <d v="2025-07-09T17:35:34" u="1"/>
        <d v="2025-07-09T15:47:25" u="1"/>
        <d v="2025-07-09T15:47:29" u="1"/>
        <d v="2025-07-09T15:47:32" u="1"/>
        <d v="2025-07-09T15:47:37" u="1"/>
        <d v="2025-07-09T15:47:40" u="1"/>
        <d v="2025-07-09T16:47:20" u="1"/>
        <d v="2025-07-09T15:02:52" u="1"/>
        <d v="2025-07-09T16:03:51" u="1"/>
        <d v="2025-07-09T16:03:53" u="1"/>
        <d v="2025-07-09T16:03:57" u="1"/>
        <d v="2025-07-09T12:00:35" u="1"/>
        <d v="2025-07-09T21:03:01" u="1"/>
        <d v="2025-07-09T18:03:56" u="1"/>
        <d v="2025-07-10T00:16:57" u="1"/>
        <d v="2025-07-09T18:35:41" u="1"/>
        <d v="2025-07-09T18:16:36" u="1"/>
        <d v="2025-07-10T00:12:27" u="1"/>
        <d v="2025-07-10T00:12:30" u="1"/>
        <d v="2025-07-10T00:12:33" u="1"/>
        <d v="2025-07-09T15:03:19" u="1"/>
        <d v="2025-07-09T16:01:39" u="1"/>
        <d v="2025-07-09T11:16:14" u="1"/>
        <d v="2025-07-09T11:16:18" u="1"/>
        <d v="2025-07-09T18:26:54" u="1"/>
        <d v="2025-07-09T18:30:41" u="1"/>
        <d v="2025-07-09T18:17:55" u="1"/>
        <d v="2025-07-09T18:17:59" u="1"/>
        <d v="2025-07-09T18:10:02" u="1"/>
        <d v="2025-07-09T12:14:26" u="1"/>
        <d v="2025-07-09T18:49:53" u="1"/>
        <d v="2025-07-09T13:03:51" u="1"/>
        <d v="2025-07-09T17:55:56" u="1"/>
        <d v="2025-07-09T14:57:54" u="1"/>
        <d v="2025-07-09T14:13:52" u="1"/>
        <d v="2025-07-09T13:01:44" u="1"/>
        <d v="2025-07-09T18:31:26" u="1"/>
        <d v="2025-07-09T11:31:53" u="1"/>
        <d v="2025-07-09T14:37:55" u="1"/>
        <d v="2025-07-09T22:46:21" u="1"/>
        <d v="2025-07-09T14:31:28" u="1"/>
        <d v="2025-07-09T15:05:51" u="1"/>
        <d v="2025-07-09T12:06:06" u="1"/>
        <d v="2025-07-09T15:45:53" u="1"/>
        <d v="2025-07-09T22:46:45" u="1"/>
        <d v="2025-07-09T14:47:58" u="1"/>
        <d v="2025-07-09T18:15:54" u="1"/>
        <d v="2025-07-09T12:26:01" u="1"/>
        <d v="2025-07-09T18:20:22" u="1"/>
        <d v="2025-07-09T17:01:07" u="1"/>
        <d v="2025-07-09T17:31:27" u="1"/>
        <d v="2025-07-09T17:31:36" u="1"/>
        <d v="2025-07-09T18:53:54" u="1"/>
        <d v="2025-07-09T18:55:56" u="1"/>
        <d v="2025-07-09T12:07:54" u="1"/>
        <d v="2025-07-09T12:26:09" u="1"/>
        <d v="2025-07-09T14:50:25" u="1"/>
        <d v="2025-07-09T11:31:22" u="1"/>
        <d v="2025-03-28T16:47:06" u="1"/>
        <d v="2025-03-18T17:38:16" u="1"/>
        <d v="2025-04-02T19:47:58" u="1"/>
        <d v="2025-04-09T21:03:57" u="1"/>
        <d v="2025-04-13T17:35:11" u="1"/>
        <d v="2025-04-09T19:14:34" u="1"/>
        <d v="2025-06-24T00:50:12" u="1"/>
        <d v="2025-06-24T00:51:38" u="1"/>
        <d v="2025-06-23T20:05:00" u="1"/>
        <d v="2025-06-23T12:18:37" u="1"/>
        <d v="2025-06-27T03:11:24" u="1"/>
        <d v="2025-06-30T09:04:24" u="1"/>
        <d v="2025-06-27T15:16:43" u="1"/>
        <d v="2025-06-27T13:17:20" u="1"/>
        <d v="2025-06-30T14:53:08" u="1"/>
        <d v="2025-07-07T19:13:58" u="1"/>
        <d v="2025-07-04T17:06:37" u="1"/>
        <d v="2025-07-04T17:17:16" u="1"/>
        <d v="2025-07-04T10:16:20" u="1"/>
        <d v="2025-07-01T18:31:08" u="1"/>
        <d v="2025-07-03T11:45:36" u="1"/>
        <d v="2025-07-04T18:05:20" u="1"/>
        <d v="2025-07-03T12:05:13" u="1"/>
        <d v="2025-07-04T12:21:04" u="1"/>
        <d v="2025-07-02T19:14:36" u="1"/>
        <d v="2025-07-02T12:11:23" u="1"/>
        <d v="2025-07-01T09:46:28" u="1"/>
        <d v="2025-07-01T09:55:03" u="1"/>
        <d v="2025-07-01T14:51:51" u="1"/>
        <d v="2025-07-02T20:39:34" u="1"/>
        <d v="2025-07-04T13:32:09" u="1"/>
        <d v="2025-06-30T18:03:09" u="1"/>
        <d v="2025-07-04T17:46:06" u="1"/>
        <d v="2025-06-30T16:51:24" u="1"/>
        <d v="2025-07-01T18:21:25" u="1"/>
        <d v="2025-07-02T18:22:04" u="1"/>
        <d v="2025-07-02T12:18:28" u="1"/>
        <d v="2025-07-03T10:44:25" u="1"/>
        <d v="2025-07-07T19:11:25" u="1"/>
        <d v="2025-07-07T19:14:04" u="1"/>
        <d v="2025-07-07T12:37:06" u="1"/>
        <d v="2025-07-07T12:37:09" u="1"/>
        <d v="2025-07-07T12:39:11" u="1"/>
        <d v="2025-07-07T12:39:20" u="1"/>
        <d v="2025-07-07T18:06:04" u="1"/>
        <d v="2025-07-07T17:32:11" u="1"/>
        <d v="2025-07-07T17:31:04" u="1"/>
        <d v="2025-07-07T17:45:53" u="1"/>
        <d v="2025-07-07T17:46:05" u="1"/>
        <d v="2025-07-07T15:46:01" u="1"/>
        <d v="2025-07-07T15:16:10" u="1"/>
        <d v="2025-07-07T15:31:43" u="1"/>
        <d v="2025-07-05T10:05:37" u="1"/>
        <d v="2025-07-07T11:47:24" u="1"/>
        <d v="2025-07-07T16:02:24" u="1"/>
        <d v="2025-07-07T17:00:55" u="1"/>
        <d v="2025-07-07T17:01:24" u="1"/>
        <d v="2025-07-07T10:02:13" u="1"/>
        <d v="2025-07-04T18:05:36" u="1"/>
        <d v="2025-07-07T15:01:07" u="1"/>
        <d v="2025-07-07T15:01:15" u="1"/>
        <d v="2025-07-07T15:36:39" u="1"/>
        <d v="2025-07-07T12:30:33" u="1"/>
        <d v="2025-07-07T11:51:49" u="1"/>
        <d v="2025-07-07T12:47:50" u="1"/>
        <d v="2025-07-04T18:59:21" u="1"/>
        <d v="2025-07-04T20:18:55" u="1"/>
        <d v="2025-07-07T19:05:21" u="1"/>
        <d v="2025-07-07T19:04:11" u="1"/>
        <d v="2025-07-04T18:17:04" u="1"/>
        <d v="2025-07-07T13:17:30" u="1"/>
        <d v="2025-07-07T19:04:52" u="1"/>
        <d v="2025-07-07T18:30:35" u="1"/>
        <d v="2025-07-04T20:17:58" u="1"/>
        <d v="2025-07-07T19:08:32" u="1"/>
        <d v="2025-07-07T19:06:15" u="1"/>
        <d v="2025-07-07T19:06:20" u="1"/>
        <d v="2025-07-07T19:06:28" u="1"/>
        <d v="2025-07-07T19:32:40" u="1"/>
        <d v="2025-07-07T20:33:13" u="1"/>
        <d v="2025-07-07T20:33:23" u="1"/>
        <d v="2025-07-07T18:46:01" u="1"/>
        <d v="2025-07-07T19:05:32" u="1"/>
        <d v="2025-07-07T19:06:51" u="1"/>
        <d v="2025-07-07T11:33:55" u="1"/>
        <d v="2025-07-07T11:34:00" u="1"/>
        <d v="2025-07-07T19:04:22" u="1"/>
        <d v="2025-07-07T20:02:28" u="1"/>
        <d v="2025-07-07T19:06:46" u="1"/>
        <d v="2025-07-07T17:19:18" u="1"/>
        <d v="2025-07-07T20:33:39" u="1"/>
        <d v="2025-07-07T19:05:58" u="1"/>
        <d v="2025-07-04T19:00:54" u="1"/>
        <d v="2025-07-07T19:04:28" u="1"/>
        <d v="2025-07-07T19:04:40" u="1"/>
        <d v="2025-07-07T20:02:22" u="1"/>
        <d v="2025-07-07T19:08:25" u="1"/>
        <d v="2025-07-07T19:04:34" u="1"/>
        <d v="2025-07-07T19:04:46" u="1"/>
        <d v="2025-07-07T11:30:31" u="1"/>
        <d v="2025-07-07T11:19:26" u="1"/>
        <d v="2025-07-07T17:17:01" u="1"/>
        <d v="2025-07-07T10:37:52" u="1"/>
        <d v="2025-02-06T18:45:03" u="1"/>
        <d v="2025-02-10T11:29:39" u="1"/>
        <d v="2025-02-10T19:35:51" u="1"/>
        <d v="2025-02-07T19:25:11" u="1"/>
        <d v="2025-02-07T23:34:20" u="1"/>
        <d v="2025-02-10T20:05:07" u="1"/>
        <d v="2025-02-19T10:48:09" u="1"/>
        <d v="2025-04-15T14:05:38" u="1"/>
        <d v="2025-04-14T19:14:08" u="1"/>
        <d v="2025-04-08T19:05:16" u="1"/>
        <d v="2025-04-09T18:24:34" u="1"/>
        <d v="2025-04-09T18:15:26" u="1"/>
        <d v="2025-04-09T15:47:54" u="1"/>
        <d v="2025-04-09T18:34:40" u="1"/>
        <d v="2025-04-09T18:44:49" u="1"/>
        <d v="2025-04-14T19:34:24" u="1"/>
        <d v="2025-04-17T15:46:19" u="1"/>
        <d v="2025-04-16T16:08:27" u="1"/>
        <d v="2025-04-17T20:34:30" u="1"/>
        <d v="2025-06-26T09:20:19" u="1"/>
        <d v="2025-03-17T17:12:17" u="1"/>
        <d v="2025-02-26T09:21:37" u="1"/>
        <d v="2025-03-17T17:17:57" u="1"/>
        <d v="2025-04-17T22:19:35" u="1"/>
        <d v="2025-05-15T13:29:38" u="1"/>
        <d v="2025-06-11T06:26:18" u="1"/>
        <d v="2025-06-12T15:50:53" u="1"/>
        <d v="2025-06-17T12:41:33" u="1"/>
        <d v="2025-06-21T02:47:52" u="1"/>
        <d v="2025-06-23T12:07:08" u="1"/>
        <d v="2025-06-20T14:11:44" u="1"/>
        <d v="2025-06-28T23:07:01" u="1"/>
        <d v="2025-06-28T22:57:00" u="1"/>
        <d v="2025-06-28T22:59:00" u="1"/>
        <d v="2025-06-29T17:56:20" u="1"/>
        <d v="2025-06-26T05:26:02" u="1"/>
        <d v="2025-06-30T13:20:49" u="1"/>
        <d v="2025-06-24T19:14:57" u="1"/>
        <d v="2025-06-30T15:04:32" u="1"/>
        <d v="2025-06-30T14:57:37" u="1"/>
        <d v="2025-06-30T14:40:28" u="1"/>
        <d v="2025-06-30T14:40:32" u="1"/>
        <d v="2025-06-30T20:23:14" u="1"/>
        <d v="2025-06-30T20:23:22" u="1"/>
        <d v="2025-06-30T20:23:28" u="1"/>
        <d v="2025-07-01T18:57:25" u="1"/>
        <d v="2025-07-03T12:20:24" u="1"/>
        <d v="2025-07-03T12:20:35" u="1"/>
        <d v="2025-07-03T12:20:41" u="1"/>
        <d v="2025-07-02T00:16:06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2T12:24:56" u="1"/>
        <d v="2025-06-30T21:47:39" u="1"/>
        <d v="2025-07-04T18:46:45" u="1"/>
        <d v="2025-07-02T18:48:35" u="1"/>
        <d v="2025-06-30T18:32:07" u="1"/>
        <d v="2025-07-01T19:02:02" u="1"/>
        <d v="2025-07-02T13:03:23" u="1"/>
        <d v="2025-07-02T17:03:48" u="1"/>
        <d v="2025-07-03T15:02:54" u="1"/>
        <d v="2025-07-03T15:03:49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2T12:22:4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6:15:35" u="1"/>
        <d v="2025-07-04T15:15:40" u="1"/>
        <d v="2025-07-04T18:01:08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4T18:08:14" u="1"/>
        <d v="2025-07-04T12:24:23" u="1"/>
        <d v="2025-07-04T18:27:34" u="1"/>
        <d v="2025-07-04T12:21:49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8:56:19" u="1"/>
        <d v="2025-07-04T14:53:12" u="1"/>
        <d v="2025-07-04T18:40:07" u="1"/>
        <d v="2025-07-05T00:19:16" u="1"/>
        <d v="2025-07-05T00:19:19" u="1"/>
        <d v="2025-07-04T17:38:11" u="1"/>
        <d v="2025-07-04T11:51:33" u="1"/>
        <d v="2025-07-04T12:07:53" u="1"/>
        <d v="2025-07-04T16:37:39" u="1"/>
        <d v="2025-07-04T11:18:09" u="1"/>
        <d v="2025-07-04T20:18:27" u="1"/>
        <d v="2025-07-04T16:37:24" u="1"/>
        <d v="2025-07-04T11:47:06" u="1"/>
        <d v="2025-07-04T20:19:05" u="1"/>
        <d v="2025-07-04T15:05:25" u="1"/>
        <d v="2025-07-04T20:17:48" u="1"/>
        <d v="2025-07-04T16:02:05" u="1"/>
        <d v="2025-07-04T16:16:30" u="1"/>
        <d v="2025-07-04T14:45:46" u="1"/>
        <d v="2025-07-04T18:02:13" u="1"/>
        <d v="2025-07-04T12:25:16" u="1"/>
        <d v="2025-07-04T18:02:16" u="1"/>
        <d v="2025-07-03T18:31:18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30T16:18:34" u="1"/>
        <d v="2025-06-30T10:27:45" u="1"/>
        <d v="2025-06-21T20:59:45" u="1"/>
        <d v="2025-06-24T13:13:17" u="1"/>
        <d v="2025-06-30T16:36:31" u="1"/>
        <d v="2025-07-01T14:52:08" u="1"/>
        <d v="2025-07-01T18:05:38" u="1"/>
        <d v="2025-06-30T14:24:03" u="1"/>
        <d v="2025-06-30T14:35:19" u="1"/>
        <d v="2025-07-01T11:31:29" u="1"/>
        <d v="2025-07-01T11:31:46" u="1"/>
        <d v="2025-06-28T16:32:46" u="1"/>
        <d v="2025-07-01T08:11:56" u="1"/>
        <d v="2025-07-01T18:17:09" u="1"/>
        <d v="2025-07-01T15:31:27" u="1"/>
        <d v="2025-07-01T15:31:32" u="1"/>
        <d v="2025-07-01T15:31:36" u="1"/>
        <d v="2025-07-01T17:46:51" u="1"/>
        <d v="2025-07-01T18:45:54" u="1"/>
        <d v="2025-06-30T21:24:19" u="1"/>
        <d v="2025-07-01T17:48:59" u="1"/>
        <d v="2025-07-01T14:02:02" u="1"/>
        <d v="2025-07-01T00:12:00" u="1"/>
        <d v="2025-07-01T18:24:32" u="1"/>
        <d v="2025-07-01T16:06:41" u="1"/>
        <d v="2025-07-01T16:06:56" u="1"/>
        <d v="2025-07-01T13:02:31" u="1"/>
        <d v="2025-06-30T20:23:55" u="1"/>
        <d v="2025-06-30T18:02:01" u="1"/>
        <d v="2025-07-01T18:06:19" u="1"/>
        <d v="2025-07-01T15:07:38" u="1"/>
        <d v="2025-07-01T00:10:30" u="1"/>
        <d v="2025-07-01T17:54:07" u="1"/>
        <d v="2025-07-01T18:23:50" u="1"/>
        <d v="2025-06-30T21:10:53" u="1"/>
        <d v="2025-07-01T17:07:02" u="1"/>
        <d v="2025-07-01T15:56:42" u="1"/>
        <d v="2025-06-26T02:11:25" u="1"/>
        <d v="2025-06-25T12:07:46" u="1"/>
        <d v="2025-06-25T18:39:52" u="1"/>
        <d v="2025-07-02T02:02:28" u="1"/>
        <d v="2025-06-25T10:47:44" u="1"/>
        <d v="2025-06-29T06:53:27" u="1"/>
        <d v="2025-06-30T03:25:22" u="1"/>
        <d v="2025-06-23T20:18:19" u="1"/>
        <d v="2025-06-27T04:01:22" u="1"/>
        <d v="2025-06-25T01:03:33" u="1"/>
        <d v="2025-06-30T17:27:51" u="1"/>
        <d v="2025-06-30T07:06:17" u="1"/>
        <d v="2025-06-27T01:02:16" u="1"/>
        <d v="2025-07-01T16:47:50" u="1"/>
        <d v="2025-07-01T18:18:40" u="1"/>
        <d v="2025-07-01T18:30:58" u="1"/>
        <d v="2025-07-01T15:21:31" u="1"/>
        <d v="2025-07-01T18:18:26" u="1"/>
        <d v="2025-07-01T15:21:45" u="1"/>
        <d v="2025-07-01T18:26:42" u="1"/>
        <d v="2025-07-01T22:02:03" u="1"/>
        <d v="2025-06-25T18:02:38" u="1"/>
        <d v="2025-07-01T16:46:48" u="1"/>
        <d v="2025-06-09T16:50:10" u="1"/>
        <d v="2025-05-23T12:19:43" u="1"/>
        <d v="2025-07-01T13:46:56" u="1"/>
        <d v="2025-07-01T18:19:23" u="1"/>
        <d v="2025-07-01T17:18:33" u="1"/>
        <d v="2025-07-01T16:02:27" u="1"/>
        <d v="2025-06-26T15:14:49" u="1"/>
        <d v="2025-06-23T07:51:18" u="1"/>
        <d v="2025-07-01T18:29:51" u="1"/>
        <d v="2025-06-24T03:16:32" u="1"/>
        <d v="2025-06-27T02:23:15" u="1"/>
        <d v="2025-07-02T05:19:18" u="1"/>
        <d v="2025-06-25T15:44:10" u="1"/>
        <d v="2025-06-25T04:02:19" u="1"/>
        <d v="2025-06-16T16:18:33" u="1"/>
        <d v="2025-06-09T10:55:55" u="1"/>
        <d v="2025-07-01T04:23:34" u="1"/>
        <d v="2025-07-01T17:47:00" u="1"/>
        <d v="2025-07-01T17:02:02" u="1"/>
        <d v="2025-06-30T14:48:17" u="1"/>
        <d v="2025-06-30T09:49:03" u="1"/>
        <d v="2025-06-30T10:27:46" u="1"/>
        <d v="2025-06-30T13:31:10" u="1"/>
        <d v="2025-06-30T12:15:58" u="1"/>
        <d v="2025-06-30T16:18:35" u="1"/>
        <d v="2025-06-30T13:16:14" u="1"/>
        <d v="2025-06-27T11:02:28" u="1"/>
        <d v="2025-06-30T21:25:17" u="1"/>
        <d v="2025-06-25T21:03:56" u="1"/>
        <d v="2025-06-27T15:32:57" u="1"/>
        <d v="2025-06-26T21:42:46" u="1"/>
        <d v="2025-06-30T14:24:11" u="1"/>
        <d v="2025-06-30T14:28:02" u="1"/>
        <d v="2025-06-30T14:28:04" u="1"/>
        <d v="2025-06-30T14:28:08" u="1"/>
        <d v="2025-06-30T20:56:46" u="1"/>
        <d v="2025-06-27T17:08:58" u="1"/>
        <d v="2025-06-23T08:50:31" u="1"/>
        <d v="2025-06-16T16:36:37" u="1"/>
        <d v="2025-06-26T17:08:48" u="1"/>
        <d v="2025-06-26T15:06:38" u="1"/>
        <d v="2025-06-04T12:46:24" u="1"/>
        <d v="2025-06-25T12:31:37" u="1"/>
        <d v="2025-06-20T12:24:36" u="1"/>
        <d v="2025-06-30T17:51:55" u="1"/>
        <d v="2025-06-30T21:05:58" u="1"/>
        <d v="2025-06-30T21:05:19" u="1"/>
        <d v="2025-06-30T21:05:25" u="1"/>
        <d v="2025-06-30T21:06:05" u="1"/>
        <d v="2025-06-12T15:58:03" u="1"/>
        <d v="2025-06-30T09:59:20" u="1"/>
        <d v="2025-06-30T10:04:14" u="1"/>
        <d v="2025-06-30T08:02:01" u="1"/>
        <d v="2025-06-30T17:06:06" u="1"/>
        <d v="2025-06-30T17:09:28" u="1"/>
        <d v="2025-06-30T17:37:02" u="1"/>
        <d v="2025-06-30T17:44:23" u="1"/>
        <d v="2025-06-30T15:59:34" u="1"/>
        <d v="2025-06-30T16:00:01" u="1"/>
        <d v="2025-06-30T11:09:17" u="1"/>
        <d v="2025-06-30T11:17:55" u="1"/>
        <d v="2025-06-30T09:23:25" u="1"/>
        <d v="2025-06-30T21:44:11" u="1"/>
        <d v="2025-06-30T21:37:55" u="1"/>
        <d v="2025-06-30T20:34:31" u="1"/>
        <d v="2025-06-26T09:01:25" u="1"/>
        <d v="2025-06-27T17:18:23" u="1"/>
        <d v="2025-06-30T17:02:52" u="1"/>
        <d v="2025-06-30T17:02:34" u="1"/>
        <d v="2025-06-30T15:30:46" u="1"/>
        <d v="2025-06-30T15:30:58" u="1"/>
        <d v="2025-06-30T10:46:15" u="1"/>
        <d v="2025-06-27T17:18:29" u="1"/>
        <d v="2025-06-27T17:32:14" u="1"/>
        <d v="2025-06-30T15:31:14" u="1"/>
        <d v="2025-06-30T09:46:07" u="1"/>
        <d v="2025-06-30T09:46:03" u="1"/>
        <d v="2025-06-30T15:36:37" u="1"/>
        <d v="2025-06-26T17:03:08" u="1"/>
        <d v="2025-06-30T15:49:47" u="1"/>
        <d v="2025-06-30T17:01:11" u="1"/>
        <d v="2025-06-30T16:03:27" u="1"/>
        <d v="2025-06-30T16:03:32" u="1"/>
        <d v="2025-06-30T16:03:54" u="1"/>
        <d v="2025-06-30T11:01:47" u="1"/>
        <d v="2025-06-30T10:02:44" u="1"/>
        <d v="2025-06-27T14:02:59" u="1"/>
        <d v="2025-06-26T16:01:02" u="1"/>
        <d v="2025-06-30T19:00:51" u="1"/>
        <d v="2025-06-30T19:00:53" u="1"/>
        <d v="2025-06-30T14:01:23" u="1"/>
        <d v="2025-06-30T12:02:24" u="1"/>
        <d v="2025-06-30T12:02:26" u="1"/>
        <d v="2025-06-27T20:03:33" u="1"/>
        <d v="2025-06-30T19:01:57" u="1"/>
        <d v="2025-06-30T19:02:02" u="1"/>
        <d v="2025-06-30T19:02:03" u="1"/>
        <d v="2025-06-30T19:02:05" u="1"/>
        <d v="2025-06-26T13:02:33" u="1"/>
        <d v="2025-06-30T16:04:24" u="1"/>
        <d v="2025-06-30T14:06:20" u="1"/>
        <d v="2025-06-30T20:01:59" u="1"/>
        <d v="2025-06-27T11:01:49" u="1"/>
        <d v="2025-06-28T11:34:44" u="1"/>
        <d v="2025-06-30T15:04:26" u="1"/>
        <d v="2025-06-30T14:04:12" u="1"/>
        <d v="2025-06-30T18:02:47" u="1"/>
        <d v="2025-06-30T18:04:36" u="1"/>
        <d v="2025-06-30T15:37:32" u="1"/>
        <d v="2025-06-27T09:02:23" u="1"/>
        <d v="2025-06-30T14:03:17" u="1"/>
        <d v="2025-06-30T12:02:39" u="1"/>
        <d v="2025-06-30T12:02:08" u="1"/>
        <d v="2025-06-30T12:02:11" u="1"/>
        <d v="2025-06-30T15:02:29" u="1"/>
        <d v="2025-06-30T09:01:37" u="1"/>
        <d v="2025-06-25T17:04:22" u="1"/>
        <d v="2025-06-25T09:02:26" u="1"/>
        <d v="2025-06-27T10:02:57" u="1"/>
        <d v="2025-06-27T11:05:22" u="1"/>
        <d v="2025-06-27T12:21:32" u="1"/>
        <d v="2025-06-30T21:33:40" u="1"/>
        <d v="2025-06-30T21:21:15" u="1"/>
        <d v="2025-06-30T21:21:20" u="1"/>
        <d v="2025-06-29T09:01:41" u="1"/>
        <d v="2025-06-29T15:25:51" u="1"/>
        <d v="2025-06-09T18:04:04" u="1"/>
        <d v="2025-06-09T18:04:29" u="1"/>
        <d v="2025-06-11T07:00:40" u="1"/>
        <d v="2025-06-30T21:00:09" u="1"/>
        <d v="2025-06-28T21:18:11" u="1"/>
        <d v="2025-06-30T21:12:49" u="1"/>
        <d v="2025-06-21T09:04:19" u="1"/>
        <d v="2025-06-02T20:04:30" u="1"/>
        <d v="2025-06-03T14:24:56" u="1"/>
        <d v="2025-06-03T20:33:13" u="1"/>
        <d v="2025-06-30T21:22:46" u="1"/>
        <d v="2025-06-21T08:43:02" u="1"/>
        <d v="2025-06-21T09:02:42" u="1"/>
        <d v="2025-06-30T21:17:09" u="1"/>
        <d v="2025-06-29T01:18:21" u="1"/>
        <d v="2025-06-29T13:19:20" u="1"/>
        <d v="2025-06-29T15:00:55" u="1"/>
        <d v="2025-06-29T15:27:29" u="1"/>
        <d v="2025-06-29T15:17:54" u="1"/>
        <d v="2025-06-30T11:50:59" u="1"/>
        <d v="2025-06-26T16:56:14" u="1"/>
        <d v="2025-06-10T22:25:11" u="1"/>
        <d v="2025-06-30T20:28:21" u="1"/>
        <d v="2025-06-30T20:30:36" u="1"/>
        <d v="2025-06-30T20:32:39" u="1"/>
        <d v="2025-06-29T07:38:35" u="1"/>
        <d v="2025-06-30T00:11:32" u="1"/>
        <d v="2025-06-29T21:31:34" u="1"/>
        <d v="2025-06-30T20:23:29" u="1"/>
        <d v="2025-06-30T20:22:27" u="1"/>
        <d v="2025-06-26T19:34:43" u="1"/>
        <d v="2025-06-30T21:01:01" u="1"/>
        <d v="2025-06-30T21:01:15" u="1"/>
        <d v="2025-06-30T21:01:26" u="1"/>
        <d v="2025-06-28T10:21:22" u="1"/>
        <d v="2025-06-28T13:15:43" u="1"/>
        <d v="2025-06-29T00:37:29" u="1"/>
        <d v="2025-06-29T00:49:43" u="1"/>
        <d v="2025-06-29T00:51:43" u="1"/>
        <d v="2025-06-29T00:59:45" u="1"/>
        <d v="2025-06-30T14:28:41" u="1"/>
        <d v="2025-06-30T14:22:28" u="1"/>
        <d v="2025-06-29T14:07:02" u="1"/>
        <d v="2025-06-29T14:58:16" u="1"/>
        <d v="2025-06-30T21:58:05" u="1"/>
        <d v="2025-06-30T21:59:04" u="1"/>
        <d v="2025-06-30T21:53:14" u="1"/>
        <d v="2025-06-30T21:56:11" u="1"/>
        <d v="2025-06-30T21:56:14" u="1"/>
        <d v="2025-06-30T21:56:16" u="1"/>
        <d v="2025-06-30T21:56:19" u="1"/>
        <d v="2025-07-01T06:04:21" u="1"/>
        <d v="2025-06-30T21:57:36" u="1"/>
        <d v="2025-06-29T14:16:52" u="1"/>
        <d v="2025-06-30T21:56:27" u="1"/>
        <d v="2025-06-30T13:46:57" u="1"/>
        <d v="2025-06-29T19:53:57" u="1"/>
        <d v="2025-06-26T17:09:51" u="1"/>
        <d v="2025-06-26T17:10:04" u="1"/>
        <d v="2025-06-30T16:51:37" u="1"/>
        <d v="2025-06-28T11:42:59" u="1"/>
        <d v="2025-06-27T16:40:02" u="1"/>
        <d v="2025-06-30T20:34:26" u="1"/>
        <d v="2025-06-27T16:56:37" u="1"/>
        <d v="2025-06-27T11:41:08" u="1"/>
        <d v="2025-06-25T08:57:15" u="1"/>
        <d v="2025-06-27T12:27:14" u="1"/>
        <d v="2025-06-27T11:24:52" u="1"/>
        <d v="2025-06-27T08:27:10" u="1"/>
        <d v="2025-06-27T08:53:56" u="1"/>
        <d v="2025-07-01T06:03:10" u="1"/>
        <d v="2025-07-01T06:03:13" u="1"/>
        <d v="2025-07-01T06:03:18" u="1"/>
        <d v="2025-07-01T06:03:24" u="1"/>
        <d v="2025-07-01T06:03:27" u="1"/>
        <d v="2025-07-01T06:03:29" u="1"/>
        <d v="2025-06-30T20:34:35" u="1"/>
        <d v="2025-06-30T20:35:06" u="1"/>
        <d v="2025-06-29T06:26:56" u="1"/>
        <d v="2025-06-28T18:23:18" u="1"/>
        <d v="2025-06-28T21:02:31" u="1"/>
        <d v="2025-06-28T16:43:39" u="1"/>
        <d v="2025-06-28T18:18:16" u="1"/>
        <d v="2025-06-28T15:41:33" u="1"/>
        <d v="2025-06-28T15:49:21" u="1"/>
        <d v="2025-06-28T18:58:55" u="1"/>
        <d v="2025-06-27T11:38:18" u="1"/>
        <d v="2025-06-30T21:07:05" u="1"/>
        <d v="2025-06-30T21:07:38" u="1"/>
        <d v="2025-06-30T21:10:26" u="1"/>
        <d v="2025-06-29T07:42:20" u="1"/>
        <d v="2025-06-30T21:09:56" u="1"/>
        <d v="2025-06-28T16:29:43" u="1"/>
        <d v="2025-06-28T16:36:43" u="1"/>
        <d v="2025-06-29T05:19:10" u="1"/>
        <d v="2025-06-29T05:07:52" u="1"/>
        <d v="2025-06-28T19:47:32" u="1"/>
        <d v="2025-06-26T15:53:02" u="1"/>
        <d v="2025-06-30T12:33:13" u="1"/>
        <d v="2025-06-30T17:12:12" u="1"/>
        <d v="2025-06-27T17:37:34" u="1"/>
        <d v="2025-06-30T13:39:47" u="1"/>
        <d v="2025-06-06T20:35:49" u="1"/>
        <d v="2025-06-30T17:16:54" u="1"/>
        <d v="2025-06-26T15:57:44" u="1"/>
        <d v="2025-06-30T23:31:36" u="1"/>
        <d v="2025-06-30T19:47:25" u="1"/>
        <d v="2025-06-30T23:31:30" u="1"/>
        <d v="2025-06-30T19:48:16" u="1"/>
        <d v="2025-06-06T16:46:58" u="1"/>
        <d v="2025-06-30T19:48:58" u="1"/>
        <d v="2025-06-30T19:47:38" u="1"/>
        <d v="2025-06-30T14:20:28" u="1"/>
        <d v="2025-06-25T08:35:57" u="1"/>
        <d v="2025-06-06T18:35:41" u="1"/>
        <d v="2025-06-30T18:20:47" u="1"/>
        <d v="2025-06-17T22:26:29" u="1"/>
        <d v="2025-06-30T19:47:09" u="1"/>
        <d v="2025-06-26T11:26:16" u="1"/>
        <d v="2025-06-26T12:10:29" u="1"/>
        <d v="2025-06-30T11:28:34" u="1"/>
        <d v="2025-06-25T10:29:36" u="1"/>
        <d v="2025-06-26T12:27:10" u="1"/>
        <d v="2025-06-30T15:50:04" u="1"/>
        <d v="2025-06-26T09:26:59" u="1"/>
        <d v="2025-06-26T09:15:31" u="1"/>
        <d v="2025-06-30T13:56:12" u="1"/>
        <d v="2025-06-27T17:39:53" u="1"/>
        <d v="2025-06-27T16:07:52" u="1"/>
        <d v="2025-06-25T17:55:37" u="1"/>
        <d v="2025-06-30T16:37:44" u="1"/>
        <d v="2025-06-30T17:13:43" u="1"/>
        <d v="2025-06-27T18:51:34" u="1"/>
        <d v="2025-06-25T18:04:10" u="1"/>
        <d v="2025-06-27T17:42:52" u="1"/>
        <d v="2025-06-24T16:57:03" u="1"/>
        <d v="2025-06-25T08:56:55" u="1"/>
        <d v="2025-06-26T09:26:56" u="1"/>
        <d v="2025-06-24T18:15:25" u="1"/>
        <d v="2025-06-30T11:28:10" u="1"/>
        <d v="2025-06-30T11:28:06" u="1"/>
        <d v="2025-06-30T11:28:00" u="1"/>
        <d v="2025-06-30T18:15:34" u="1"/>
        <d v="2025-06-30T18:15:37" u="1"/>
        <d v="2025-06-26T17:28:29" u="1"/>
        <d v="2025-06-26T17:37:52" u="1"/>
        <d v="2025-06-23T15:38:42" u="1"/>
        <d v="2025-06-26T12:10:30" u="1"/>
        <d v="2025-06-30T11:57:04" u="1"/>
        <d v="2025-06-26T12:27:23" u="1"/>
        <d v="2025-06-30T22:44:50" u="1"/>
        <d v="2025-06-23T14:47:04" u="1"/>
        <d v="2025-06-24T23:34:06" u="1"/>
        <d v="2025-06-26T11:26:42" u="1"/>
        <d v="2025-06-30T23:23:48" u="1"/>
        <d v="2025-06-25T13:54:44" u="1"/>
        <d v="2025-06-26T18:55:24" u="1"/>
        <d v="2025-06-30T19:54:57" u="1"/>
        <d v="2025-06-30T11:28:03" u="1"/>
        <d v="2025-06-29T03:55:04" u="1"/>
        <d v="2025-06-27T17:41:05" u="1"/>
        <d v="2025-06-27T17:39:20" u="1"/>
        <d v="2025-06-27T17:39:22" u="1"/>
        <d v="2025-06-27T14:22:57" u="1"/>
        <d v="2025-06-27T14:41:30" u="1"/>
        <d v="2025-06-27T14:56:00" u="1"/>
        <d v="2025-06-27T15:28:07" u="1"/>
        <d v="2025-06-27T18:39:40" u="1"/>
        <d v="2025-06-27T18:43:38" u="1"/>
        <d v="2025-06-21T21:01:34" u="1"/>
        <d v="2025-06-29T04:49:16" u="1"/>
        <d v="2025-06-29T04:53:20" u="1"/>
        <d v="2025-06-29T05:53:35" u="1"/>
        <d v="2025-06-29T20:25:21" u="1"/>
        <d v="2025-06-29T16:56:58" u="1"/>
        <d v="2025-06-29T21:34:36" u="1"/>
        <d v="2025-06-29T18:51:05" u="1"/>
        <d v="2025-06-27T18:36:55" u="1"/>
        <d v="2025-06-29T03:18:48" u="1"/>
        <d v="2025-06-21T04:15:36" u="1"/>
        <d v="2025-06-28T15:37:35" u="1"/>
        <d v="2025-06-28T08:12:06" u="1"/>
        <d v="2025-06-28T23:11:45" u="1"/>
        <d v="2025-06-28T06:57:47" u="1"/>
        <d v="2025-06-28T06:59:52" u="1"/>
        <d v="2025-06-28T06:55:01" u="1"/>
        <d v="2025-06-27T18:10:08" u="1"/>
        <d v="2025-06-28T13:41:03" u="1"/>
        <d v="2025-06-28T13:56:40" u="1"/>
        <d v="2025-06-30T06:55:35" u="1"/>
        <d v="2025-06-29T12:09:28" u="1"/>
        <d v="2025-06-30T04:03:19" u="1"/>
        <d v="2025-06-30T04:47:20" u="1"/>
        <d v="2025-06-27T17:18:47" u="1"/>
        <d v="2025-06-27T08:46:06" u="1"/>
        <d v="2025-06-27T17:47:56" u="1"/>
        <d v="2025-06-27T17:52:43" u="1"/>
        <d v="2025-06-22T22:58:52" u="1"/>
        <d v="2025-06-27T18:04:38" u="1"/>
        <d v="2025-06-26T01:29:33" u="1"/>
        <d v="2025-06-26T01:57:09" u="1"/>
        <d v="2025-06-26T02:34:46" u="1"/>
        <d v="2025-06-26T02:59:20" u="1"/>
        <d v="2025-06-26T03:31:16" u="1"/>
        <d v="2025-06-27T17:04:34" u="1"/>
        <d v="2025-06-27T17:04:49" u="1"/>
        <d v="2025-06-27T17:01:32" u="1"/>
        <d v="2025-06-27T15:04:36" u="1"/>
        <d v="2025-06-27T15:04:39" u="1"/>
        <d v="2025-06-27T15:00:59" u="1"/>
        <d v="2025-06-27T18:03:49" u="1"/>
        <d v="2025-06-27T11:00:57" u="1"/>
        <d v="2025-06-27T16:01:48" u="1"/>
        <d v="2025-06-27T09:02:42" u="1"/>
        <d v="2025-06-29T09:28:24" u="1"/>
        <d v="2025-06-30T05:50:01" u="1"/>
        <d v="2025-06-29T00:17:30" u="1"/>
        <d v="2025-06-29T00:19:47" u="1"/>
        <d v="2025-06-28T11:20:44" u="1"/>
        <d v="2025-06-28T12:39:27" u="1"/>
        <d v="2025-06-28T12:53:25" u="1"/>
        <d v="2025-06-29T07:35:33" u="1"/>
        <d v="2025-06-27T16:00:22" u="1"/>
        <d v="2025-06-28T07:41:10" u="1"/>
        <d v="2025-06-28T08:59:59" u="1"/>
        <d v="2025-06-28T09:34:49" u="1"/>
        <d v="2025-06-28T08:09:40" u="1"/>
        <d v="2025-06-28T08:12:54" u="1"/>
        <d v="2025-06-29T22:50:53" u="1"/>
        <d v="2025-06-29T06:39:52" u="1"/>
        <d v="2025-06-25T18:02:26" u="1"/>
        <d v="2025-06-27T18:08:41" u="1"/>
        <d v="2025-06-27T18:08:44" u="1"/>
        <d v="2025-06-27T18:08:45" u="1"/>
        <d v="2025-06-27T17:43:04" u="1"/>
        <d v="2025-06-26T16:49:24" u="1"/>
        <d v="2025-06-26T17:23:41" u="1"/>
        <d v="2025-06-28T20:36:10" u="1"/>
        <d v="2025-06-28T20:39:12" u="1"/>
        <d v="2025-06-28T20:10:06" u="1"/>
        <d v="2025-06-28T20:11:58" u="1"/>
        <d v="2025-06-28T19:55:21" u="1"/>
        <d v="2025-06-28T04:02:05" u="1"/>
        <d v="2025-06-28T04:12:28" u="1"/>
        <d v="2025-06-22T22:44:39" u="1"/>
        <d v="2025-06-27T15:02:42" u="1"/>
        <d v="2025-06-27T13:57:51" u="1"/>
        <d v="2025-06-27T14:24:16" u="1"/>
        <d v="2025-06-27T14:18:06" u="1"/>
        <d v="2025-06-27T16:59:26" u="1"/>
        <d v="2025-06-27T19:17:34" u="1"/>
        <d v="2025-06-27T19:18:20" u="1"/>
        <d v="2025-06-27T18:20:34" u="1"/>
        <d v="2025-06-27T19:18:47" u="1"/>
        <d v="2025-06-27T19:18:14" u="1"/>
        <d v="2025-06-27T17:41:21" u="1"/>
        <d v="2025-06-27T22:19:31" u="1"/>
        <d v="2025-06-27T15:08:26" u="1"/>
        <d v="2025-06-27T17:47:58" u="1"/>
        <d v="2025-06-27T19:18:39" u="1"/>
        <d v="2025-06-27T19:19:05" u="1"/>
        <d v="2025-06-27T19:17:11" u="1"/>
        <d v="2025-06-30T05:33:20" u="1"/>
        <d v="2025-06-27T19:19:22" u="1"/>
        <d v="2025-06-27T19:20:58" u="1"/>
        <d v="2025-06-27T19:19:35" u="1"/>
        <d v="2025-06-27T19:19:55" u="1"/>
        <d v="2025-06-28T19:49:56" u="1"/>
        <d v="2025-06-27T16:41:50" u="1"/>
        <d v="2025-06-27T17:07:43" u="1"/>
        <d v="2025-06-27T17:07:50" u="1"/>
        <d v="2025-06-27T18:04:25" u="1"/>
        <d v="2025-06-27T19:20:17" u="1"/>
        <d v="2025-06-20T14:54:33" u="1"/>
        <d v="2025-06-20T15:15:12" u="1"/>
        <d v="2025-06-04T13:46:52" u="1"/>
        <d v="2025-06-25T18:17:16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0T13:58:24" u="1"/>
        <d v="2025-06-23T14:20:32" u="1"/>
        <d v="2025-06-23T14:13:45" u="1"/>
        <d v="2025-06-25T14:38:48" u="1"/>
        <d v="2025-06-25T14:42:01" u="1"/>
        <d v="2025-06-26T13:35:17" u="1"/>
        <d v="2025-06-26T15:06:00" u="1"/>
        <d v="2025-06-20T20:01:54" u="1"/>
        <d v="2025-06-21T20:39:51" u="1"/>
        <d v="2025-06-23T08:50:14" u="1"/>
        <d v="2025-06-26T15:56:40" u="1"/>
        <d v="2025-06-26T16:17:15" u="1"/>
        <d v="2025-06-26T16:27:32" u="1"/>
        <d v="2025-06-26T16:39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6T12:17:28" u="1"/>
        <d v="2025-06-26T16:03:24" u="1"/>
        <d v="2025-06-20T13:05:46" u="1"/>
        <d v="2025-06-20T13:06:04" u="1"/>
        <d v="2025-06-26T02:22:20" u="1"/>
        <d v="2025-06-26T05:54:14" u="1"/>
        <d v="2025-06-26T05:56:32" u="1"/>
        <d v="2025-06-25T19:04:33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5:02:20" u="1"/>
        <d v="2025-06-26T07:28:45" u="1"/>
        <d v="2025-06-26T11:05:42" u="1"/>
        <d v="2025-06-26T11:20:41" u="1"/>
        <d v="2025-06-26T17:09:56" u="1"/>
        <d v="2025-06-26T17:10:00" u="1"/>
        <d v="2025-06-26T14:31:42" u="1"/>
        <d v="2025-06-26T17:49:09" u="1"/>
        <d v="2025-06-26T17:49:16" u="1"/>
        <d v="2025-06-26T17:17:39" u="1"/>
        <d v="2025-06-06T17:22:02" u="1"/>
        <d v="2025-06-26T16:52:13" u="1"/>
        <d v="2025-06-13T13:06:11" u="1"/>
        <d v="2025-06-09T15:30:46" u="1"/>
        <d v="2025-06-26T14:01:43" u="1"/>
        <d v="2025-06-11T14:31:21" u="1"/>
        <d v="2025-06-25T10:47:18" u="1"/>
        <d v="2025-06-25T16:47:10" u="1"/>
        <d v="2025-06-26T12:42:41" u="1"/>
        <d v="2025-06-26T12:48:10" u="1"/>
        <d v="2025-06-26T12:33:13" u="1"/>
        <d v="2025-06-26T09:20:02" u="1"/>
        <d v="2025-06-17T19:19:26" u="1"/>
        <d v="2025-06-17T13:02:46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12T15:16:14" u="1"/>
        <d v="2025-06-18T16:16:22" u="1"/>
        <d v="2025-06-20T15:05:19" u="1"/>
        <d v="2025-06-09T11:32:07" u="1"/>
        <d v="2025-06-27T06:54:59" u="1"/>
        <d v="2025-06-27T06:56:32" u="1"/>
        <d v="2025-06-11T15:19:41" u="1"/>
        <d v="2025-06-25T18:45:23" u="1"/>
        <d v="2025-06-25T19:07:13" u="1"/>
        <d v="2025-06-18T11:16:54" u="1"/>
        <d v="2025-06-24T14:06:09" u="1"/>
        <d v="2025-06-23T17:23:29" u="1"/>
        <d v="2025-06-18T15:07:34" u="1"/>
        <d v="2025-06-25T15:07:39" u="1"/>
        <d v="2025-06-25T17:37:40" u="1"/>
        <d v="2025-06-23T08:52:17" u="1"/>
        <d v="2025-06-11T12:37:23" u="1"/>
        <d v="2025-06-09T16:48:10" u="1"/>
        <d v="2025-06-24T17:22:21" u="1"/>
        <d v="2025-06-24T17:22:22" u="1"/>
        <d v="2025-06-24T14:40:08" u="1"/>
        <d v="2025-06-24T14:40:14" u="1"/>
        <d v="2025-06-24T16:44:47" u="1"/>
        <d v="2025-06-24T16:19:53" u="1"/>
        <d v="2025-06-24T16:19:54" u="1"/>
        <d v="2025-06-24T16:20:09" u="1"/>
        <d v="2025-06-24T16:26:55" u="1"/>
        <d v="2025-06-24T16:26:56" u="1"/>
        <d v="2025-06-24T16:27:02" u="1"/>
        <d v="2025-06-24T16:27:14" u="1"/>
        <d v="2025-06-25T18:03:48" u="1"/>
        <d v="2025-06-25T14:37:03" u="1"/>
        <d v="2025-06-24T09:50:04" u="1"/>
        <d v="2025-06-25T16:01:44" u="1"/>
        <d v="2025-06-25T17:37:37" u="1"/>
        <d v="2025-06-25T19:36:01" u="1"/>
        <d v="2025-06-26T06:54:37" u="1"/>
        <d v="2025-06-25T15:06:54" u="1"/>
        <d v="2025-06-25T17:06:29" u="1"/>
        <d v="2025-06-16T17:18:10" u="1"/>
        <d v="2024-03-27T18:10:15" u="1"/>
        <d v="2025-06-25T17:07:59" u="1"/>
        <d v="2025-06-20T10:19:57" u="1"/>
        <d v="2025-06-24T19:19:52" u="1"/>
        <d v="2025-06-06T12:20:26" u="1"/>
        <d v="2025-06-20T15:05:40" u="1"/>
        <d v="2025-06-20T15:05:47" u="1"/>
        <d v="2025-06-17T10:20:33" u="1"/>
        <d v="2025-06-24T16:50:35" u="1"/>
        <d v="2025-06-25T11:17:10" u="1"/>
        <d v="2025-06-25T11:17:17" u="1"/>
        <d v="2025-06-02T09:46:15" u="1"/>
        <d v="2025-06-05T09:45:52" u="1"/>
        <d v="2025-06-09T12:31:17" u="1"/>
        <d v="2025-06-25T18:47:58" u="1"/>
        <d v="2025-06-13T12:02:09" u="1"/>
        <d v="2025-06-12T18:01:34" u="1"/>
        <d v="2025-06-13T08:31:18" u="1"/>
        <d v="2025-06-13T08:45:58" u="1"/>
        <d v="2025-06-05T08:45:43" u="1"/>
        <d v="2025-06-05T08:46:04" u="1"/>
        <d v="2025-06-05T09:45:57" u="1"/>
        <d v="2025-06-06T16:45:49" u="1"/>
        <d v="2025-06-12T18:15:54" u="1"/>
        <d v="2025-06-12T18:16:10" u="1"/>
        <d v="2025-06-10T09:46:40" u="1"/>
        <d v="2025-06-09T15:01:50" u="1"/>
        <d v="2025-06-24T18:47:02" u="1"/>
        <d v="2025-06-24T18:47:35" u="1"/>
        <d v="2025-06-24T13:46:00" u="1"/>
        <d v="2025-06-25T18:14:17" u="1"/>
        <d v="2025-06-25T18:31:56" u="1"/>
        <d v="2025-06-23T18:20:11" u="1"/>
        <d v="2025-06-13T12:50:45" u="1"/>
        <d v="2025-06-12T18:06:07" u="1"/>
        <d v="2025-06-24T19:05:32" u="1"/>
        <d v="2025-06-23T18:50:04" u="1"/>
        <d v="2025-06-13T13:06:05" u="1"/>
        <d v="2025-04-25T19:38:53" u="1"/>
        <d v="2025-06-25T08:19:56" u="1"/>
        <d v="2025-06-25T08:35:38" u="1"/>
        <d v="2025-06-24T18:52:10" u="1"/>
        <d v="2025-06-23T18:05:26" u="1"/>
        <d v="2025-06-23T18:50:10" u="1"/>
        <d v="2025-06-06T16:02:11" u="1"/>
        <d v="2025-06-26T06:54:36" u="1"/>
        <d v="2025-06-24T18:03:30" u="1"/>
        <d v="2025-06-16T09:15:40" u="1"/>
        <d v="2025-06-18T14:31:04" u="1"/>
        <d v="2025-06-12T18:19:58" u="1"/>
        <d v="2025-06-23T16:33:55" u="1"/>
        <d v="2025-06-25T18:47:24" u="1"/>
        <d v="2025-06-12T18:05:37" u="1"/>
        <d v="2025-06-23T18:20:06" u="1"/>
        <d v="2025-06-23T18:20:17" u="1"/>
        <d v="2025-06-25T08:31:14" u="1"/>
        <d v="2025-06-11T19:16:26" u="1"/>
        <d v="2025-06-25T18:03:43" u="1"/>
        <d v="2025-06-25T18:03:21" u="1"/>
        <d v="2025-06-25T15:01:28" u="1"/>
        <d v="2025-06-25T17:46:31" u="1"/>
        <d v="2025-06-25T17:52:09" u="1"/>
        <d v="2025-06-25T10:54:16" u="1"/>
        <d v="2025-06-25T10:58:22" u="1"/>
        <d v="2025-06-25T10:49:50" u="1"/>
        <d v="2025-06-13T12:03:17" u="1"/>
        <d v="2025-06-12T17:16:23" u="1"/>
        <d v="2025-06-25T18:04:08" u="1"/>
        <d v="2025-06-16T09:16:54" u="1"/>
        <d v="2025-06-16T09:15:33" u="1"/>
        <d v="2025-06-16T09:17:05" u="1"/>
        <d v="2025-06-25T18:03:36" u="1"/>
        <d v="2025-06-24T15:32:02" u="1"/>
        <d v="2025-01-17T08:36:05" u="1"/>
        <d v="2025-06-16T12:31:46" u="1"/>
        <d v="2025-06-24T19:34:58" u="1"/>
        <d v="2025-06-16T16:32:08" u="1"/>
        <d v="2025-06-09T16:48:37" u="1"/>
        <d v="2025-06-20T08:46:36" u="1"/>
        <d v="2025-06-25T17:36:57" u="1"/>
        <d v="2025-06-16T12:31:30" u="1"/>
        <d v="2025-06-16T16:32:03" u="1"/>
        <d v="2025-06-16T09:32:10" u="1"/>
        <d v="2025-06-25T13:20:27" u="1"/>
        <d v="2025-06-25T15:32:16" u="1"/>
        <d v="2025-06-24T14:00:02" u="1"/>
        <d v="2025-06-24T14:12:05" u="1"/>
        <d v="2025-06-24T14:23:00" u="1"/>
        <d v="2025-06-24T15:51:06" u="1"/>
        <d v="2025-06-23T13:52:07" u="1"/>
        <d v="2025-06-24T16:55:14" u="1"/>
        <d v="2025-06-24T13:51:00" u="1"/>
        <d v="2025-06-23T13:15:02" u="1"/>
        <d v="2025-06-23T13:17:21" u="1"/>
        <d v="2025-06-16T09:31:12" u="1"/>
        <d v="2025-06-24T14:30:15" u="1"/>
        <d v="2025-06-23T11:31:46" u="1"/>
        <d v="2025-06-23T11:03:06" u="1"/>
        <d v="2025-06-23T10:47:58" u="1"/>
        <d v="2025-06-23T12:31:23" u="1"/>
        <d v="2025-06-20T17:01:53" u="1"/>
        <d v="2025-06-20T17:17:07" u="1"/>
        <d v="2025-06-24T08:14:34" u="1"/>
        <d v="2025-06-24T18:17:35" u="1"/>
        <d v="2025-06-24T13:37:42" u="1"/>
        <d v="2025-06-24T13:29:44" u="1"/>
        <d v="2025-06-24T13:33:36" u="1"/>
        <d v="2025-06-23T20:11:23" u="1"/>
        <d v="2025-06-24T13:36:48" u="1"/>
        <d v="2025-06-10T10:32:11" u="1"/>
        <d v="2025-06-16T17:14:56" u="1"/>
        <d v="2025-06-24T00:52:57" u="1"/>
        <d v="2025-06-17T14:07:27" u="1"/>
        <d v="2025-06-24T09:54:51" u="1"/>
        <d v="2025-06-24T10:46:28" u="1"/>
        <d v="2025-06-24T10:52:02" u="1"/>
        <d v="2025-06-18T10:56:45" u="1"/>
        <d v="2025-06-17T17:31:07" u="1"/>
        <d v="2025-06-13T08:15:54" u="1"/>
        <d v="2025-06-16T17:01:05" u="1"/>
        <d v="2025-06-20T12:01:01" u="1"/>
        <d v="2025-06-23T17:16:30" u="1"/>
        <d v="2025-06-23T17:16:45" u="1"/>
        <d v="2025-06-17T17:16:34" u="1"/>
        <d v="2025-06-24T15:31:35" u="1"/>
        <d v="2025-06-24T13:01:35" u="1"/>
        <d v="2025-06-23T17:17:23" u="1"/>
        <d v="2025-06-24T12:15:40" u="1"/>
        <d v="2025-06-24T13:01:28" u="1"/>
        <d v="2025-06-24T11:01:22" u="1"/>
        <d v="2025-06-24T11:01:37" u="1"/>
        <d v="2025-06-24T17:46:20" u="1"/>
        <d v="2025-06-24T17:00:59" u="1"/>
        <d v="2025-06-24T16:45:59" u="1"/>
        <d v="2025-06-24T16:46:06" u="1"/>
        <d v="2025-06-23T12:17:21" u="1"/>
        <d v="2025-06-23T10:47:11" u="1"/>
        <d v="2025-06-24T11:16:58" u="1"/>
        <d v="2025-06-23T14:47:07" u="1"/>
        <d v="2025-06-24T17:02:28" u="1"/>
        <d v="2025-06-24T17:02:38" u="1"/>
        <d v="2025-06-24T17:01:44" u="1"/>
        <d v="2025-06-24T17:01:46" u="1"/>
        <d v="2025-06-24T18:01:32" u="1"/>
        <d v="2025-06-24T18:01:34" u="1"/>
        <d v="2025-06-24T12:02:21" u="1"/>
        <d v="2025-06-24T12:02:22" u="1"/>
        <d v="2025-06-24T12:02:23" u="1"/>
        <d v="2025-06-23T15:03:44" u="1"/>
        <d v="2025-06-24T16:01:20" u="1"/>
        <d v="2025-06-23T00:51:22" u="1"/>
        <d v="2025-06-23T00:51:23" u="1"/>
        <d v="2025-06-20T15:35:37" u="1"/>
        <d v="2025-06-23T15:03:13" u="1"/>
        <d v="2025-06-23T15:03:24" u="1"/>
        <d v="2025-06-24T16:00:54" u="1"/>
        <d v="2025-06-24T15:01:08" u="1"/>
        <d v="2025-06-24T17:02:53" u="1"/>
        <d v="2025-06-24T16:03:05" u="1"/>
        <d v="2025-06-24T22:02:20" u="1"/>
        <d v="2025-06-22T20:41:42" u="1"/>
        <d v="2025-06-23T23:31:01" u="1"/>
        <d v="2025-06-23T23:42:14" u="1"/>
        <d v="2025-06-24T13:35:01" u="1"/>
        <d v="2025-06-20T15:35:41" u="1"/>
        <d v="2025-06-24T17:06:15" u="1"/>
        <d v="2025-06-24T15:50:24" u="1"/>
        <d v="2025-06-24T14:27:34" u="1"/>
        <d v="2025-06-24T18:13:57" u="1"/>
        <d v="2025-06-24T21:31:12" u="1"/>
        <d v="2025-06-24T14:58:31" u="1"/>
        <d v="2025-06-23T14:19:21" u="1"/>
        <d v="2025-06-25T03:07:20" u="1"/>
        <d v="2025-06-25T00:21:47" u="1"/>
        <d v="2025-06-23T23:54:57" u="1"/>
        <d v="2025-06-24T12:20:45" u="1"/>
        <d v="2025-06-24T18:54:02" u="1"/>
        <d v="2025-06-24T19:30:24" u="1"/>
        <d v="2025-06-24T19:34:14" u="1"/>
        <d v="2025-06-24T19:41:38" u="1"/>
        <d v="2025-06-24T19:43:02" u="1"/>
        <d v="2025-06-25T04:24:52" u="1"/>
        <d v="2025-06-23T19:05:54" u="1"/>
        <d v="2025-06-23T19:27:04" u="1"/>
        <d v="2025-06-23T19:35:45" u="1"/>
        <d v="2025-06-23T19:51:27" u="1"/>
        <d v="2025-06-24T19:48:31" u="1"/>
        <d v="2025-06-23T20:00:37" u="1"/>
        <d v="2025-06-24T19:16:37" u="1"/>
        <d v="2025-06-24T01:32:40" u="1"/>
        <d v="2025-05-30T20:57:20" u="1"/>
        <d v="2025-05-30T21:30:13" u="1"/>
        <d v="2025-05-20T21:54:19" u="1"/>
        <d v="2025-06-04T17:50:09" u="1"/>
        <d v="2025-06-20T15:35:10" u="1"/>
        <d v="2025-06-17T14:46:04" u="1"/>
        <d v="2025-06-23T17:16:19" u="1"/>
        <d v="2025-05-30T09:49:10" u="1"/>
        <d v="2025-05-30T09:49:03" u="1"/>
        <d v="2025-05-30T09:49:17" u="1"/>
        <d v="2025-06-24T15:58:28" u="1"/>
        <d v="2025-06-24T18:49:47" u="1"/>
        <d v="2025-06-24T17:04:25" u="1"/>
        <d v="2025-06-24T20:47:22" u="1"/>
        <d v="2025-06-24T17:12:01" u="1"/>
        <d v="2025-06-24T17:15:36" u="1"/>
        <d v="2025-06-17T14:08:24" u="1"/>
        <d v="2025-06-25T00:20:06" u="1"/>
        <d v="2025-05-07T16:02:09" u="1"/>
        <d v="2025-05-19T21:24:46" u="1"/>
        <d v="2025-05-27T10:19:11" u="1"/>
        <d v="2025-05-20T08:19:30" u="1"/>
        <d v="2025-05-20T08:19:35" u="1"/>
        <d v="2025-05-20T08:19:40" u="1"/>
        <d v="2025-05-20T17:25:07" u="1"/>
        <d v="2025-05-20T08:19:25" u="1"/>
        <d v="2025-05-27T10:19:04" u="1"/>
        <d v="2025-05-27T10:23:48" u="1"/>
        <d v="2025-06-23T11:35:58" u="1"/>
        <d v="2025-05-27T10:17:28" u="1"/>
        <d v="2025-05-27T17:06:06" u="1"/>
        <d v="2025-05-27T10:17:54" u="1"/>
        <d v="2025-05-27T10:22:44" u="1"/>
        <d v="2025-05-27T10:20:56" u="1"/>
        <d v="2025-05-27T10:22:30" u="1"/>
        <d v="2025-05-20T21:40:42" u="1"/>
        <d v="2025-05-22T16:43:31" u="1"/>
        <d v="2025-06-24T16:18:03" u="1"/>
        <d v="2025-06-24T20:31:59" u="1"/>
        <d v="2025-05-20T15:21:30" u="1"/>
        <d v="2025-05-22T16:29:25" u="1"/>
        <d v="2025-05-27T18:30:51" u="1"/>
        <d v="2025-05-27T23:26:24" u="1"/>
        <d v="2025-05-27T10:21:07" u="1"/>
        <d v="2025-05-27T15:32:37" u="1"/>
        <d v="2025-05-15T18:24:02" u="1"/>
        <d v="2025-05-27T14:17:33" u="1"/>
        <d v="2025-05-23T19:34:48" u="1"/>
        <d v="2025-05-21T13:20:15" u="1"/>
        <d v="2025-05-21T17:49:34" u="1"/>
        <d v="2025-06-24T18:17:41" u="1"/>
        <d v="2025-05-27T10:24:52" u="1"/>
        <d v="2025-05-26T16:05:46" u="1"/>
        <d v="2025-05-20T20:21:47" u="1"/>
        <d v="2025-05-27T10:23:28" u="1"/>
        <d v="2025-05-28T11:02:19" u="1"/>
        <d v="2025-05-27T10:18:58" u="1"/>
        <d v="2025-05-27T20:33:09" u="1"/>
        <d v="2025-05-22T14:04:33" u="1"/>
        <d v="2025-05-13T20:47:49" u="1"/>
        <d v="2025-05-29T08:32:12" u="1"/>
        <d v="2025-05-29T00:12:40" u="1"/>
        <d v="2025-05-19T17:16:47" u="1"/>
        <d v="2025-05-15T18:21:00" u="1"/>
        <d v="2025-05-20T20:19:07" u="1"/>
        <d v="2025-05-28T15:46:27" u="1"/>
        <d v="2025-05-27T20:34:19" u="1"/>
        <d v="2025-05-22T19:49:36" u="1"/>
        <d v="2025-05-20T17:23:53" u="1"/>
        <d v="2025-05-19T17:16:38" u="1"/>
        <d v="2025-06-24T20:31:54" u="1"/>
        <d v="2025-05-20T09:45:38" u="1"/>
        <d v="2025-05-27T10:20:18" u="1"/>
        <d v="2025-05-28T13:15:57" u="1"/>
        <d v="2025-05-27T20:33:14" u="1"/>
        <d v="2025-05-27T10:19:35" u="1"/>
        <d v="2025-05-21T09:16:03" u="1"/>
        <d v="2025-05-27T16:35:52" u="1"/>
        <d v="2025-05-27T16:36:17" u="1"/>
        <d v="2025-04-29T19:02:27" u="1"/>
        <d v="2025-05-27T10:23:35" u="1"/>
        <d v="2025-05-27T10:17:22" u="1"/>
        <d v="2025-04-09T11:21:29" u="1"/>
        <d v="2025-04-13T17:33:13" u="1"/>
        <d v="2025-03-20T15:52:10" u="1"/>
        <d v="2025-05-27T10:23:41" u="1"/>
        <d v="2025-05-19T13:31:03" u="1"/>
        <d v="2025-05-29T10:32:56" u="1"/>
        <d v="2025-04-09T11:37:22" u="1"/>
        <d v="2025-05-19T13:28:47" u="1"/>
        <d v="2025-06-24T19:32:12" u="1"/>
        <d v="2025-05-27T10:22:58" u="1"/>
        <d v="2025-05-20T13:37:43" u="1"/>
        <d v="2025-05-27T10:20:31" u="1"/>
        <d v="2025-05-15T18:24:13" u="1"/>
        <d v="2025-03-05T21:24:45" u="1"/>
        <d v="2025-05-28T20:16:37" u="1"/>
        <d v="2025-03-24T19:23:49" u="1"/>
        <d v="2025-03-31T16:38:17" u="1"/>
        <d v="2025-05-20T20:22:04" u="1"/>
        <d v="2025-04-13T17:33:04" u="1"/>
        <d v="2025-05-22T18:37:59" u="1"/>
        <d v="2025-05-19T13:32:27" u="1"/>
        <d v="2025-05-22T18:38:04" u="1"/>
        <d v="2025-05-20T12:23:08" u="1"/>
        <d v="2025-05-27T10:20:24" u="1"/>
        <d v="2025-05-12T10:32:41" u="1"/>
        <d v="2025-05-12T10:32:52" u="1"/>
        <d v="2025-06-18T05:01:31" u="1"/>
        <d v="2025-05-28T19:15:07" u="1"/>
        <d v="2025-06-18T05:27:19" u="1"/>
        <d v="2025-06-19T03:56:52" u="1"/>
        <d v="2025-06-20T01:01:26" u="1"/>
        <d v="2025-06-20T03:02:14" u="1"/>
        <d v="2025-05-27T10:21:52" u="1"/>
        <d v="2025-05-19T13:22:59" u="1"/>
        <d v="2025-05-30T09:49:53" u="1"/>
        <d v="2025-05-27T12:16:19" u="1"/>
        <d v="2025-05-21T19:24:43" u="1"/>
        <d v="2025-06-24T18:17:24" u="1"/>
        <d v="2025-06-20T08:32:24" u="1"/>
        <d v="2025-05-26T09:25:10" u="1"/>
        <d v="2025-06-24T19:57:49" u="1"/>
        <d v="2025-05-30T12:11:07" u="1"/>
        <d v="2025-05-30T12:11:32" u="1"/>
        <d v="2025-06-23T14:22:02" u="1"/>
        <d v="2025-05-27T10:19:23" u="1"/>
        <d v="2025-05-20T15:53:09" u="1"/>
        <d v="2025-05-19T13:24:13" u="1"/>
        <d v="2025-06-18T18:32:39" u="1"/>
        <d v="2025-05-27T10:20:48" u="1"/>
        <d v="2025-05-20T09:45:56" u="1"/>
        <d v="2025-05-20T12:52:09" u="1"/>
        <d v="2025-05-23T19:07:50" u="1"/>
        <d v="2025-05-27T10:19:29" u="1"/>
        <d v="2025-05-20T08:19:19" u="1"/>
        <d v="2025-05-12T10:32:32" u="1"/>
        <d v="2025-05-29T18:09:05" u="1"/>
        <d v="2025-05-05T14:03:01" u="1"/>
        <d v="2025-05-29T12:33:03" u="1"/>
        <d v="2025-05-30T13:47:53" u="1"/>
        <d v="2025-05-08T12:07:54" u="1"/>
        <d v="2025-06-19T04:46:53" u="1"/>
        <d v="2025-05-22T16:29:33" u="1"/>
        <d v="2025-05-08T07:46:55" u="1"/>
        <d v="2025-06-24T17:15:37" u="1"/>
        <d v="2025-06-06T19:24:34" u="1"/>
        <d v="2025-06-16T10:25:21" u="1"/>
        <d v="2025-06-21T14:09:45" u="1"/>
        <d v="2025-05-02T13:58:42" u="1"/>
        <d v="2025-05-02T13:58:55" u="1"/>
        <d v="2025-05-19T13:31:34" u="1"/>
        <d v="2025-05-19T11:21:32" u="1"/>
        <d v="2025-05-27T10:22:25" u="1"/>
        <d v="2025-06-13T18:54:39" u="1"/>
        <d v="2025-06-24T19:39:48" u="1"/>
        <d v="2025-06-24T15:29:49" u="1"/>
        <d v="2025-06-23T09:53:20" u="1"/>
        <d v="2025-05-26T12:22:49" u="1"/>
        <d v="2025-06-17T04:22:15" u="1"/>
        <d v="2025-05-21T17:03:47" u="1"/>
        <d v="2025-06-24T17:47:15" u="1"/>
        <d v="2025-05-23T18:21:21" u="1"/>
        <d v="2025-05-19T13:30:47" u="1"/>
        <d v="2025-03-19T20:19:37" u="1"/>
        <d v="2025-05-27T10:20:03" u="1"/>
        <d v="2025-06-24T17:15:52" u="1"/>
        <d v="2025-05-19T12:08:13" u="1"/>
        <d v="2025-06-17T17:33:38" u="1"/>
        <d v="2025-03-19T20:20:53" u="1"/>
        <d v="2025-06-20T09:32:25" u="1"/>
        <d v="2025-06-24T18:17:11" u="1"/>
        <d v="2025-06-16T14:55:20" u="1"/>
        <d v="2025-06-20T11:08:14" u="1"/>
        <d v="2025-06-24T08:46:50" u="1"/>
        <d v="2025-06-24T08:46:42" u="1"/>
        <d v="2025-06-24T08:46:59" u="1"/>
        <d v="2025-06-17T18:42:06" u="1"/>
        <d v="2025-06-18T18:28:36" u="1"/>
        <d v="2025-06-04T14:21:03" u="1"/>
        <d v="2025-06-24T15:59:56" u="1"/>
        <d v="2025-06-24T17:07:34" u="1"/>
        <d v="2025-06-23T13:36:15" u="1"/>
        <d v="2025-06-23T10:56:39" u="1"/>
        <d v="2025-06-04T08:24:13" u="1"/>
        <d v="2025-06-04T08:24:14" u="1"/>
        <d v="2025-06-17T17:27:14" u="1"/>
        <d v="2025-06-17T17:36:51" u="1"/>
        <d v="2025-06-17T17:36:54" u="1"/>
        <d v="2025-06-17T17:36:56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23T09:02:07" u="1"/>
        <d v="2025-06-23T11:32:48" u="1"/>
        <d v="2025-06-22T23:40:54" u="1"/>
        <d v="2025-06-22T23:44:15" u="1"/>
        <d v="2025-06-23T09:47:10" u="1"/>
        <d v="2025-06-09T16:48:54" u="1"/>
        <d v="2025-06-23T14:35:06" u="1"/>
        <d v="2025-06-23T11:35:12" u="1"/>
        <d v="2025-06-20T16:05:54" u="1"/>
        <d v="2025-06-23T15:04:08" u="1"/>
        <d v="2025-06-20T08:21:20" u="1"/>
        <d v="2025-06-10T13:20:10" u="1"/>
        <d v="2025-06-10T13:20:22" u="1"/>
        <d v="2025-06-13T19:06:46" u="1"/>
        <d v="2025-06-23T11:16:49" u="1"/>
        <d v="2025-06-09T18:15:33" u="1"/>
        <d v="2025-06-23T02:53:04" u="1"/>
        <d v="2025-06-21T15:24:47" u="1"/>
        <d v="2025-06-20T13:46:51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08:12:04" u="1"/>
        <d v="2025-06-23T08:13:56" u="1"/>
        <d v="2025-06-21T00:48:53" u="1"/>
        <d v="2025-06-23T23:32:36" u="1"/>
        <d v="2025-06-21T00:36:21" u="1"/>
        <d v="2025-06-21T00:37:55" u="1"/>
        <d v="2025-06-22T13:46:23" u="1"/>
        <d v="2025-06-23T10:01:37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4T06:55:48" u="1"/>
        <d v="2025-06-24T06:57:05" u="1"/>
        <d v="2025-06-23T07:46:20" u="1"/>
        <d v="2025-06-23T07:46:21" u="1"/>
        <d v="2025-06-23T15:35:12" u="1"/>
        <d v="2025-06-20T09:08:42" u="1"/>
        <d v="2025-06-22T03:16:16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2T05:29:12" u="1"/>
        <d v="2025-06-20T16:57:39" u="1"/>
        <d v="2025-06-20T16:02:07" u="1"/>
        <d v="2025-06-20T15:19:31" u="1"/>
        <d v="2025-06-21T10:04:34" u="1"/>
        <d v="2025-06-21T10:04:38" u="1"/>
        <d v="2025-06-21T10:04:42" u="1"/>
        <d v="2025-06-22T10:32:32" u="1"/>
        <d v="2025-06-23T13:56:21" u="1"/>
        <d v="2025-06-23T14:39:55" u="1"/>
        <d v="2025-06-23T15:17:48" u="1"/>
        <d v="2025-06-19T16:39:04" u="1"/>
        <d v="2025-06-23T20:16:24" u="1"/>
        <d v="2025-06-20T16:19:32" u="1"/>
        <d v="2025-06-23T19:01:26" u="1"/>
        <d v="2025-06-23T18:15:31" u="1"/>
        <d v="2025-06-23T17:45:57" u="1"/>
        <d v="2025-06-23T18:00:56" u="1"/>
        <d v="2025-06-20T18:49:45" u="1"/>
        <d v="2025-06-20T16:13:07" u="1"/>
        <d v="2025-06-23T16:07:49" u="1"/>
        <d v="2025-06-21T21:34:58" u="1"/>
        <d v="2025-06-23T17:46:40" u="1"/>
        <d v="2025-06-20T14:25:16" u="1"/>
        <d v="2025-06-23T08:50:43" u="1"/>
        <d v="2025-06-23T11:17:23" u="1"/>
        <d v="2025-06-23T13:13:46" u="1"/>
        <d v="2025-06-23T13:56:31" u="1"/>
        <d v="2025-06-23T17:21:48" u="1"/>
        <d v="2025-06-23T18:05:05" u="1"/>
        <d v="2025-06-13T12:46:07" u="1"/>
        <d v="2025-06-23T23:14:27" u="1"/>
        <d v="2025-06-23T18:15:39" u="1"/>
        <d v="2025-06-05T15:17:23" u="1"/>
        <d v="2025-06-23T15:50:30" u="1"/>
        <d v="2025-06-20T16:24:56" u="1"/>
        <d v="2025-06-22T11:43:12" u="1"/>
        <d v="2025-06-23T11:57:09" u="1"/>
        <d v="2025-06-23T17:02:23" u="1"/>
        <d v="2025-06-23T12:06:29" u="1"/>
        <d v="2025-06-17T16:20:40" u="1"/>
        <d v="2025-06-23T10:36:01" u="1"/>
        <d v="2025-06-23T20:41:11" u="1"/>
        <d v="2025-06-21T06:34:38" u="1"/>
        <d v="2025-06-17T21:23:57" u="1"/>
        <d v="2025-06-21T13:24:25" u="1"/>
        <d v="2025-06-23T19:35:02" u="1"/>
        <d v="2025-06-17T11:08:28" u="1"/>
        <d v="2025-06-20T19:05:47" u="1"/>
        <d v="2025-06-21T07:06:40" u="1"/>
        <d v="2025-06-21T07:09:36" u="1"/>
        <d v="2025-06-20T14:06:01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21T21:18:06" u="1"/>
        <d v="2025-06-21T21:27:51" u="1"/>
        <d v="2025-06-20T16:22:00" u="1"/>
        <d v="2025-06-21T11:53:28" u="1"/>
        <d v="2025-06-20T19:04:43" u="1"/>
        <d v="2025-06-21T04:08:09" u="1"/>
        <d v="2025-06-20T19:16:25" u="1"/>
        <d v="2025-06-20T13:49:07" u="1"/>
        <d v="2025-06-20T19:03:46" u="1"/>
        <d v="2025-06-17T18:38:32" u="1"/>
        <d v="2025-06-20T15:45:05" u="1"/>
        <d v="2025-06-18T03:57:31" u="1"/>
        <d v="2025-06-18T04:33:55" u="1"/>
        <d v="2025-06-19T04:14:31" u="1"/>
        <d v="2025-06-19T04:18:31" u="1"/>
        <d v="2025-06-19T04:35:16" u="1"/>
        <d v="2025-06-19T04:44:27" u="1"/>
        <d v="2025-06-21T04:24:09" u="1"/>
        <d v="2025-06-20T17:16:58" u="1"/>
        <d v="2025-06-23T06:24:36" u="1"/>
        <d v="2025-06-21T16:16:17" u="1"/>
        <d v="2025-06-23T01:52:37" u="1"/>
        <d v="2025-06-23T02:44:15" u="1"/>
        <d v="2025-06-23T02:50:07" u="1"/>
        <d v="2025-06-23T02:55:51" u="1"/>
        <d v="2025-06-23T04:14:41" u="1"/>
        <d v="2025-06-20T05:19:58" u="1"/>
        <d v="2025-06-21T14:34:46" u="1"/>
        <d v="2025-06-23T01:35:40" u="1"/>
        <d v="2025-06-17T23:36:04" u="1"/>
        <d v="2025-06-20T01:37:17" u="1"/>
        <d v="2025-06-21T14:58:12" u="1"/>
        <d v="2025-06-20T04:35:46" u="1"/>
        <d v="2025-06-18T00:23:32" u="1"/>
        <d v="2025-06-18T14:46:48" u="1"/>
        <d v="2025-06-20T08:31:32" u="1"/>
        <d v="2025-06-17T17:17:19" u="1"/>
        <d v="2025-06-20T17:04:04" u="1"/>
        <d v="2025-06-18T17:02:57" u="1"/>
        <d v="2025-06-20T17:03:29" u="1"/>
        <d v="2025-06-20T19:02:44" u="1"/>
        <d v="2025-06-20T19:02:45" u="1"/>
        <d v="2025-06-20T11:02:10" u="1"/>
        <d v="2025-06-20T11:05:00" u="1"/>
        <d v="2025-06-20T11:05:02" u="1"/>
        <d v="2025-06-20T11:04:56" u="1"/>
        <d v="2025-06-20T11:04:58" u="1"/>
        <d v="2025-06-18T11:00:47" u="1"/>
        <d v="2025-06-18T11:01:26" u="1"/>
        <d v="2025-06-16T10:00:17" u="1"/>
        <d v="2025-06-22T13:18:30" u="1"/>
        <d v="2025-06-21T00:39:23" u="1"/>
        <d v="2025-06-21T00:56:46" u="1"/>
        <d v="2025-06-21T01:31:19" u="1"/>
        <d v="2025-06-21T01:37:20" u="1"/>
        <d v="2025-06-21T00:40:56" u="1"/>
        <d v="2025-06-18T00:34:41" u="1"/>
        <d v="2025-06-06T10:03:38" u="1"/>
        <d v="2025-06-10T09:01:48" u="1"/>
        <d v="2025-06-17T14:01:27" u="1"/>
        <d v="2025-06-17T14:02:32" u="1"/>
        <d v="2025-06-17T17:01:47" u="1"/>
        <d v="2025-06-17T15:01:49" u="1"/>
        <d v="2025-06-17T15:04:02" u="1"/>
        <d v="2025-06-17T15:04:13" u="1"/>
        <d v="2025-06-17T15:04:39" u="1"/>
        <d v="2025-06-18T16:02:44" u="1"/>
        <d v="2025-06-18T10:01:39" u="1"/>
        <d v="2025-06-18T14:01:04" u="1"/>
        <d v="2025-06-18T14:01:16" u="1"/>
        <d v="2025-06-20T11:02:49" u="1"/>
        <d v="2025-06-20T11:04:35" u="1"/>
        <d v="2025-06-20T11:01:27" u="1"/>
        <d v="2025-06-20T09:01:31" u="1"/>
        <d v="2025-06-20T14:01:58" u="1"/>
        <d v="2025-06-18T08:01:51" u="1"/>
        <d v="2025-06-20T16:01:52" u="1"/>
        <d v="2025-06-09T09:00:18" u="1"/>
        <d v="2025-06-03T16:01:40" u="1"/>
        <d v="2025-06-20T14:01:31" u="1"/>
        <d v="2025-06-20T16:01:26" u="1"/>
        <d v="2025-06-20T11:00:37" u="1"/>
        <d v="2025-06-20T11:01:18" u="1"/>
        <d v="2025-06-20T17:00:43" u="1"/>
        <d v="2025-06-18T18:02:05" u="1"/>
        <d v="2025-06-18T18:02:06" u="1"/>
        <d v="2025-06-17T10:20:45" u="1"/>
        <d v="2025-06-21T09:12:14" u="1"/>
        <d v="2025-06-19T15:26:26" u="1"/>
        <d v="2025-06-22T19:30:03" u="1"/>
        <d v="2025-06-22T19:56:17" u="1"/>
        <d v="2025-06-14T11:15:09" u="1"/>
        <d v="2025-06-18T15:06:24" u="1"/>
        <d v="2025-06-18T01:37:43" u="1"/>
        <d v="2025-06-20T12:24:34" u="1"/>
        <d v="2025-06-14T17:44:33" u="1"/>
        <d v="2025-06-15T21:04:53" u="1"/>
        <d v="2025-06-18T12:44:58" u="1"/>
        <d v="2025-06-22T13:29:54" u="1"/>
        <d v="2025-06-11T08:02:28" u="1"/>
        <d v="2025-06-21T18:26:20" u="1"/>
        <d v="2025-06-21T18:35:01" u="1"/>
        <d v="2025-06-21T19:21:27" u="1"/>
        <d v="2025-06-18T03:32:17" u="1"/>
        <d v="2025-06-18T03:33:06" u="1"/>
        <d v="2025-06-20T07:23:19" u="1"/>
        <d v="2025-06-20T07:40:39" u="1"/>
        <d v="2025-06-20T09:15:59" u="1"/>
        <d v="2025-06-20T10:41:31" u="1"/>
        <d v="2025-06-06T16:38:47" u="1"/>
        <d v="2025-06-06T16:38:48" u="1"/>
        <d v="2025-06-18T16:44:24" u="1"/>
        <d v="2025-06-18T17:03:02" u="1"/>
        <d v="2025-06-18T17:10:24" u="1"/>
        <d v="2025-06-18T17:00:32" u="1"/>
        <d v="2025-06-17T19:35:52" u="1"/>
        <d v="2025-06-15T14:31:22" u="1"/>
        <d v="2025-06-15T14:46:04" u="1"/>
        <d v="2025-06-17T19:51:02" u="1"/>
        <d v="2025-06-20T17:31:35" u="1"/>
        <d v="2025-06-20T17:42:51" u="1"/>
        <d v="2025-06-20T17:55:31" u="1"/>
        <d v="2025-06-20T17:57:06" u="1"/>
        <d v="2025-06-20T17:58:29" u="1"/>
        <d v="2025-06-20T15:59:19" u="1"/>
        <d v="2025-06-20T16:06:14" u="1"/>
        <d v="2025-06-20T15:38:03" u="1"/>
        <d v="2025-06-20T15:45:04" u="1"/>
        <d v="2025-06-20T15:27:16" u="1"/>
        <d v="2025-06-06T21:42:14" u="1"/>
        <d v="2025-06-19T02:17:38" u="1"/>
        <d v="2025-06-21T07:08:08" u="1"/>
        <d v="2025-06-17T07:49:57" u="1"/>
        <d v="2025-06-19T07:28:36" u="1"/>
        <d v="2025-06-06T14:39:14" u="1"/>
        <d v="2025-06-06T14:39:17" u="1"/>
        <d v="2025-06-21T14:11:14" u="1"/>
        <d v="2025-06-21T14:12:42" u="1"/>
        <d v="2025-06-21T14:14:03" u="1"/>
        <d v="2025-06-20T17:47:45" u="1"/>
        <d v="2025-06-20T17:47:49" u="1"/>
        <d v="2025-06-20T17:47:52" u="1"/>
        <d v="2025-06-20T17:47:55" u="1"/>
        <d v="2025-06-18T16:48:33" u="1"/>
        <d v="2025-06-03T15:05:50" u="1"/>
        <d v="2025-06-20T18:35:38" u="1"/>
        <d v="2025-06-20T18:34:41" u="1"/>
        <d v="2025-06-20T18:34:55" u="1"/>
        <d v="2025-06-13T05:30:12" u="1"/>
        <d v="2025-06-20T18:35:16" u="1"/>
        <d v="2025-06-18T19:03:50" u="1"/>
        <d v="2025-06-20T18:32:15" u="1"/>
        <d v="2025-06-20T18:32:59" u="1"/>
        <d v="2025-06-20T18:34:30" u="1"/>
        <d v="2025-06-18T10:32:41" u="1"/>
        <d v="2025-06-18T10:32:54" u="1"/>
        <d v="2025-06-18T10:33:04" u="1"/>
        <d v="2025-06-20T18:33:19" u="1"/>
        <d v="2025-06-20T18:32:43" u="1"/>
        <d v="2025-06-19T15:24:13" u="1"/>
        <d v="2025-06-20T16:55:47" u="1"/>
        <d v="2025-06-20T13:45:51" u="1"/>
        <d v="2025-06-20T16:27:35" u="1"/>
        <d v="2025-06-20T18:49:02" u="1"/>
        <d v="2025-06-20T18:33:33" u="1"/>
        <d v="2025-06-22T23:55:12" u="1"/>
        <d v="2025-06-18T12:49:42" u="1"/>
        <d v="2025-06-20T12:47:55" u="1"/>
        <d v="2025-06-16T09:16:12" u="1"/>
        <d v="2025-06-20T18:49:40" u="1"/>
        <d v="2025-06-18T16:21:34" u="1"/>
        <d v="2025-06-11T16:37:38" u="1"/>
        <d v="2025-06-21T12:34:17" u="1"/>
        <d v="2025-06-18T11:04:20" u="1"/>
        <d v="2025-06-10T14:38:43" u="1"/>
        <d v="2025-06-09T14:02:12" u="1"/>
        <d v="2025-06-09T14:02:15" u="1"/>
        <d v="2025-06-09T18:14:51" u="1"/>
        <d v="2025-06-04T22:02:58" u="1"/>
        <d v="2025-06-05T18:02:36" u="1"/>
        <d v="2025-06-06T22:13:48" u="1"/>
        <d v="2025-06-06T22:13:55" u="1"/>
        <d v="2025-06-05T20:12:17" u="1"/>
        <d v="2025-06-06T15:29:46" u="1"/>
        <d v="2025-06-02T19:55:05" u="1"/>
        <d v="2025-06-02T19:56:00" u="1"/>
        <d v="2025-06-06T16:38:01" u="1"/>
        <d v="2025-06-18T04:42:45" u="1"/>
        <d v="2025-06-18T04:44:23" u="1"/>
        <d v="2025-06-18T04:50:49" u="1"/>
        <d v="2025-06-18T13:01:31" u="1"/>
        <d v="2025-06-12T11:11:39" u="1"/>
        <d v="2025-06-12T11:11:47" u="1"/>
        <d v="2025-06-12T11:11:54" u="1"/>
        <d v="2025-06-12T11:12:09" u="1"/>
        <d v="2025-06-12T11:12:18" u="1"/>
        <d v="2025-06-13T04:57:35" u="1"/>
        <d v="2025-06-17T01:24:56" u="1"/>
        <d v="2025-06-16T10:16:18" u="1"/>
        <d v="2025-06-17T14:46:24" u="1"/>
        <d v="2025-06-17T10:46:03" u="1"/>
        <d v="2025-06-17T10:46:08" u="1"/>
        <d v="2025-06-17T18:16:03" u="1"/>
        <d v="2025-06-17T17:31:52" u="1"/>
        <d v="2025-06-18T09:31:48" u="1"/>
        <d v="2025-06-18T12:01:18" u="1"/>
        <d v="2025-06-18T10:45:51" u="1"/>
        <d v="2025-06-18T10:45:57" u="1"/>
        <d v="2025-06-13T06:18:16" u="1"/>
        <d v="2025-06-13T06:19:02" u="1"/>
        <d v="2025-06-13T06:19:03" u="1"/>
        <d v="2025-06-18T12:03:55" u="1"/>
        <d v="2025-06-18T09:32:49" u="1"/>
        <d v="2025-06-16T17:48:37" u="1"/>
        <d v="2025-06-13T06:01:41" u="1"/>
        <d v="2025-06-11T16:20:38" u="1"/>
        <d v="2025-06-12T16:38:12" u="1"/>
        <d v="2025-06-12T18:12:13" u="1"/>
        <d v="2025-06-15T02:13:05" u="1"/>
        <d v="2025-06-13T15:31:39" u="1"/>
        <d v="2025-06-17T09:44:02" u="1"/>
        <d v="2025-06-17T09:29:47" u="1"/>
        <d v="2025-06-17T09:29:48" u="1"/>
        <d v="2025-06-13T05:28:25" u="1"/>
        <d v="2025-06-16T17:42:53" u="1"/>
        <d v="2025-06-16T18:15:51" u="1"/>
        <d v="2025-06-19T21:23:54" u="1"/>
        <d v="2025-06-17T11:46:22" u="1"/>
        <d v="2025-06-17T21:18:16" u="1"/>
        <d v="2025-06-17T21:19:22" u="1"/>
        <d v="2025-06-17T21:19:57" u="1"/>
        <d v="2025-06-17T21:21:35" u="1"/>
        <d v="2025-06-17T21:25:09" u="1"/>
        <d v="2025-06-13T15:47:00" u="1"/>
        <d v="2025-06-17T14:26:31" u="1"/>
        <d v="2025-06-15T05:48:00" u="1"/>
        <d v="2025-06-14T11:54:31" u="1"/>
        <d v="2025-06-18T19:15:40" u="1"/>
        <d v="2025-06-18T19:34:05" u="1"/>
        <d v="2025-06-18T19:38:20" u="1"/>
        <d v="2025-06-18T17:50:01" u="1"/>
        <d v="2025-06-18T17:50:12" u="1"/>
        <d v="2025-06-18T15:35:54" u="1"/>
        <d v="2025-06-18T14:36:22" u="1"/>
        <d v="2025-06-18T20:13:54" u="1"/>
        <d v="2025-06-18T16:17:03" u="1"/>
        <d v="2025-06-18T17:45:34" u="1"/>
        <d v="2025-06-18T14:15:56" u="1"/>
        <d v="2025-06-18T16:03:25" u="1"/>
        <d v="2025-06-18T16:03:32" u="1"/>
        <d v="2025-06-18T17:04:25" u="1"/>
        <d v="2025-06-18T19:03:44" u="1"/>
        <d v="2025-06-19T08:34:43" u="1"/>
        <d v="2025-06-18T13:02:41" u="1"/>
        <d v="2025-06-18T14:37:32" u="1"/>
        <d v="2025-06-18T15:13:27" u="1"/>
        <d v="2025-06-18T14:33:04" u="1"/>
        <d v="2025-06-19T05:19:20" u="1"/>
        <d v="2025-06-19T05:40:33" u="1"/>
        <d v="2025-06-19T01:37:31" u="1"/>
        <d v="2025-06-19T01:39:06" u="1"/>
        <d v="2025-06-18T16:16:28" u="1"/>
        <d v="2025-06-18T16:16:29" u="1"/>
        <d v="2025-06-18T16:16:30" u="1"/>
        <d v="2025-06-18T16:05:54" u="1"/>
        <d v="2025-06-18T16:05:55" u="1"/>
        <d v="2025-06-18T16:05:56" u="1"/>
        <d v="2025-06-18T17:36:32" u="1"/>
        <d v="2025-06-18T18:06:47" u="1"/>
        <d v="2025-06-18T17:50:26" u="1"/>
        <d v="2025-06-19T06:51:20" u="1"/>
        <d v="2025-06-19T06:28:13" u="1"/>
        <d v="2025-06-19T22:37:10" u="1"/>
        <d v="2025-06-19T22:39:51" u="1"/>
        <d v="2025-06-19T21:26:46" u="1"/>
        <d v="2025-06-18T22:31:15" u="1"/>
        <d v="2025-06-18T16:26:58" u="1"/>
        <d v="2025-06-18T21:20:02" u="1"/>
        <d v="2025-06-18T16:04:52" u="1"/>
        <d v="2025-06-18T16:16:16" u="1"/>
        <d v="2025-06-18T18:03:31" u="1"/>
        <d v="2025-06-18T19:02:36" u="1"/>
        <d v="2025-06-18T19:01:06" u="1"/>
        <d v="2025-06-18T19:01:16" u="1"/>
        <d v="2025-06-18T16:32:00" u="1"/>
        <d v="2025-06-18T13:53:50" u="1"/>
        <d v="2025-06-18T17:14:09" u="1"/>
        <d v="2025-06-18T18:30:00" u="1"/>
        <d v="2025-06-18T18:02:30" u="1"/>
        <d v="2025-06-18T23:42:59" u="1"/>
        <d v="2025-06-18T13:30:54" u="1"/>
        <d v="2025-06-18T19:16:40" u="1"/>
        <d v="2025-06-18T18:32:28" u="1"/>
        <d v="2025-06-18T18:34:07" u="1"/>
        <d v="2025-06-18T16:16:08" u="1"/>
        <d v="2025-06-18T18:03:36" u="1"/>
        <d v="2025-06-18T15:50:01" u="1"/>
        <d v="2025-06-18T18:35:20" u="1"/>
        <d v="2025-06-18T19:02:44" u="1"/>
        <d v="2025-06-18T18:03:22" u="1"/>
        <d v="2025-05-13T20:54:32" u="1"/>
        <d v="2025-05-20T13:24:08" u="1"/>
        <d v="2025-06-06T19:16:47" u="1"/>
        <d v="2025-06-06T19:16:50" u="1"/>
        <d v="2025-06-05T15:53:08" u="1"/>
        <d v="2025-06-04T19:49:47" u="1"/>
        <d v="2025-06-04T19:49:55" u="1"/>
        <d v="2025-06-04T19:51:14" u="1"/>
        <d v="2025-06-04T13:46:12" u="1"/>
        <d v="2025-06-04T13:47:17" u="1"/>
        <d v="2025-06-09T11:51:26" u="1"/>
        <d v="2025-06-06T16:04:35" u="1"/>
        <d v="2025-06-06T17:12:26" u="1"/>
        <d v="2025-06-05T20:59:11" u="1"/>
        <d v="2025-06-02T19:05:49" u="1"/>
        <d v="2025-06-13T04:32:47" u="1"/>
        <d v="2025-06-13T15:32:01" u="1"/>
        <d v="2025-06-13T15:46:23" u="1"/>
        <d v="2025-06-12T15:07:21" u="1"/>
        <d v="2025-06-11T11:16:45" u="1"/>
        <d v="2025-06-11T11:17:09" u="1"/>
        <d v="2025-06-17T06:48:53" u="1"/>
        <d v="2025-06-16T16:46:07" u="1"/>
        <d v="2025-06-13T19:01:47" u="1"/>
        <d v="2025-06-18T00:40:53" u="1"/>
        <d v="2025-06-16T17:00:49" u="1"/>
        <d v="2025-06-16T17:01:22" u="1"/>
        <d v="2025-06-16T17:01:23" u="1"/>
        <d v="2025-06-16T17:01:34" u="1"/>
        <d v="2025-06-16T17:01:36" u="1"/>
        <d v="2025-06-16T13:01:23" u="1"/>
        <d v="2025-06-16T16:01:45" u="1"/>
        <d v="2025-06-16T08:46:39" u="1"/>
        <d v="2025-06-10T17:18:31" u="1"/>
        <d v="2025-06-11T13:33:42" u="1"/>
        <d v="2025-06-16T16:33:06" u="1"/>
        <d v="2025-06-12T16:04:50" u="1"/>
        <d v="2025-06-17T08:01:42" u="1"/>
        <d v="2025-06-16T17:01:40" u="1"/>
        <d v="2025-06-11T16:01:11" u="1"/>
        <d v="2025-06-16T18:24:29" u="1"/>
        <d v="2025-06-16T16:43:08" u="1"/>
        <d v="2025-06-13T09:46:38" u="1"/>
        <d v="2025-06-16T05:03:53" u="1"/>
        <d v="2025-06-16T05:03:54" u="1"/>
        <d v="2025-06-13T18:50:03" u="1"/>
        <d v="2025-06-10T11:43:57" u="1"/>
        <d v="2025-06-10T11:44:02" u="1"/>
        <d v="2025-06-10T11:44:08" u="1"/>
        <d v="2025-06-10T13:06:44" u="1"/>
        <d v="2025-06-10T13:06:51" u="1"/>
        <d v="2025-06-09T18:06:30" u="1"/>
        <d v="2025-06-10T08:50:10" u="1"/>
        <d v="2025-06-10T17:06:54" u="1"/>
        <d v="2025-06-11T08:34:43" u="1"/>
        <d v="2025-06-11T08:50:22" u="1"/>
        <d v="2025-06-11T09:05:14" u="1"/>
        <d v="2025-06-11T16:20:42" u="1"/>
        <d v="2025-06-11T16:20:46" u="1"/>
        <d v="2025-06-11T16:35:41" u="1"/>
        <d v="2025-06-11T15:49:47" u="1"/>
        <d v="2025-06-11T17:07:15" u="1"/>
        <d v="2025-06-11T17:07:23" u="1"/>
        <d v="2025-06-11T17:07:27" u="1"/>
        <d v="2025-06-11T17:20:24" u="1"/>
        <d v="2025-06-11T17:20:28" u="1"/>
        <d v="2025-06-11T17:35:23" u="1"/>
        <d v="2025-06-12T09:05:23" u="1"/>
        <d v="2025-06-12T11:21:32" u="1"/>
        <d v="2025-06-12T11:21:36" u="1"/>
        <d v="2025-06-16T09:06:15" u="1"/>
        <d v="2025-06-13T15:36:17" u="1"/>
        <d v="2025-06-13T15:50:18" u="1"/>
        <d v="2025-06-13T17:36:43" u="1"/>
        <d v="2025-06-16T17:06:43" u="1"/>
        <d v="2025-06-13T19:06:04" u="1"/>
        <d v="2025-06-16T15:20:01" u="1"/>
        <d v="2025-06-13T15:16:07" u="1"/>
        <d v="2025-06-16T19:54:07" u="1"/>
        <d v="2025-06-15T02:14:16" u="1"/>
        <d v="2025-06-14T05:53:04" u="1"/>
        <d v="2025-06-14T05:59:59" u="1"/>
        <d v="2025-06-13T05:30:25" u="1"/>
        <d v="2025-06-13T15:21:07" u="1"/>
        <d v="2025-06-12T12:00:48" u="1"/>
        <d v="2025-06-13T17:50:19" u="1"/>
        <d v="2025-06-16T17:06:31" u="1"/>
        <d v="2025-06-16T17:06:37" u="1"/>
        <d v="2025-06-13T19:06:13" u="1"/>
        <d v="2025-06-17T08:05:08" u="1"/>
        <d v="2025-06-16T08:25:15" u="1"/>
        <d v="2025-06-17T14:06:52" u="1"/>
        <d v="2025-06-17T14:19:57" u="1"/>
        <d v="2025-06-17T17:32:32" u="1"/>
        <d v="2025-06-17T19:26:58" u="1"/>
        <d v="2025-06-18T00:20:13" u="1"/>
        <d v="2025-06-17T17:33:56" u="1"/>
        <d v="2025-06-17T10:17:55" u="1"/>
        <d v="2025-06-17T18:00:59" u="1"/>
        <d v="2025-06-17T18:01:01" u="1"/>
        <d v="2025-06-17T18:01:02" u="1"/>
        <d v="2025-06-17T18:01:04" u="1"/>
        <d v="2025-06-17T16:02:22" u="1"/>
        <d v="2025-06-17T10:02:27" u="1"/>
        <d v="2025-06-17T10:02:31" u="1"/>
        <d v="2025-06-17T11:03:07" u="1"/>
        <d v="2025-06-17T13:02:47" u="1"/>
        <d v="2025-06-17T11:17:59" u="1"/>
        <d v="2025-06-17T11:18:00" u="1"/>
        <d v="2025-06-18T00:58:30" u="1"/>
        <d v="2025-06-17T13:45:44" u="1"/>
        <d v="2025-06-17T13:55:55" u="1"/>
        <d v="2025-06-17T14:46:40" u="1"/>
        <d v="2025-06-17T14:26:29" u="1"/>
        <d v="2025-06-17T16:50:41" u="1"/>
        <d v="2025-06-17T17:37:33" u="1"/>
        <d v="2025-06-18T04:53:30" u="1"/>
        <d v="2025-06-17T17:57:55" u="1"/>
        <d v="2025-06-17T19:22:23" u="1"/>
        <d v="2025-06-17T23:40:27" u="1"/>
        <d v="2025-06-17T18:22:04" u="1"/>
        <d v="2025-06-17T17:37:17" u="1"/>
        <d v="2025-06-17T19:37:09" u="1"/>
        <d v="2025-06-17T12:32:06" u="1"/>
        <d v="2025-06-17T19:21:58" u="1"/>
        <d v="2025-06-17T19:20:46" u="1"/>
        <d v="2025-06-17T18:00:56" u="1"/>
        <d v="2025-06-17T16:32:04" u="1"/>
        <d v="2025-06-17T19:31:24" u="1"/>
        <d v="2025-06-17T20:01:25" u="1"/>
        <d v="2025-06-17T18:31:12" u="1"/>
        <d v="2025-06-17T19:21:02" u="1"/>
        <d v="2025-06-17T19:21:24" u="1"/>
        <d v="2025-06-17T19:22:39" u="1"/>
        <d v="2025-06-17T19:20:56" u="1"/>
        <d v="2025-06-17T19:19:49" u="1"/>
        <d v="2025-06-17T19:20:07" u="1"/>
        <d v="2025-06-17T17:03:21" u="1"/>
        <d v="2025-06-17T17:03:44" u="1"/>
        <d v="2025-06-17T22:56:20" u="1"/>
        <d v="2025-06-17T20:02:04" u="1"/>
        <d v="2025-06-18T00:54:20" u="1"/>
        <d v="2025-06-17T17:03:13" u="1"/>
        <d v="2025-06-17T17:18:43" u="1"/>
        <d v="2025-06-17T17:33:00" u="1"/>
        <d v="2025-06-17T12:10:12" u="1"/>
        <d v="2025-06-17T19:22:31" u="1"/>
        <d v="2025-06-17T19:22:45" u="1"/>
        <d v="2025-06-17T17:09:29" u="1"/>
        <d v="2025-06-17T17:20:58" u="1"/>
        <d v="2025-06-02T13:37:00" u="1"/>
        <d v="2025-06-06T15:55:59" u="1"/>
        <d v="2025-06-05T14:43:52" u="1"/>
        <d v="2025-06-05T20:14:14" u="1"/>
        <d v="2025-06-05T21:40:21" u="1"/>
        <d v="2025-06-09T10:10:06" u="1"/>
        <d v="2025-06-09T10:09:57" u="1"/>
        <d v="2025-06-15T18:45:21" u="1"/>
        <d v="2025-06-15T03:08:04" u="1"/>
        <d v="2025-06-15T03:12:17" u="1"/>
        <d v="2025-06-14T05:32:20" u="1"/>
        <d v="2025-06-14T05:43:44" u="1"/>
        <d v="2025-06-14T06:20:20" u="1"/>
        <d v="2025-06-14T06:48:52" u="1"/>
        <d v="2025-06-14T06:50:56" u="1"/>
        <d v="2025-06-14T06:55:06" u="1"/>
        <d v="2025-06-13T16:02:20" u="1"/>
        <d v="2025-06-14T04:33:49" u="1"/>
        <d v="2025-06-14T04:37:39" u="1"/>
        <d v="2025-06-14T05:38:54" u="1"/>
        <d v="2025-06-12T16:41:00" u="1"/>
        <d v="2025-06-12T16:46:00" u="1"/>
        <d v="2025-06-12T16:46:49" u="1"/>
        <d v="2025-06-15T08:22:07" u="1"/>
        <d v="2025-06-15T09:30:21" u="1"/>
        <d v="2025-06-15T09:58:09" u="1"/>
        <d v="2025-06-13T16:01:08" u="1"/>
        <d v="2025-06-13T18:31:20" u="1"/>
        <d v="2025-06-13T15:01:53" u="1"/>
        <d v="2025-06-15T06:25:23" u="1"/>
        <d v="2025-06-15T06:27:00" u="1"/>
        <d v="2025-06-15T06:33:05" u="1"/>
        <d v="2025-06-12T10:47:42" u="1"/>
        <d v="2025-06-12T10:55:14" u="1"/>
        <d v="2025-06-12T10:55:25" u="1"/>
        <d v="2025-06-13T08:02:40" u="1"/>
        <d v="2025-06-12T11:03:42" u="1"/>
        <d v="2025-06-11T16:03:25" u="1"/>
        <d v="2025-06-11T10:01:46" u="1"/>
        <d v="2025-06-11T10:02:26" u="1"/>
        <d v="2025-06-14T09:33:18" u="1"/>
        <d v="2025-06-14T09:39:30" u="1"/>
        <d v="2025-06-14T11:28:49" u="1"/>
        <d v="2025-06-12T04:19:58" u="1"/>
        <d v="2025-06-13T04:38:04" u="1"/>
        <d v="2025-06-14T00:21:17" u="1"/>
        <d v="2025-06-15T10:39:17" u="1"/>
        <d v="2025-06-15T11:36:44" u="1"/>
        <d v="2025-06-12T04:48:33" u="1"/>
        <d v="2025-06-11T09:16:14" u="1"/>
        <d v="2025-06-14T10:05:17" u="1"/>
        <d v="2025-06-13T19:06:24" u="1"/>
        <d v="2025-06-12T13:23:52" u="1"/>
        <d v="2025-06-12T12:00:37" u="1"/>
        <d v="2025-06-13T18:31:57" u="1"/>
        <d v="2025-06-13T18:49:44" u="1"/>
        <d v="2025-06-13T18:49:48" u="1"/>
        <d v="2025-06-12T09:20:17" u="1"/>
        <d v="2025-06-12T09:20:23" u="1"/>
        <d v="2025-06-13T19:06:34" u="1"/>
        <d v="2025-06-13T17:32:53" u="1"/>
        <d v="2025-06-16T05:13:28" u="1"/>
        <d v="2025-06-16T05:15:23" u="1"/>
        <d v="2025-06-16T05:43:09" u="1"/>
        <d v="2025-06-16T05:46:29" u="1"/>
        <d v="2025-06-16T05:48:11" u="1"/>
        <d v="2025-06-16T05:53:01" u="1"/>
        <d v="2025-06-16T05:56:38" u="1"/>
        <d v="2025-06-16T06:05:51" u="1"/>
        <d v="2025-06-16T06:39:31" u="1"/>
        <d v="2025-06-16T06:48:25" u="1"/>
        <d v="2025-06-16T07:02:11" u="1"/>
        <d v="2025-06-16T10:31:22" u="1"/>
        <d v="2025-06-12T04:49:52" u="1"/>
        <d v="2025-06-15T14:04:57" u="1"/>
        <d v="2025-06-14T06:55:17" u="1"/>
        <d v="2025-06-14T06:31:35" u="1"/>
        <d v="2025-06-17T00:50:53" u="1"/>
        <d v="2025-06-17T01:09:19" u="1"/>
        <d v="2025-06-17T00:42:20" u="1"/>
        <d v="2025-06-16T17:30:46" u="1"/>
        <d v="2025-06-16T17:16:57" u="1"/>
        <d v="2025-06-16T16:45:57" u="1"/>
        <d v="2025-06-16T11:31:13" u="1"/>
        <d v="2025-06-16T14:46:26" u="1"/>
        <d v="2025-06-16T14:46:30" u="1"/>
        <d v="2025-06-16T09:31:01" u="1"/>
        <d v="2025-06-16T10:45:47" u="1"/>
        <d v="2025-06-16T10:45:52" u="1"/>
        <d v="2025-06-17T06:32:08" u="1"/>
        <d v="2025-06-17T06:38:31" u="1"/>
        <d v="2025-06-16T13:01:02" u="1"/>
        <d v="2025-06-16T13:01:04" u="1"/>
        <d v="2025-06-16T10:00:50" u="1"/>
        <d v="2025-06-16T10:00:54" u="1"/>
        <d v="2025-06-16T17:00:47" u="1"/>
        <d v="2025-06-16T02:03:23" u="1"/>
        <d v="2025-06-16T02:33:02" u="1"/>
        <d v="2025-06-16T02:37:12" u="1"/>
        <d v="2025-06-16T02:44:19" u="1"/>
        <d v="2025-06-16T02:50:48" u="1"/>
        <d v="2025-06-16T02:55:32" u="1"/>
        <d v="2025-06-16T03:03:03" u="1"/>
        <d v="2025-06-16T03:22:43" u="1"/>
        <d v="2025-06-16T18:01:45" u="1"/>
        <d v="2025-06-16T18:01:51" u="1"/>
        <d v="2025-06-16T17:01:52" u="1"/>
        <d v="2025-06-16T17:01:26" u="1"/>
        <d v="2025-06-16T23:02:52" u="1"/>
        <d v="2025-06-15T19:01:37" u="1"/>
        <d v="2025-06-16T12:00:43" u="1"/>
        <d v="2025-06-16T12:00:47" u="1"/>
        <d v="2025-06-16T16:33:00" u="1"/>
        <d v="2025-06-16T16:15:03" u="1"/>
        <d v="2025-06-16T08:28:08" u="1"/>
        <d v="2025-06-17T01:07:42" u="1"/>
        <d v="2025-06-17T03:25:50" u="1"/>
        <d v="2025-06-17T03:28:32" u="1"/>
        <d v="2025-06-17T03:37:35" u="1"/>
        <d v="2025-06-17T03:12:56" u="1"/>
        <d v="2025-06-17T03:14:47" u="1"/>
        <d v="2025-06-16T20:06:50" u="1"/>
        <d v="2025-06-16T20:15:22" u="1"/>
        <d v="2025-06-16T20:28:43" u="1"/>
        <d v="2025-06-16T20:29:57" u="1"/>
        <d v="2025-06-16T20:38:29" u="1"/>
        <d v="2025-06-16T20:42:03" u="1"/>
        <d v="2025-06-15T14:06:49" u="1"/>
        <d v="2025-06-15T14:13:53" u="1"/>
        <d v="2025-06-15T14:15:06" u="1"/>
        <d v="2025-06-15T14:27:25" u="1"/>
        <d v="2025-06-15T14:37:55" u="1"/>
        <d v="2025-06-15T14:39:09" u="1"/>
        <d v="2025-06-15T14:57:44" u="1"/>
        <d v="2025-06-15T15:06:53" u="1"/>
        <d v="2025-06-16T18:44:37" u="1"/>
        <d v="2025-06-16T08:31:21" u="1"/>
        <d v="2025-06-16T13:25:53" u="1"/>
        <d v="2025-06-16T11:16:01" u="1"/>
        <d v="2025-06-16T13:20:07" u="1"/>
        <d v="2025-06-16T16:45:17" u="1"/>
        <d v="2025-06-16T16:37:30" u="1"/>
        <d v="2025-06-16T11:53:48" u="1"/>
        <d v="2025-06-16T17:54:51" u="1"/>
        <d v="2025-06-16T19:25:02" u="1"/>
        <d v="2025-06-16T21:13:51" u="1"/>
        <d v="2025-06-16T19:32:59" u="1"/>
        <d v="2025-06-16T19:33:45" u="1"/>
        <d v="2025-06-16T17:31:37" u="1"/>
        <d v="2025-06-16T19:33:28" u="1"/>
        <d v="2025-06-16T18:58:50" u="1"/>
        <d v="2025-06-16T16:31:26" u="1"/>
        <d v="2025-06-15T02:04:12" u="1"/>
        <d v="2025-06-16T15:46:48" u="1"/>
        <d v="2025-06-16T10:39:59" u="1"/>
        <d v="2025-06-16T15:58:02" u="1"/>
        <d v="2025-06-16T14:01:56" u="1"/>
        <d v="2025-05-13T04:58:14" u="1"/>
        <d v="2025-05-20T01:05:17" u="1"/>
        <d v="2025-05-21T19:30:43" u="1"/>
        <d v="2025-05-21T19:30:44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1T01:13:19" u="1"/>
        <d v="2025-05-22T03:39:18" u="1"/>
        <d v="2025-05-21T19:30:32" u="1"/>
        <d v="2025-05-21T19:31:02" u="1"/>
        <d v="2025-05-29T01:06:12" u="1"/>
        <d v="2025-06-03T01:18:12" u="1"/>
        <d v="2025-06-01T04:48:18" u="1"/>
        <d v="2025-05-29T03:47:24" u="1"/>
        <d v="2025-05-31T01:01:23" u="1"/>
        <d v="2025-05-30T04:33:38" u="1"/>
        <d v="2025-05-23T02:21:20" u="1"/>
        <d v="2025-06-02T03:01:20" u="1"/>
        <d v="2025-05-30T01:03:33" u="1"/>
        <d v="2025-06-03T05:38:17" u="1"/>
        <d v="2025-05-30T04:59:25" u="1"/>
        <d v="2025-05-27T10:23:10" u="1"/>
        <d v="2025-06-01T07:30:15" u="1"/>
        <d v="2025-05-30T05:44:19" u="1"/>
        <d v="2025-05-31T02:51:22" u="1"/>
        <d v="2025-06-02T07:26:12" u="1"/>
        <d v="2025-05-24T03:17:24" u="1"/>
        <d v="2025-05-24T04:03:26" u="1"/>
        <d v="2025-05-27T04:04:38" u="1"/>
        <d v="2025-05-28T04:11:18" u="1"/>
        <d v="2025-06-02T05:01:20" u="1"/>
        <d v="2025-06-01T01:01:15" u="1"/>
        <d v="2025-06-03T02:23:24" u="1"/>
        <d v="2025-06-12T13:35:20" u="1"/>
        <d v="2025-06-12T11:16:31" u="1"/>
        <d v="2025-06-13T06:43:48" u="1"/>
        <d v="2025-06-12T10:40:05" u="1"/>
        <d v="2025-06-12T15:01:53" u="1"/>
        <d v="2025-06-12T16:04:30" u="1"/>
        <d v="2025-06-12T12:19:41" u="1"/>
        <d v="2025-06-11T09:27:17" u="1"/>
        <d v="2025-06-06T21:41:30" u="1"/>
        <d v="2025-06-12T04:14:34" u="1"/>
        <d v="2025-06-09T20:32:23" u="1"/>
        <d v="2025-06-11T01:01:21" u="1"/>
        <d v="2025-06-05T14:15:59" u="1"/>
        <d v="2025-06-11T04:08:11" u="1"/>
        <d v="2025-06-12T15:06:07" u="1"/>
        <d v="2025-06-12T12:04:08" u="1"/>
        <d v="2025-06-06T14:24:21" u="1"/>
        <d v="2025-06-08T07:06:16" u="1"/>
        <d v="2025-06-09T05:01:44" u="1"/>
        <d v="2025-06-10T10:22:24" u="1"/>
        <d v="2025-06-05T14:15:58" u="1"/>
        <d v="2025-06-11T05:16:20" u="1"/>
        <d v="2025-06-10T10:47:49" u="1"/>
        <d v="2025-06-10T10:47:53" u="1"/>
        <d v="2025-06-14T03:44:41" u="1"/>
        <d v="2025-06-15T19:02:24" u="1"/>
        <d v="2025-06-14T05:48:18" u="1"/>
        <d v="2025-06-14T06:59:15" u="1"/>
        <d v="2025-06-14T07:03:42" u="1"/>
        <d v="2025-06-13T15:35:43" u="1"/>
        <d v="2025-06-13T15:20:20" u="1"/>
        <d v="2025-06-13T15:20:25" u="1"/>
        <d v="2025-06-13T14:19:42" u="1"/>
        <d v="2025-06-13T08:57:04" u="1"/>
        <d v="2025-06-13T09:31:37" u="1"/>
        <d v="2025-06-13T10:31:34" u="1"/>
        <d v="2025-06-13T17:01:05" u="1"/>
        <d v="2025-06-13T16:01:40" u="1"/>
        <d v="2025-06-13T17:46:05" u="1"/>
        <d v="2025-06-13T16:17:25" u="1"/>
        <d v="2025-06-15T06:42:40" u="1"/>
        <d v="2025-06-15T06:45:04" u="1"/>
        <d v="2025-06-16T02:12:22" u="1"/>
        <d v="2025-06-16T02:14:35" u="1"/>
        <d v="2025-06-16T02:34:58" u="1"/>
        <d v="2025-06-16T03:00:22" u="1"/>
        <d v="2025-06-16T03:14:33" u="1"/>
        <d v="2025-06-16T04:33:25" u="1"/>
        <d v="2025-06-13T10:01:57" u="1"/>
        <d v="2025-06-13T14:01:14" u="1"/>
        <d v="2025-06-13T14:01:21" u="1"/>
        <d v="2025-06-12T17:05:35" u="1"/>
        <d v="2025-06-14T14:02:44" u="1"/>
        <d v="2025-06-14T19:14:32" u="1"/>
        <d v="2025-06-13T13:27:44" u="1"/>
        <d v="2025-06-13T16:47:12" u="1"/>
        <d v="2025-06-15T01:47:36" u="1"/>
        <d v="2025-06-14T08:56:00" u="1"/>
        <d v="2025-06-13T15:01:44" u="1"/>
        <d v="2025-06-13T16:02:31" u="1"/>
        <d v="2025-06-12T17:16:17" u="1"/>
        <d v="2025-06-13T20:32:34" u="1"/>
        <d v="2025-06-13T18:31:07" u="1"/>
        <d v="2025-06-13T05:37:16" u="1"/>
        <d v="2025-06-15T13:46:43" u="1"/>
        <d v="2025-06-13T17:32:09" u="1"/>
        <d v="2025-06-13T17:36:09" u="1"/>
        <d v="2025-06-13T10:39:50" u="1"/>
        <d v="2025-06-13T11:47:31" u="1"/>
        <d v="2025-06-12T20:43:04" u="1"/>
        <d v="2025-06-13T18:32:43" u="1"/>
        <d v="2025-06-13T10:57:55" u="1"/>
        <d v="2025-06-13T18:32:48" u="1"/>
        <d v="2025-06-13T18:35:45" u="1"/>
        <d v="2025-06-13T20:31:48" u="1"/>
        <d v="2025-06-13T14:38:00" u="1"/>
        <d v="2025-06-13T14:38:02" u="1"/>
        <d v="2025-06-16T03:48:15" u="1"/>
        <d v="2025-06-13T01:01:22" u="1"/>
        <d v="2025-06-13T04:48:30" u="1"/>
        <d v="2025-06-13T11:12:07" u="1"/>
        <d v="2025-06-14T03:01:20" u="1"/>
        <d v="2025-06-14T22:24:25" u="1"/>
        <d v="2025-06-13T08:27:05" u="1"/>
        <d v="2025-06-13T20:32:06" u="1"/>
        <d v="2025-06-14T12:21:16" u="1"/>
        <d v="2024-12-19T09:58:36" u="1"/>
        <d v="2025-03-12T17:05:21" u="1"/>
        <d v="2025-05-20T19:55:42" u="1"/>
        <d v="2025-05-21T18:05:05" u="1"/>
        <d v="2025-05-30T16:25:59" u="1"/>
        <d v="2025-05-25T10:22:35" u="1"/>
        <d v="2025-05-22T16:39:43" u="1"/>
        <d v="2025-05-30T20:23:33" u="1"/>
        <d v="2025-05-27T10:03:13" u="1"/>
        <d v="2025-05-22T18:14:46" u="1"/>
        <d v="2025-05-22T18:24:45" u="1"/>
        <d v="2025-05-30T15:49:04" u="1"/>
        <d v="2025-05-26T10:59:57" u="1"/>
        <d v="2025-06-02T13:23:27" u="1"/>
        <d v="2025-06-11T15:55:12" u="1"/>
        <d v="2025-06-11T08:15:32" u="1"/>
        <d v="2025-06-11T07:06:30" u="1"/>
        <d v="2025-06-03T17:25:17" u="1"/>
        <d v="2025-06-12T16:35:14" u="1"/>
        <d v="2025-06-12T16:37:23" u="1"/>
        <d v="2025-06-11T10:03:10" u="1"/>
        <d v="2025-06-11T06:28:34" u="1"/>
        <d v="2025-06-11T06:53:08" u="1"/>
        <d v="2025-06-11T07:13:35" u="1"/>
        <d v="2025-06-11T07:13:41" u="1"/>
        <d v="2025-06-11T07:13:48" u="1"/>
        <d v="2025-06-11T07:13:54" u="1"/>
        <d v="2025-06-11T08:04:39" u="1"/>
        <d v="2025-06-11T08:05:20" u="1"/>
        <d v="2025-06-11T07:55:36" u="1"/>
        <d v="2025-06-11T07:55:42" u="1"/>
        <d v="2025-06-11T07:59:13" u="1"/>
        <d v="2025-06-11T08:01:26" u="1"/>
        <d v="2025-06-11T08:01:41" u="1"/>
        <d v="2025-06-11T08:01:49" u="1"/>
        <d v="2025-06-04T12:46:33" u="1"/>
        <d v="2025-06-11T04:36:48" u="1"/>
        <d v="2025-06-11T04:37:14" u="1"/>
        <d v="2025-06-11T04:37:26" u="1"/>
        <d v="2025-06-11T06:17:25" u="1"/>
        <d v="2025-06-11T06:15:38" u="1"/>
        <d v="2025-06-11T06:16:24" u="1"/>
        <d v="2025-06-11T06:20:11" u="1"/>
        <d v="2025-06-11T09:21:29" u="1"/>
        <d v="2025-06-09T11:31:59" u="1"/>
        <d v="2025-06-04T20:07:19" u="1"/>
        <d v="2025-06-09T11:47:40" u="1"/>
        <d v="2025-06-11T09:26:34" u="1"/>
        <d v="2025-06-04T10:06:42" u="1"/>
        <d v="2025-06-04T10:17:13" u="1"/>
        <d v="2025-06-04T12:11:12" u="1"/>
        <d v="2025-06-11T11:18:17" u="1"/>
        <d v="2025-06-03T10:18:35" u="1"/>
        <d v="2025-06-11T14:39:13" u="1"/>
        <d v="2025-06-10T17:14:12" u="1"/>
        <d v="2025-06-10T15:31:28" u="1"/>
        <d v="2025-06-06T12:45:10" u="1"/>
        <d v="2025-06-09T16:25:29" u="1"/>
        <d v="2025-06-09T15:21:00" u="1"/>
        <d v="2025-06-12T16:05:13" u="1"/>
        <d v="2025-06-12T11:13:52" u="1"/>
        <d v="2025-06-12T11:14:03" u="1"/>
        <d v="2025-06-12T11:14:16" u="1"/>
        <d v="2025-06-12T11:14:47" u="1"/>
        <d v="2025-06-11T16:05:21" u="1"/>
        <d v="2025-06-11T16:05:35" u="1"/>
        <d v="2025-06-11T16:05:53" u="1"/>
        <d v="2025-06-13T05:41:04" u="1"/>
        <d v="2025-06-12T11:22:17" u="1"/>
        <d v="2025-06-12T11:21:17" u="1"/>
        <d v="2025-06-12T14:24:32" u="1"/>
        <d v="2025-06-12T14:46:14" u="1"/>
        <d v="2025-06-12T16:54:18" u="1"/>
        <d v="2025-06-12T16:54:29" u="1"/>
        <d v="2025-06-12T16:49:23" u="1"/>
        <d v="2025-06-12T16:49:28" u="1"/>
        <d v="2025-06-12T15:31:40" u="1"/>
        <d v="2025-06-12T17:30:50" u="1"/>
        <d v="2025-06-12T17:01:03" u="1"/>
        <d v="2025-06-12T15:14:34" u="1"/>
        <d v="2025-06-12T15:14:49" u="1"/>
        <d v="2025-06-12T10:40:30" u="1"/>
        <d v="2025-06-12T10:43:49" u="1"/>
        <d v="2025-06-12T18:02:08" u="1"/>
        <d v="2025-06-12T18:02:10" u="1"/>
        <d v="2025-06-12T17:02:00" u="1"/>
        <d v="2025-06-12T17:02:01" u="1"/>
        <d v="2025-06-12T17:02:53" u="1"/>
        <d v="2025-06-12T17:02:56" u="1"/>
        <d v="2025-06-12T14:05:25" u="1"/>
        <d v="2025-06-12T23:02:53" u="1"/>
        <d v="2025-06-12T18:03:07" u="1"/>
        <d v="2025-06-13T05:24:58" u="1"/>
        <d v="2025-06-13T05:25:54" u="1"/>
        <d v="2025-06-13T05:26:09" u="1"/>
        <d v="2025-06-12T18:16:20" u="1"/>
        <d v="2025-06-12T16:29:24" u="1"/>
        <d v="2025-06-12T16:29:25" u="1"/>
        <d v="2025-06-12T15:17:59" u="1"/>
        <d v="2025-06-12T10:53:11" u="1"/>
        <d v="2025-06-11T17:02:44" u="1"/>
        <d v="2025-06-12T17:09:34" u="1"/>
        <d v="2025-06-12T17:10:43" u="1"/>
        <d v="2025-06-12T17:11:30" u="1"/>
        <d v="2025-06-12T17:12:01" u="1"/>
        <d v="2025-06-12T17:12:15" u="1"/>
        <d v="2025-06-12T17:14:46" u="1"/>
        <d v="2025-06-12T19:14:49" u="1"/>
        <d v="2025-06-12T14:36:43" u="1"/>
        <d v="2025-06-12T14:37:28" u="1"/>
        <d v="2025-06-12T14:39:08" u="1"/>
        <d v="2025-06-12T14:39:52" u="1"/>
        <d v="2025-06-12T14:39:57" u="1"/>
        <d v="2025-06-12T04:47:47" u="1"/>
        <d v="2025-06-13T05:33:13" u="1"/>
        <d v="2025-06-12T15:05:25" u="1"/>
        <d v="2025-06-12T18:15:13" u="1"/>
        <d v="2025-06-12T18:15:35" u="1"/>
        <d v="2025-06-12T16:55:46" u="1"/>
        <d v="2025-06-12T17:52:05" u="1"/>
        <d v="2025-06-12T18:13:53" u="1"/>
        <d v="2025-06-12T09:43:50" u="1"/>
        <d v="2025-06-12T20:16:59" u="1"/>
        <d v="2025-06-12T20:00:49" u="1"/>
        <d v="2025-06-12T19:35:49" u="1"/>
        <d v="2025-06-12T19:32:17" u="1"/>
        <d v="2025-06-12T19:05:27" u="1"/>
        <d v="2025-06-12T18:03:53" u="1"/>
        <d v="2025-06-12T19:31:52" u="1"/>
        <d v="2025-06-12T19:42:17" u="1"/>
        <d v="2025-06-12T20:15:59" u="1"/>
        <d v="2025-06-12T19:32:02" u="1"/>
        <d v="2025-06-12T11:47:19" u="1"/>
        <d v="2025-06-12T20:16:17" u="1"/>
        <d v="2025-06-12T15:01:48" u="1"/>
        <d v="2025-06-12T18:33:59" u="1"/>
        <d v="2025-06-12T15:21:08" u="1"/>
        <d v="2025-06-12T15:20:25" u="1"/>
        <d v="2025-06-12T15:20:56" u="1"/>
        <d v="2025-06-12T10:07:49" u="1"/>
        <d v="2025-06-12T15:20:20" u="1"/>
        <d v="2025-06-12T15:20:30" u="1"/>
        <d v="2025-06-12T15:20:36" u="1"/>
        <d v="2025-06-12T15:51:39" u="1"/>
        <d v="2025-06-12T15:20:42" u="1"/>
        <d v="2025-06-12T15:20:49" u="1"/>
        <d v="2025-06-12T13:15:54" u="1"/>
        <d v="2025-06-12T14:48:23" u="1"/>
        <d v="2025-06-12T14:52:06" u="1"/>
        <d v="2025-06-12T18:46:32" u="1"/>
        <d v="2025-06-12T15:05:28" u="1"/>
        <d v="2025-06-12T19:31:38" u="1"/>
        <d v="2025-06-12T04:54:24" u="1"/>
        <d v="2025-06-12T04:58:27" u="1"/>
        <d v="2025-06-12T04:59:11" u="1"/>
        <d v="2025-06-12T11:29:20" u="1"/>
        <d v="2025-06-13T06:19:54" u="1"/>
        <d v="2025-06-13T05:41:11" u="1"/>
        <d v="2025-06-13T06:28:34" u="1"/>
        <d v="2025-06-13T06:19:17" u="1"/>
        <d v="2025-06-13T06:02:18" u="1"/>
        <d v="2025-06-13T06:11:18" u="1"/>
        <d v="2025-06-13T06:23:51" u="1"/>
        <d v="2025-06-13T05:45:48" u="1"/>
        <d v="2025-02-13T12:13:26" u="1"/>
        <d v="2025-06-06T16:21:32" u="1"/>
        <d v="2025-06-11T08:16:34" u="1"/>
        <d v="2025-06-09T12:31:48" u="1"/>
        <d v="2025-06-10T16:02:33" u="1"/>
        <d v="2025-06-10T16:02:44" u="1"/>
        <d v="2025-06-10T16:02:46" u="1"/>
        <d v="2025-06-10T16:02:48" u="1"/>
        <d v="2025-06-10T16:02:58" u="1"/>
        <d v="2025-06-10T12:04:57" u="1"/>
        <d v="2025-06-10T12:05:03" u="1"/>
        <d v="2025-06-06T17:04:35" u="1"/>
        <d v="2025-06-06T17:04:39" u="1"/>
        <d v="2025-06-06T17:04:40" u="1"/>
        <d v="2025-06-06T11:03:33" u="1"/>
        <d v="2025-06-06T11:03:34" u="1"/>
        <d v="2025-06-10T17:45:29" u="1"/>
        <d v="2025-06-09T18:20:07" u="1"/>
        <d v="2025-06-10T17:21:28" u="1"/>
        <d v="2025-06-10T10:13:02" u="1"/>
        <d v="2025-06-09T10:31:59" u="1"/>
        <d v="2025-06-09T10:10:44" u="1"/>
        <d v="2025-06-10T12:22:47" u="1"/>
        <d v="2025-06-09T18:20:01" u="1"/>
        <d v="2025-06-10T17:06:48" u="1"/>
        <d v="2025-06-10T11:44:16" u="1"/>
        <d v="2025-06-06T10:16:46" u="1"/>
        <d v="2025-06-06T13:46:26" u="1"/>
        <d v="2025-06-06T15:29:13" u="1"/>
        <d v="2025-06-09T10:10:29" u="1"/>
        <d v="2025-06-09T10:10:36" u="1"/>
        <d v="2025-06-10T10:12:51" u="1"/>
        <d v="2025-06-10T10:13:12" u="1"/>
        <d v="2025-06-10T12:22:55" u="1"/>
        <d v="2025-06-10T12:37:26" u="1"/>
        <d v="2025-06-10T12:37:33" u="1"/>
        <d v="2025-06-04T20:29:32" u="1"/>
        <d v="2025-06-10T11:51:35" u="1"/>
        <d v="2025-06-10T12:08:01" u="1"/>
        <d v="2025-06-10T12:08:12" u="1"/>
        <d v="2025-06-10T17:35:14" u="1"/>
        <d v="2025-06-10T08:50:03" u="1"/>
        <d v="2025-06-06T16:37:56" u="1"/>
        <d v="2025-06-09T15:17:05" u="1"/>
        <d v="2025-06-10T10:32:54" u="1"/>
        <d v="2025-06-09T18:19:54" u="1"/>
        <d v="2025-06-10T18:16:40" u="1"/>
        <d v="2025-06-09T15:16:56" u="1"/>
        <d v="2025-06-10T12:37:40" u="1"/>
        <d v="2025-06-10T10:51:45" u="1"/>
        <d v="2025-06-06T15:51:51" u="1"/>
        <d v="2025-06-10T18:34:57" u="1"/>
        <d v="2025-06-10T18:49:35" u="1"/>
        <d v="2025-06-10T16:50:00" u="1"/>
        <d v="2025-06-09T17:50:32" u="1"/>
        <d v="2025-06-09T18:34:56" u="1"/>
        <d v="2025-06-09T17:50:38" u="1"/>
        <d v="2025-06-10T09:06:28" u="1"/>
        <d v="2025-06-10T12:39:08" u="1"/>
        <d v="2025-06-11T08:19:07" u="1"/>
        <d v="2025-06-11T08:22:03" u="1"/>
        <d v="2025-06-11T08:12:03" u="1"/>
        <d v="2025-06-11T08:13:09" u="1"/>
        <d v="2025-06-11T18:14:50" u="1"/>
        <d v="2025-06-11T17:34:35" u="1"/>
        <d v="2025-06-11T17:20:06" u="1"/>
        <d v="2025-06-11T16:06:02" u="1"/>
        <d v="2025-06-11T06:10:14" u="1"/>
        <d v="2025-06-11T18:46:24" u="1"/>
        <d v="2025-06-11T16:31:18" u="1"/>
        <d v="2025-06-11T18:32:05" u="1"/>
        <d v="2025-06-11T17:02:01" u="1"/>
        <d v="2025-06-11T23:24:25" u="1"/>
        <d v="2025-06-12T04:33:38" u="1"/>
        <d v="2025-06-11T08:11:41" u="1"/>
        <d v="2025-06-11T14:02:49" u="1"/>
        <d v="2025-06-11T14:32:14" u="1"/>
        <d v="2025-06-11T11:22:12" u="1"/>
        <d v="2025-06-11T06:20:26" u="1"/>
        <d v="2025-06-11T17:03:47" u="1"/>
        <d v="2025-06-11T18:15:50" u="1"/>
        <d v="2025-06-11T16:20:08" u="1"/>
        <d v="2025-06-11T16:15:57" u="1"/>
        <d v="2025-06-11T17:24:59" u="1"/>
        <d v="2025-06-11T12:50:13" u="1"/>
        <d v="2025-06-11T10:26:04" u="1"/>
        <d v="2025-06-04T14:35:51" u="1"/>
        <d v="2025-06-04T14:35:52" u="1"/>
        <d v="2025-06-11T18:22:29" u="1"/>
        <d v="2025-06-11T20:49:49" u="1"/>
        <d v="2025-06-11T10:20:03" u="1"/>
        <d v="2025-06-11T18:14:56" u="1"/>
        <d v="2025-06-11T18:35:31" u="1"/>
        <d v="2025-06-11T09:05:08" u="1"/>
        <d v="2025-06-11T11:17:55" u="1"/>
        <d v="2025-06-12T05:00:16" u="1"/>
        <d v="2025-06-11T17:57:09" u="1"/>
        <d v="2025-06-11T17:46:24" u="1"/>
        <d v="2025-06-11T17:52:24" u="1"/>
        <d v="2025-06-11T11:17:49" u="1"/>
        <d v="2025-06-11T17:54:49" u="1"/>
        <d v="2025-06-11T16:15:59" u="1"/>
        <d v="2025-06-11T16:20:09" u="1"/>
        <d v="2025-06-11T16:49:14" u="1"/>
        <d v="2025-06-11T07:38:27" u="1"/>
        <d v="2025-06-11T08:34:38" u="1"/>
        <d v="2025-06-11T09:05:20" u="1"/>
        <d v="2025-06-11T08:50:27" u="1"/>
        <d v="2025-03-31T12:05:45" u="1"/>
        <d v="2025-03-31T17:04:48" u="1"/>
        <d v="2025-05-30T18:09:49" u="1"/>
        <d v="2025-05-30T18:09:50" u="1"/>
        <d v="2025-05-22T17:44:38" u="1"/>
        <d v="2025-05-22T10:14:48" u="1"/>
        <d v="2025-05-22T16:07:51" u="1"/>
        <d v="2025-05-23T18:35:16" u="1"/>
        <d v="2025-05-30T09:31:41" u="1"/>
        <d v="2025-06-06T17:16:16" u="1"/>
        <d v="2025-06-06T17:16:17" u="1"/>
        <d v="2025-06-06T20:29:16" u="1"/>
        <d v="2025-06-06T22:22:56" u="1"/>
        <d v="2025-06-06T12:04:10" u="1"/>
        <d v="2025-06-06T12:04:13" u="1"/>
        <d v="2025-06-06T12:04:22" u="1"/>
        <d v="2025-06-06T15:07:35" u="1"/>
        <d v="2025-06-06T15:07:42" u="1"/>
        <d v="2025-06-09T18:15:11" u="1"/>
        <d v="2025-06-09T15:02:52" u="1"/>
        <d v="2025-06-05T10:05:43" u="1"/>
        <d v="2025-06-06T14:00:47" u="1"/>
        <d v="2025-06-06T16:00:55" u="1"/>
        <d v="2025-06-09T15:55:14" u="1"/>
        <d v="2025-06-09T03:11:26" u="1"/>
        <d v="2025-06-06T22:13:21" u="1"/>
        <d v="2025-06-06T22:13:28" u="1"/>
        <d v="2025-06-06T22:15:06" u="1"/>
        <d v="2025-06-09T14:59:19" u="1"/>
        <d v="2025-06-09T13:56:27" u="1"/>
        <d v="2025-06-07T16:24:42" u="1"/>
        <d v="2025-06-08T08:29:41" u="1"/>
        <d v="2025-06-08T08:29:48" u="1"/>
        <d v="2025-06-08T09:07:40" u="1"/>
        <d v="2025-06-06T17:35:55" u="1"/>
        <d v="2025-06-09T17:44:47" u="1"/>
        <d v="2025-06-08T15:03:08" u="1"/>
        <d v="2025-06-04T20:42:32" u="1"/>
        <d v="2025-06-05T20:47:27" u="1"/>
        <d v="2025-06-05T20:47:28" u="1"/>
        <d v="2025-06-09T15:52:20" u="1"/>
        <d v="2025-06-06T14:27:26" u="1"/>
        <d v="2025-06-04T15:48:02" u="1"/>
        <d v="2025-06-06T15:48:08" u="1"/>
        <d v="2025-06-09T14:07:53" u="1"/>
        <d v="2025-06-09T16:52:30" u="1"/>
        <d v="2025-06-05T17:02:51" u="1"/>
        <d v="2025-06-05T11:32:39" u="1"/>
        <d v="2025-06-05T16:53:48" u="1"/>
        <d v="2025-06-09T09:50:44" u="1"/>
        <d v="2025-06-03T12:50:50" u="1"/>
        <d v="2025-06-09T15:34:14" u="1"/>
        <d v="2025-06-09T17:04:40" u="1"/>
        <d v="2025-06-09T16:44:19" u="1"/>
        <d v="2025-06-10T17:47:26" u="1"/>
        <d v="2025-06-10T17:47:28" u="1"/>
        <d v="2025-06-10T17:37:42" u="1"/>
        <d v="2025-06-10T17:37:43" u="1"/>
        <d v="2025-06-10T17:37:45" u="1"/>
        <d v="2025-06-10T17:37:47" u="1"/>
        <d v="2025-06-10T16:25:29" u="1"/>
        <d v="2025-06-11T04:05:55" u="1"/>
        <d v="2025-06-11T03:52:24" u="1"/>
        <d v="2025-06-10T17:46:34" u="1"/>
        <d v="2025-06-09T23:09:20" u="1"/>
        <d v="2025-06-10T18:30:49" u="1"/>
        <d v="2025-06-10T10:07:10" u="1"/>
        <d v="2025-06-09T20:02:09" u="1"/>
        <d v="2025-06-09T20:02:18" u="1"/>
        <d v="2025-06-10T13:03:27" u="1"/>
        <d v="2025-06-10T17:02:48" u="1"/>
        <d v="2025-06-11T06:29:38" u="1"/>
        <d v="2025-06-11T06:35:18" u="1"/>
        <d v="2025-06-10T03:39:11" u="1"/>
        <d v="2025-06-11T03:58:30" u="1"/>
        <d v="2025-06-10T14:32:46" u="1"/>
        <d v="2025-06-10T18:02:51" u="1"/>
        <d v="2025-06-10T17:11:50" u="1"/>
        <d v="2025-06-10T10:54:01" u="1"/>
        <d v="2025-06-10T10:56:02" u="1"/>
        <d v="2025-06-10T16:28:18" u="1"/>
        <d v="2025-06-10T19:46:32" u="1"/>
        <d v="2025-06-10T20:31:52" u="1"/>
        <d v="2025-06-10T21:34:48" u="1"/>
        <d v="2025-06-11T05:46:21" u="1"/>
        <d v="2025-06-11T05:46:22" u="1"/>
        <d v="2025-06-10T12:17:31" u="1"/>
        <d v="2025-06-10T16:45:19" u="1"/>
        <d v="2025-06-10T17:02:50" u="1"/>
        <d v="2025-06-10T16:32:46" u="1"/>
        <d v="2025-06-10T17:37:54" u="1"/>
        <d v="2025-06-10T18:32:44" u="1"/>
        <d v="2025-06-10T11:04:38" u="1"/>
        <d v="2025-06-10T17:31:17" u="1"/>
        <d v="2025-06-10T16:25:41" u="1"/>
        <d v="2025-06-10T12:26:56" u="1"/>
        <d v="2025-06-10T16:36:17" u="1"/>
        <d v="2025-05-02T17:15:06" u="1"/>
        <d v="2025-05-28T17:44:34" u="1"/>
        <d v="2025-05-30T13:08:53" u="1"/>
        <d v="2025-05-28T15:11:50" u="1"/>
        <d v="2025-06-09T18:41:17" u="1"/>
        <d v="2025-06-02T17:50:09" u="1"/>
        <d v="2025-06-04T16:33:18" u="1"/>
        <d v="2025-06-06T11:36:44" u="1"/>
        <d v="2025-06-06T10:36:13" u="1"/>
        <d v="2025-06-06T22:17:06" u="1"/>
        <d v="2025-06-06T22:19:37" u="1"/>
        <d v="2025-06-06T18:16:32" u="1"/>
        <d v="2025-06-06T19:16:01" u="1"/>
        <d v="2025-06-06T17:16:53" u="1"/>
        <d v="2025-06-06T17:01:46" u="1"/>
        <d v="2025-06-06T17:02:58" u="1"/>
        <d v="2025-06-06T17:46:12" u="1"/>
        <d v="2025-06-06T10:47:30" u="1"/>
        <d v="2025-06-06T14:38:23" u="1"/>
        <d v="2025-06-06T18:16:13" u="1"/>
        <d v="2025-06-06T10:47:26" u="1"/>
        <d v="2025-06-06T11:19:30" u="1"/>
        <d v="2025-06-06T10:08:28" u="1"/>
        <d v="2025-06-06T10:08:34" u="1"/>
        <d v="2025-06-05T14:15:23" u="1"/>
        <d v="2025-06-06T18:14:40" u="1"/>
        <d v="2025-06-05T11:35:27" u="1"/>
        <d v="2025-06-06T16:21:19" u="1"/>
        <d v="2025-06-06T15:21:07" u="1"/>
        <d v="2025-06-06T18:37:03" u="1"/>
        <d v="2025-06-06T18:21:47" u="1"/>
        <d v="2025-06-03T16:20:14" u="1"/>
        <d v="2025-06-06T10:12:07" u="1"/>
        <d v="2025-06-06T10:12:12" u="1"/>
        <d v="2025-06-06T15:53:51" u="1"/>
        <d v="2025-06-05T17:02:14" u="1"/>
        <d v="2025-06-05T17:02:30" u="1"/>
        <d v="2025-06-05T17:16:31" u="1"/>
        <d v="2025-06-03T17:01:18" u="1"/>
        <d v="2025-06-04T17:01:43" u="1"/>
        <d v="2025-06-05T20:52:46" u="1"/>
        <d v="2025-06-06T18:48:28" u="1"/>
        <d v="2025-06-06T18:48:35" u="1"/>
        <d v="2025-06-09T18:26:23" u="1"/>
        <d v="2025-06-06T15:51:47" u="1"/>
        <d v="2025-06-04T17:50:36" u="1"/>
        <d v="2025-06-06T17:23:15" u="1"/>
        <d v="2025-06-06T18:26:11" u="1"/>
        <d v="2025-06-05T20:50:19" u="1"/>
        <d v="2025-06-05T17:50:18" u="1"/>
        <d v="2025-06-05T13:53:56" u="1"/>
        <d v="2025-06-06T10:12:18" u="1"/>
        <d v="2025-06-06T10:12:22" u="1"/>
        <d v="2025-06-05T10:36:38" u="1"/>
        <d v="2025-06-03T08:19:45" u="1"/>
        <d v="2025-06-06T17:12:30" u="1"/>
        <d v="2025-06-06T17:12:34" u="1"/>
        <d v="2025-06-06T17:12:39" u="1"/>
        <d v="2025-06-06T10:12:03" u="1"/>
        <d v="2025-06-06T12:09:02" u="1"/>
        <d v="2025-06-03T16:35:51" u="1"/>
        <d v="2025-06-04T18:06:07" u="1"/>
        <d v="2025-06-04T18:06:11" u="1"/>
        <d v="2025-06-06T21:37:55" u="1"/>
        <d v="2025-06-04T10:21:51" u="1"/>
        <d v="2025-06-04T14:36:14" u="1"/>
        <d v="2025-06-04T14:50:29" u="1"/>
        <d v="2025-06-04T16:19:36" u="1"/>
        <d v="2025-06-06T09:05:30" u="1"/>
        <d v="2025-06-06T17:23:20" u="1"/>
        <d v="2025-06-06T12:21:29" u="1"/>
        <d v="2025-06-09T16:33:55" u="1"/>
        <d v="2025-06-09T18:43:13" u="1"/>
        <d v="2025-06-09T18:45:32" u="1"/>
        <d v="2025-06-09T18:46:48" u="1"/>
        <d v="2025-06-09T18:51:31" u="1"/>
        <d v="2025-06-09T18:52:51" u="1"/>
        <d v="2025-06-10T03:43:39" u="1"/>
        <d v="2025-06-06T22:54:47" u="1"/>
        <d v="2025-06-06T22:55:02" u="1"/>
        <d v="2025-06-09T09:42:03" u="1"/>
        <d v="2025-06-09T18:06:43" u="1"/>
        <d v="2025-06-06T22:04:16" u="1"/>
        <d v="2025-06-09T21:26:27" u="1"/>
        <d v="2025-06-06T20:25:55" u="1"/>
        <d v="2025-06-09T09:01:12" u="1"/>
        <d v="2025-06-09T11:52:23" u="1"/>
        <d v="2025-06-09T09:36:36" u="1"/>
        <d v="2025-06-09T09:36:57" u="1"/>
        <d v="2025-06-09T09:37:38" u="1"/>
        <d v="2025-06-09T22:20:56" u="1"/>
        <d v="2025-06-09T22:20:35" u="1"/>
        <d v="2025-06-09T17:42:16" u="1"/>
        <d v="2025-06-09T17:44:13" u="1"/>
        <d v="2025-06-09T23:01:45" u="1"/>
        <d v="2025-06-09T15:32:54" u="1"/>
        <d v="2025-06-09T12:31:32" u="1"/>
        <d v="2025-06-09T13:32:37" u="1"/>
        <d v="2025-06-09T18:16:14" u="1"/>
        <d v="2025-06-09T14:46:47" u="1"/>
        <d v="2025-06-09T15:02:25" u="1"/>
        <d v="2025-06-09T15:02:37" u="1"/>
        <d v="2025-06-09T16:01:43" u="1"/>
        <d v="2025-06-09T10:01:55" u="1"/>
        <d v="2025-06-09T18:02:13" u="1"/>
        <d v="2025-06-09T18:02:14" u="1"/>
        <d v="2025-06-09T13:02:00" u="1"/>
        <d v="2025-06-09T12:03:12" u="1"/>
        <d v="2025-06-09T12:04:18" u="1"/>
        <d v="2025-06-09T22:09:21" u="1"/>
        <d v="2025-06-09T22:11:32" u="1"/>
        <d v="2025-06-09T09:31:45" u="1"/>
        <d v="2025-06-06T21:29:02" u="1"/>
        <d v="2025-06-09T11:31:08" u="1"/>
        <d v="2025-06-09T11:46:13" u="1"/>
        <d v="2025-06-09T11:46:24" u="1"/>
        <d v="2025-06-09T11:46:29" u="1"/>
        <d v="2025-06-09T11:46:39" u="1"/>
        <d v="2025-06-09T11:46:49" u="1"/>
        <d v="2025-06-09T09:36:02" u="1"/>
        <d v="2025-06-06T21:52:45" u="1"/>
        <d v="2025-06-09T17:37:43" u="1"/>
        <d v="2025-06-09T13:33:25" u="1"/>
        <d v="2025-06-06T20:27:55" u="1"/>
        <d v="2025-06-06T20:28:06" u="1"/>
        <d v="2025-06-06T22:47:45" u="1"/>
        <d v="2025-06-09T18:30:04" u="1"/>
        <d v="2025-06-09T18:31:32" u="1"/>
        <d v="2025-06-09T18:31:57" u="1"/>
        <d v="2025-06-09T18:32:08" u="1"/>
        <d v="2025-06-09T23:20:12" u="1"/>
        <d v="2025-06-09T23:20:19" u="1"/>
        <d v="2025-06-09T23:20:40" u="1"/>
        <d v="2025-06-09T17:46:00" u="1"/>
        <d v="2025-06-09T13:35:09" u="1"/>
        <d v="2025-06-09T17:17:55" u="1"/>
        <d v="2025-06-06T21:46:35" u="1"/>
        <d v="2025-06-08T15:04:18" u="1"/>
        <d v="2025-06-09T09:35:19" u="1"/>
        <d v="2025-06-09T22:23:21" u="1"/>
        <d v="2025-06-09T22:35:08" u="1"/>
        <d v="2025-06-09T18:02:22" u="1"/>
        <d v="2025-06-09T11:28:26" u="1"/>
        <d v="2025-06-09T13:48:07" u="1"/>
        <d v="2025-06-09T15:55:57" u="1"/>
        <d v="2025-06-09T15:49:56" u="1"/>
        <d v="2025-06-09T16:51:58" u="1"/>
        <d v="2025-06-09T18:10:40" u="1"/>
        <d v="2025-06-09T22:05:56" u="1"/>
        <d v="2025-06-09T18:46:54" u="1"/>
        <d v="2025-06-09T16:50:46" u="1"/>
        <d v="2025-06-09T16:34:17" u="1"/>
        <d v="2025-06-06T21:29:50" u="1"/>
        <d v="2025-06-06T21:29:51" u="1"/>
        <d v="2025-06-09T10:26:15" u="1"/>
        <d v="2025-06-06T21:33:49" u="1"/>
        <d v="2025-06-09T17:24:26" u="1"/>
        <d v="2025-06-06T20:26:00" u="1"/>
        <d v="2025-06-09T17:16:41" u="1"/>
        <d v="2025-06-09T09:16:09" u="1"/>
        <d v="2025-06-09T18:46:59" u="1"/>
        <d v="2025-06-09T10:17:22" u="1"/>
        <d v="2025-05-22T17:12:06" u="1"/>
        <d v="2025-05-06T10:35:35" u="1"/>
        <d v="2025-04-01T09:25:36" u="1"/>
        <d v="2025-04-01T09:35:14" u="1"/>
        <d v="2025-05-29T17:03:17" u="1"/>
        <d v="2025-05-27T20:34:42" u="1"/>
        <d v="2025-06-04T18:02:01" u="1"/>
        <d v="2025-06-02T12:46:30" u="1"/>
        <d v="2025-06-05T11:46:35" u="1"/>
        <d v="2025-06-06T15:13:59" u="1"/>
        <d v="2025-06-06T09:46:38" u="1"/>
        <d v="2025-06-04T18:35:15" u="1"/>
        <d v="2025-06-06T10:35:44" u="1"/>
        <d v="2025-06-06T10:35:59" u="1"/>
        <d v="2025-06-05T15:02:51" u="1"/>
        <d v="2025-06-03T17:46:51" u="1"/>
        <d v="2025-06-05T21:27:21" u="1"/>
        <d v="2025-06-06T12:04:24" u="1"/>
        <d v="2025-06-06T12:04:28" u="1"/>
        <d v="2025-06-05T14:03:21" u="1"/>
        <d v="2025-06-06T16:04:09" u="1"/>
        <d v="2025-06-06T10:15:34" u="1"/>
        <d v="2025-06-06T15:37:18" u="1"/>
        <d v="2025-06-04T13:52:39" u="1"/>
        <d v="2025-06-05T20:39:48" u="1"/>
        <d v="2025-06-06T08:42:02" u="1"/>
        <d v="2025-06-05T15:37:50" u="1"/>
        <d v="2025-06-05T15:46:41" u="1"/>
        <d v="2025-06-05T20:44:00" u="1"/>
        <d v="2025-06-06T14:36:58" u="1"/>
        <d v="2025-06-06T14:23:14" u="1"/>
        <d v="2025-06-06T04:18:51" u="1"/>
        <d v="2025-06-05T14:04:18" u="1"/>
        <d v="2025-06-03T17:49:20" u="1"/>
        <d v="2025-06-06T17:04:15" u="1"/>
        <d v="2025-06-04T08:51:05" u="1"/>
        <d v="2025-06-06T14:53:45" u="1"/>
        <d v="2025-06-06T14:54:40" u="1"/>
        <d v="2025-06-06T18:33:24" u="1"/>
        <d v="2025-06-06T21:22:14" u="1"/>
        <d v="2025-06-06T18:02:21" u="1"/>
        <d v="2025-06-06T18:02:23" u="1"/>
        <d v="2025-06-06T21:58:33" u="1"/>
        <d v="2025-06-06T17:06:51" u="1"/>
        <d v="2025-06-06T18:53:57" u="1"/>
        <d v="2025-06-06T18:57:57" u="1"/>
        <d v="2025-06-06T18:41:59" u="1"/>
        <d v="2025-06-06T18:48:05" u="1"/>
        <d v="2025-06-06T20:02:28" u="1"/>
        <d v="2025-06-06T17:17:56" u="1"/>
        <d v="2025-06-06T19:16:09" u="1"/>
        <d v="2025-06-06T18:02:40" u="1"/>
        <d v="2025-06-06T17:22:11" u="1"/>
        <d v="2025-06-06T17:05:01" u="1"/>
        <d v="2025-06-06T20:00:00" u="1"/>
        <d v="2025-06-06T19:32:05" u="1"/>
        <d v="2025-06-06T17:16:56" u="1"/>
        <d v="2025-06-06T18:48:40" u="1"/>
        <d v="2025-06-06T17:51:07" u="1"/>
        <d v="2025-06-06T18:15:37" u="1"/>
        <d v="2025-05-14T17:00:54" u="1"/>
        <d v="2025-05-13T18:04:47" u="1"/>
        <d v="2025-05-08T20:06:16" u="1"/>
        <d v="2025-05-07T15:33:34" u="1"/>
        <d v="2025-05-15T18:28:07" u="1"/>
        <d v="2025-05-12T10:33:37" u="1"/>
        <d v="2025-05-12T09:57:50" u="1"/>
        <d v="2025-05-12T09:54:19" u="1"/>
        <d v="2025-05-14T19:33:51" u="1"/>
        <d v="2025-05-08T20:06:01" u="1"/>
        <d v="2025-04-29T17:23:47" u="1"/>
        <d v="2025-05-12T10:34:07" u="1"/>
        <d v="2025-05-21T17:06:31" u="1"/>
        <d v="2025-05-21T17:49:20" u="1"/>
        <d v="2025-05-20T09:01:57" u="1"/>
        <d v="2025-05-20T17:22:27" u="1"/>
        <d v="2025-05-19T13:33:53" u="1"/>
        <d v="2025-05-21T16:49:37" u="1"/>
        <d v="2025-06-02T15:50:19" u="1"/>
        <d v="2025-06-02T18:07:17" u="1"/>
        <d v="2025-06-02T16:32:37" u="1"/>
        <d v="2025-06-02T18:01:10" u="1"/>
        <d v="2025-05-29T18:06:38" u="1"/>
        <d v="2025-05-26T18:06:14" u="1"/>
        <d v="2025-05-22T21:04:29" u="1"/>
        <d v="2025-05-27T10:23:03" u="1"/>
        <d v="2025-05-28T19:05:02" u="1"/>
        <d v="2025-05-27T20:32:37" u="1"/>
        <d v="2025-05-27T20:34:47" u="1"/>
        <d v="2025-05-27T16:36:39" u="1"/>
        <d v="2025-05-27T16:35:47" u="1"/>
        <d v="2025-05-27T10:21:13" u="1"/>
        <d v="2025-05-28T19:02:56" u="1"/>
        <d v="2025-05-29T14:48:06" u="1"/>
        <d v="2025-05-29T18:47:33" u="1"/>
        <d v="2025-05-27T16:35:37" u="1"/>
        <d v="2025-05-28T11:47:38" u="1"/>
        <d v="2025-05-22T08:37:24" u="1"/>
        <d v="2025-06-02T13:21:21" u="1"/>
        <d v="2025-06-05T15:57:33" u="1"/>
        <d v="2025-06-05T16:03:42" u="1"/>
        <d v="2025-06-05T15:53:19" u="1"/>
        <d v="2025-06-05T15:53:25" u="1"/>
        <d v="2025-06-05T15:53:31" u="1"/>
        <d v="2025-06-04T17:46:47" u="1"/>
        <d v="2025-06-05T10:17:56" u="1"/>
        <d v="2025-06-05T20:06:23" u="1"/>
        <d v="2025-06-05T20:06:40" u="1"/>
        <d v="2025-06-05T20:07:29" u="1"/>
        <d v="2025-06-05T20:07:56" u="1"/>
        <d v="2025-06-05T20:11:17" u="1"/>
        <d v="2025-06-03T19:28:31" u="1"/>
        <d v="2025-06-05T11:06:46" u="1"/>
        <d v="2025-06-05T13:21:19" u="1"/>
        <d v="2025-06-05T10:36:05" u="1"/>
        <d v="2025-06-03T19:06:14" u="1"/>
        <d v="2025-06-04T18:49:16" u="1"/>
        <d v="2025-06-05T21:20:28" u="1"/>
        <d v="2025-06-05T15:42:59" u="1"/>
        <d v="2025-06-05T15:30:31" u="1"/>
        <d v="2025-06-05T17:18:14" u="1"/>
        <d v="2025-06-05T17:33:16" u="1"/>
        <d v="2025-06-05T16:05:44" u="1"/>
        <d v="2025-06-05T16:05:45" u="1"/>
        <d v="2025-06-05T19:03:35" u="1"/>
        <d v="2025-06-05T14:35:03" u="1"/>
        <d v="2025-06-05T14:35:08" u="1"/>
        <d v="2025-06-05T20:47:16" u="1"/>
        <d v="2025-06-04T07:16:39" u="1"/>
        <d v="2025-06-05T14:45:35" u="1"/>
        <d v="2025-06-05T10:05:50" u="1"/>
        <d v="2025-06-05T17:06:02" u="1"/>
        <d v="2025-06-05T20:02:51" u="1"/>
        <d v="2025-06-03T20:19:48" u="1"/>
        <d v="2025-06-05T21:09:55" u="1"/>
        <d v="2025-06-05T11:26:24" u="1"/>
        <d v="2025-06-04T13:58:42" u="1"/>
        <d v="2025-06-05T21:19:32" u="1"/>
        <d v="2025-06-05T14:02:16" u="1"/>
        <d v="2025-06-05T14:54:08" u="1"/>
        <d v="2025-06-05T14:46:26" u="1"/>
        <d v="2025-06-05T21:44:27" u="1"/>
        <d v="2025-06-05T13:17:29" u="1"/>
        <d v="2025-06-05T13:17:30" u="1"/>
        <d v="2025-06-05T13:17:32" u="1"/>
        <d v="2025-06-05T17:45:59" u="1"/>
        <d v="2025-06-05T12:02:29" u="1"/>
        <d v="2025-06-04T19:34:36" u="1"/>
        <d v="2025-06-05T20:56:17" u="1"/>
        <d v="2025-06-05T14:55:09" u="1"/>
        <d v="2025-06-05T20:56:49" u="1"/>
        <d v="2025-06-05T21:00:34" u="1"/>
        <d v="2025-06-05T21:00:54" u="1"/>
        <d v="2025-06-05T20:58:42" u="1"/>
        <d v="2025-06-04T12:51:03" u="1"/>
        <d v="2025-06-05T21:08:06" u="1"/>
        <d v="2025-06-05T18:57:53" u="1"/>
        <d v="2025-06-05T17:07:59" u="1"/>
        <d v="2025-06-05T20:54:17" u="1"/>
        <d v="2025-06-05T20:54:18" u="1"/>
        <d v="2025-06-06T00:06:34" u="1"/>
        <d v="2025-06-06T00:06:35" u="1"/>
        <d v="2025-06-04T15:01:36" u="1"/>
        <d v="2025-06-05T19:35:36" u="1"/>
        <d v="2025-06-04T11:31:59" u="1"/>
        <d v="2025-06-05T16:56:20" u="1"/>
        <d v="2025-06-04T19:34:31" u="1"/>
        <d v="2025-06-05T09:31:31" u="1"/>
        <d v="2025-06-05T09:46:39" u="1"/>
        <d v="2025-06-03T15:21:47" u="1"/>
        <d v="2025-06-05T17:02:00" u="1"/>
        <d v="2025-06-05T17:50:06" u="1"/>
        <d v="2025-06-05T17:45:08" u="1"/>
        <d v="2025-06-05T18:45:53" u="1"/>
        <d v="2025-06-05T15:33:58" u="1"/>
        <d v="2025-06-04T12:19:48" u="1"/>
        <d v="2025-06-05T10:49:11" u="1"/>
        <d v="2025-06-04T09:34:53" u="1"/>
        <d v="2025-06-05T14:55:56" u="1"/>
        <d v="2025-05-21T18:49:55" u="1"/>
        <d v="2025-06-02T13:03:03" u="1"/>
        <d v="2025-06-02T13:04:02" u="1"/>
        <d v="2025-06-02T13:04:14" u="1"/>
        <d v="2025-06-02T13:04:31" u="1"/>
        <d v="2025-05-28T16:36:05" u="1"/>
        <d v="2025-05-30T18:15:44" u="1"/>
        <d v="2025-05-30T15:05:34" u="1"/>
        <d v="2025-05-30T15:16:20" u="1"/>
        <d v="2025-05-30T19:01:10" u="1"/>
        <d v="2025-05-27T10:25:33" u="1"/>
        <d v="2025-06-02T17:32:52" u="1"/>
        <d v="2025-06-02T09:31:05" u="1"/>
        <d v="2025-06-02T13:31:30" u="1"/>
        <d v="2025-06-02T13:31:37" u="1"/>
        <d v="2025-06-02T15:17:32" u="1"/>
        <d v="2025-06-02T15:45:49" u="1"/>
        <d v="2025-06-02T17:35:26" u="1"/>
        <d v="2025-06-02T17:35:32" u="1"/>
        <d v="2025-06-02T12:01:26" u="1"/>
        <d v="2025-05-30T19:10:49" u="1"/>
        <d v="2025-06-02T17:46:58" u="1"/>
        <d v="2025-05-27T11:07:52" u="1"/>
        <d v="2025-05-23T10:23:38" u="1"/>
        <d v="2025-05-23T09:03:17" u="1"/>
        <d v="2025-05-27T19:34:09" u="1"/>
        <d v="2025-06-02T17:07:40" u="1"/>
        <d v="2025-05-28T14:54:05" u="1"/>
        <d v="2025-06-02T10:20:53" u="1"/>
        <d v="2025-05-28T11:55:20" u="1"/>
        <d v="2025-06-03T16:44:46" u="1"/>
        <d v="2025-06-04T09:54:48" u="1"/>
        <d v="2025-06-04T15:07:21" u="1"/>
        <d v="2025-06-04T14:56:39" u="1"/>
        <d v="2025-06-04T17:05:23" u="1"/>
        <d v="2025-06-04T21:08:08" u="1"/>
        <d v="2025-06-04T21:08:55" u="1"/>
        <d v="2025-06-04T21:09:43" u="1"/>
        <d v="2025-06-04T21:09:56" u="1"/>
        <d v="2025-06-02T20:25:04" u="1"/>
        <d v="2025-06-02T20:26:55" u="1"/>
        <d v="2025-06-02T20:27:01" u="1"/>
        <d v="2025-06-02T20:27:17" u="1"/>
        <d v="2025-06-03T20:36:21" u="1"/>
        <d v="2025-06-03T20:36:52" u="1"/>
        <d v="2025-06-04T17:24:14" u="1"/>
        <d v="2025-06-04T17:24:15" u="1"/>
        <d v="2025-06-04T17:14:40" u="1"/>
        <d v="2025-06-04T14:31:00" u="1"/>
        <d v="2025-06-04T14:31:15" u="1"/>
        <d v="2025-06-03T13:27:58" u="1"/>
        <d v="2025-06-03T19:27:44" u="1"/>
        <d v="2025-06-03T19:28:23" u="1"/>
        <d v="2025-06-04T13:44:35" u="1"/>
        <d v="2025-06-04T13:47:42" u="1"/>
        <d v="2025-06-02T19:38:13" u="1"/>
        <d v="2025-06-03T19:52:35" u="1"/>
        <d v="2025-06-03T17:52:51" u="1"/>
        <d v="2025-06-03T20:07:15" u="1"/>
        <d v="2025-06-03T14:07:13" u="1"/>
        <d v="2025-06-03T14:09:09" u="1"/>
        <d v="2025-06-03T20:07:29" u="1"/>
        <d v="2025-06-03T17:45:46" u="1"/>
        <d v="2025-06-04T10:16:22" u="1"/>
        <d v="2025-06-03T16:01:05" u="1"/>
        <d v="2025-06-03T10:45:46" u="1"/>
        <d v="2025-06-03T09:31:31" u="1"/>
        <d v="2025-06-03T09:46:25" u="1"/>
        <d v="2025-06-03T09:46:30" u="1"/>
        <d v="2025-06-03T09:46:35" u="1"/>
        <d v="2025-06-03T09:46:47" u="1"/>
        <d v="2025-06-03T10:16:06" u="1"/>
        <d v="2025-06-02T19:01:12" u="1"/>
        <d v="2025-06-04T17:16:20" u="1"/>
        <d v="2025-06-04T17:17:13" u="1"/>
        <d v="2025-06-04T18:01:15" u="1"/>
        <d v="2025-06-04T18:01:22" u="1"/>
        <d v="2025-06-04T16:31:24" u="1"/>
        <d v="2025-06-04T16:31:49" u="1"/>
        <d v="2025-06-03T09:33:13" u="1"/>
        <d v="2025-06-02T20:48:01" u="1"/>
        <d v="2025-06-03T01:33:01" u="1"/>
        <d v="2025-06-03T14:40:54" u="1"/>
        <d v="2025-06-03T14:41:51" u="1"/>
        <d v="2025-06-03T14:43:42" u="1"/>
        <d v="2025-06-03T14:44:13" u="1"/>
        <d v="2025-06-03T20:42:06" u="1"/>
        <d v="2025-06-03T16:15:42" u="1"/>
        <d v="2025-06-03T12:02:55" u="1"/>
        <d v="2025-06-03T12:02:57" u="1"/>
        <d v="2025-06-04T10:01:47" u="1"/>
        <d v="2025-06-04T10:01:50" u="1"/>
        <d v="2025-06-04T19:03:01" u="1"/>
        <d v="2025-06-04T18:02:56" u="1"/>
        <d v="2025-06-04T18:02:57" u="1"/>
        <d v="2025-06-04T18:02:59" u="1"/>
        <d v="2025-06-04T18:03:00" u="1"/>
        <d v="2025-06-04T18:03:01" u="1"/>
        <d v="2025-06-04T16:05:24" u="1"/>
        <d v="2025-06-04T13:06:15" u="1"/>
        <d v="2025-06-02T18:06:51" u="1"/>
        <d v="2025-06-03T19:56:28" u="1"/>
        <d v="2025-06-02T19:41:02" u="1"/>
        <d v="2025-06-03T13:56:43" u="1"/>
        <d v="2025-06-04T15:05:48" u="1"/>
        <d v="2025-06-04T15:06:08" u="1"/>
        <d v="2025-06-04T16:06:00" u="1"/>
        <d v="2025-06-04T16:06:02" u="1"/>
        <d v="2025-06-04T16:01:40" u="1"/>
        <d v="2025-06-04T16:02:10" u="1"/>
        <d v="2025-06-04T16:04:43" u="1"/>
        <d v="2025-06-03T13:00:57" u="1"/>
        <d v="2025-06-04T12:02:16" u="1"/>
        <d v="2025-06-04T12:03:48" u="1"/>
        <d v="2025-06-04T11:01:17" u="1"/>
        <d v="2025-06-04T11:02:07" u="1"/>
        <d v="2025-06-02T20:20:40" u="1"/>
        <d v="2025-06-03T14:23:55" u="1"/>
        <d v="2025-06-04T20:36:53" u="1"/>
        <d v="2025-06-04T20:38:05" u="1"/>
        <d v="2025-06-04T14:45:28" u="1"/>
        <d v="2025-06-04T01:36:44" u="1"/>
        <d v="2025-06-02T18:36:01" u="1"/>
        <d v="2025-06-03T14:14:46" u="1"/>
        <d v="2025-06-03T13:58:24" u="1"/>
        <d v="2025-06-03T01:23:18" u="1"/>
        <d v="2025-06-03T19:57:40" u="1"/>
        <d v="2025-06-03T19:57:48" u="1"/>
        <d v="2025-06-03T19:58:59" u="1"/>
        <d v="2025-06-04T20:18:45" u="1"/>
        <d v="2025-06-04T20:59:51" u="1"/>
        <d v="2025-06-04T21:00:49" u="1"/>
        <d v="2025-06-04T21:00:55" u="1"/>
        <d v="2025-06-04T21:01:05" u="1"/>
        <d v="2025-06-04T21:04:28" u="1"/>
        <d v="2025-06-04T15:20:57" u="1"/>
        <d v="2025-06-04T15:21:07" u="1"/>
        <d v="2025-06-04T15:21:40" u="1"/>
        <d v="2025-06-04T15:25:55" u="1"/>
        <d v="2025-06-03T20:58:49" u="1"/>
        <d v="2025-06-02T20:55:34" u="1"/>
        <d v="2025-06-02T20:55:48" u="1"/>
        <d v="2025-06-03T14:49:08" u="1"/>
        <d v="2025-06-04T13:47:07" u="1"/>
        <d v="2025-06-04T20:40:08" u="1"/>
        <d v="2025-06-04T10:49:59" u="1"/>
        <d v="2025-06-04T20:24:23" u="1"/>
        <d v="2025-06-04T14:36:39" u="1"/>
        <d v="2025-06-04T01:37:43" u="1"/>
        <d v="2025-06-03T20:10:40" u="1"/>
        <d v="2025-06-03T20:10:46" u="1"/>
        <d v="2025-06-02T19:55:34" u="1"/>
        <d v="2025-06-03T14:12:32" u="1"/>
        <d v="2025-06-03T14:14:10" u="1"/>
        <d v="2025-06-03T20:12:36" u="1"/>
        <d v="2025-06-03T20:11:26" u="1"/>
        <d v="2025-06-03T14:11:47" u="1"/>
        <d v="2025-06-04T20:26:54" u="1"/>
        <d v="2025-06-04T20:27:04" u="1"/>
        <d v="2025-06-05T01:57:47" u="1"/>
        <d v="2025-06-03T17:17:20" u="1"/>
        <d v="2025-06-04T18:54:31" u="1"/>
        <d v="2025-06-04T18:06:09" u="1"/>
        <d v="2025-06-03T18:44:20" u="1"/>
        <d v="2025-06-04T17:03:49" u="1"/>
        <d v="2025-06-04T08:53:51" u="1"/>
        <d v="2025-06-04T16:48:43" u="1"/>
        <d v="2025-06-04T19:41:50" u="1"/>
        <d v="2025-06-04T13:54:22" u="1"/>
        <d v="2025-06-03T18:54:29" u="1"/>
        <d v="2025-06-04T19:16:39" u="1"/>
        <d v="2025-06-03T19:34:52" u="1"/>
        <d v="2025-06-04T20:29:44" u="1"/>
        <d v="2025-06-04T16:22:23" u="1"/>
        <d v="2025-06-04T11:46:00" u="1"/>
        <d v="2025-06-04T19:13:56" u="1"/>
        <d v="2025-06-04T20:02:39" u="1"/>
        <d v="2025-06-04T20:02:43" u="1"/>
        <d v="2025-06-04T20:03:40" u="1"/>
        <d v="2025-06-04T20:02:22" u="1"/>
        <d v="2025-06-04T18:16:35" u="1"/>
        <d v="2025-06-04T20:02:08" u="1"/>
        <d v="2025-06-03T10:29:30" u="1"/>
        <d v="2025-06-04T18:16:55" u="1"/>
        <d v="2025-06-04T20:03:57" u="1"/>
        <d v="2025-06-04T17:47:30" u="1"/>
        <d v="2025-06-04T20:02:31" u="1"/>
        <d v="2025-06-04T08:32:07" u="1"/>
        <d v="2025-06-04T20:20:44" u="1"/>
        <d v="2025-06-04T15:16:02" u="1"/>
        <d v="2025-06-04T17:01:54" u="1"/>
        <d v="2025-06-03T17:02:20" u="1"/>
        <d v="2025-06-04T23:02:44" u="1"/>
        <d v="2025-06-05T01:53:16" u="1"/>
        <d v="2025-06-05T01:51:26" u="1"/>
        <d v="2025-02-09T11:04:01" u="1"/>
        <d v="2025-03-22T13:16:28" u="1"/>
        <d v="2025-03-27T17:02:05" u="1"/>
        <d v="2025-05-19T16:46:44" u="1"/>
        <d v="2025-05-09T11:56:32" u="1"/>
        <d v="2025-05-14T19:49:46" u="1"/>
        <d v="2025-05-20T22:10:39" u="1"/>
        <d v="2025-05-20T21:36:25" u="1"/>
        <d v="2025-05-20T20:19:41" u="1"/>
        <d v="2025-05-20T11:54:22" u="1"/>
        <d v="2025-05-20T15:10:53" u="1"/>
        <d v="2025-05-20T20:20:20" u="1"/>
        <d v="2025-05-20T17:28:07" u="1"/>
        <d v="2025-05-21T17:49:39" u="1"/>
        <d v="2025-05-20T15:10:30" u="1"/>
        <d v="2025-05-20T15:26:44" u="1"/>
        <d v="2025-05-27T23:58:27" u="1"/>
        <d v="2025-05-30T19:58:58" u="1"/>
        <d v="2025-05-27T10:18:51" u="1"/>
        <d v="2025-05-27T10:23:22" u="1"/>
        <d v="2025-05-27T10:19:17" u="1"/>
        <d v="2025-05-26T16:07:21" u="1"/>
        <d v="2025-05-27T10:21:58" u="1"/>
        <d v="2025-05-30T14:03:18" u="1"/>
        <d v="2025-05-27T20:32:42" u="1"/>
        <d v="2025-05-27T10:18:45" u="1"/>
        <d v="2025-05-27T10:22:40" u="1"/>
        <d v="2025-05-27T14:20:52" u="1"/>
        <d v="2025-05-21T21:44:02" u="1"/>
        <d v="2025-05-30T12:07:27" u="1"/>
        <d v="2025-05-30T12:07:37" u="1"/>
      </sharedItems>
      <fieldGroup par="44"/>
    </cacheField>
    <cacheField name="Data Alteração" numFmtId="0">
      <sharedItems containsNonDate="0" containsDate="1" containsString="0" containsBlank="1" minDate="2025-07-03T11:42:19" maxDate="2025-08-13T06:15:33"/>
    </cacheField>
    <cacheField name="Aging Alteração" numFmtId="0">
      <sharedItems containsBlank="1" count="8">
        <s v="0 a 02 dias"/>
        <s v="06 a 08 dias"/>
        <s v="09 a 15 dias"/>
        <s v="03 a 05 dias"/>
        <s v="16 a 23 dias"/>
        <s v="24 a 31 dias"/>
        <s v="31 dias ou +"/>
        <m/>
      </sharedItems>
    </cacheField>
    <cacheField name="Aging Inclusão" numFmtId="0">
      <sharedItems containsBlank="1" count="8">
        <s v="0 a 02 dias"/>
        <s v="06 a 08 dias"/>
        <s v="31 dias ou +"/>
        <s v="03 a 05 dias"/>
        <s v="09 a 15 dias"/>
        <s v="16 a 23 dias"/>
        <s v="24 a 31 dias"/>
        <m/>
      </sharedItems>
    </cacheField>
    <cacheField name="Localizadora" numFmtId="0">
      <sharedItems containsBlank="1" containsMixedTypes="1" containsNumber="1" containsInteger="1" minValue="4576274" maxValue="1545065602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02-17T14:51:00" maxDate="2025-08-13T00:44:00"/>
    </cacheField>
    <cacheField name="Requisição" numFmtId="0">
      <sharedItems containsBlank="1" containsMixedTypes="1" containsNumber="1" containsInteger="1" minValue="276" maxValue="13755260251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Aéreo"/>
        <s v="Hotel"/>
        <s v="Serviço"/>
        <s v="Carro"/>
        <m/>
      </sharedItems>
    </cacheField>
    <cacheField name="Cancelado" numFmtId="0">
      <sharedItems containsBlank="1"/>
    </cacheField>
    <cacheField name="Grupo Empresarial" numFmtId="0">
      <sharedItems containsBlank="1" count="165">
        <s v="Grupo Atos"/>
        <s v="Grupo Ultra"/>
        <s v="Grupo Ocean Pact"/>
        <s v="Grupo Arxada"/>
        <s v="Grupo Ache"/>
        <s v="Grupo Vertex"/>
        <s v="Grupo Zupper"/>
        <s v="Grupo British American Tobacco"/>
        <s v="Grupo Nyasa Empreendimentos"/>
        <s v="Grupo Parexel"/>
        <s v="Grupo Stanley Black e Decker"/>
        <s v="Grupo Ihs"/>
        <s v="Grupo Glory"/>
        <s v="Grupo Elanco"/>
        <s v="Grupo Ses"/>
        <s v="Grupo Adidas"/>
        <s v="Grupo Kontrip"/>
        <s v="-"/>
        <s v="Independente"/>
        <s v="Grupo System Service"/>
        <s v="Grupo Avaya"/>
        <s v="Grupo Axa"/>
        <s v="Grupo Honeywell"/>
        <s v="Grupo Icon"/>
        <s v="Grupo Jti"/>
        <s v="Grupo Mars"/>
        <s v="Grupo Lojas Renner"/>
        <s v="Grupo Track e Field"/>
        <s v="Grupo Epson"/>
        <s v="Grupo Banco Genial Investimentos"/>
        <s v="Grupo Airbus/helibras"/>
        <s v="Grupo Deloitte"/>
        <s v="Grupo Htb"/>
        <s v="Grupo Kpmg"/>
        <s v="Grupo Innomotics"/>
        <s v="Grupo Bosch"/>
        <s v="Grupo Firmenich"/>
        <s v="Grupo Fm Global"/>
        <s v="Grupo Diageo"/>
        <s v="Grupo Rio Galeao"/>
        <s v="Grupo Zf"/>
        <s v="Grupo Jealsa"/>
        <s v="Grupo Biomerieux"/>
        <s v="Grupo Claro Sa"/>
        <s v="Grupo Braskem"/>
        <s v="Grupo Aeroleo"/>
        <s v="Grupo Energisa"/>
        <s v="Grupo Hypera"/>
        <s v="Grupo Intercement"/>
        <s v="Grupo Shell"/>
        <s v="Grupo Enaex"/>
        <s v="Grupo Biolab"/>
        <s v="Grupo Occ"/>
        <s v="Grupo Isdin"/>
        <s v="Grupo Basf"/>
        <s v="Grupo Chanel"/>
        <s v="Grupo Nielseniq"/>
        <s v="Grupo Sibelco"/>
        <s v="Grupo Sep"/>
        <s v="Grupo Petroreconcavo"/>
        <s v="Grupo Arcadis"/>
        <s v="Grupo Taesa"/>
        <s v="Grupo Mattos Filho"/>
        <s v="Grupo Motiva"/>
        <s v="Grupo Uol"/>
        <s v="Grupo Casas Bahia"/>
        <s v="Grupo Nzte"/>
        <s v="Grupo Atento"/>
        <s v="Grupo Pepsico"/>
        <s v="Grupo Bernoulli Educacao"/>
        <m/>
        <s v="Grupo Rhenus" u="1"/>
        <s v="Grupo Spotify" u="1"/>
        <s v="Grupo Lyondell Basell" u="1"/>
        <s v="Grupo Hpe" u="1"/>
        <s v="Grupo Gtm" u="1"/>
        <s v="Grupo Cbo" u="1"/>
        <s v="Grupo Cmoc" u="1"/>
        <s v="Grupo Santo Antonio Energia" u="1"/>
        <s v="Grupo Kontik Businees Travel" u="1"/>
        <s v="Grupo Constellation" u="1"/>
        <s v="Grupo Baker Mckenzie" u="1"/>
        <s v="Grupo Patria" u="1"/>
        <s v="Grupo Light" u="1"/>
        <s v="Grupo Atlas Copco" u="1"/>
        <s v="Grupo Samsung" u="1"/>
        <s v="Grupo Falcon Active" u="1"/>
        <s v="Grupo Marisa" u="1"/>
        <s v="Grupo Syntegon" u="1"/>
        <s v="Grupo Sacs" u="1"/>
        <s v="Grupo Ourolux" u="1"/>
        <s v="Grupo Livanova" u="1"/>
        <s v="Grupo Unica" u="1"/>
        <s v="Grupo Acelen" u="1"/>
        <s v="Grupo Benner" u="1"/>
        <s v="Grupo Sony Pictures" u="1"/>
        <s v="Grupo Iron Mountain" u="1"/>
        <s v="Grupo Verizon" u="1"/>
        <s v="Grupo Pharmacopeia" u="1"/>
        <s v="Grupo Avenida" u="1"/>
        <s v="Grupo Abegas" u="1"/>
        <s v="Grupo Merb" u="1"/>
        <s v="Grupo Sompo Seguros" u="1"/>
        <s v="Grupo Fs Bioenergia" u="1"/>
        <s v="Grupo Ferreira Costa" u="1"/>
        <s v="Grupo Neon" u="1"/>
        <s v="Grupo Wallenius" u="1"/>
        <s v="Grupo Odontoprev" u="1"/>
        <s v="Grupo Tupperware" u="1"/>
        <s v="Grupo Inframerica" u="1"/>
        <s v="Grupo Amadeus" u="1"/>
        <s v="Grupo Amway" u="1"/>
        <s v="Kontik" u="1"/>
        <s v="Grupo Estre" u="1"/>
        <s v="Grupo Santista" u="1"/>
        <s v="Grupo Cold Control" u="1"/>
        <s v="Grupo Banco Bbm" u="1"/>
        <s v="Seco Ambiental Licitacoes" u="1"/>
        <s v="Grupo Pessoa Fisica" u="1"/>
        <s v="Grupo Inovents" u="1"/>
        <s v="Grupo Furnas Eletrobras" u="1"/>
        <s v="Grupo Itausa" u="1"/>
        <s v="Grupo Softbox" u="1"/>
        <s v="Grupo Valentino" u="1"/>
        <s v="Grupo Dalazen &amp; Pessoa Sociedade de Advogados" u="1"/>
        <s v="Grupo Kelloggs Co" u="1"/>
        <s v="Grupo Rede Gazeta" u="1"/>
        <s v="Grupo Mercurio York" u="1"/>
        <s v="Grupo Invepar" u="1"/>
        <s v="Grupo Consolidacao" u="1"/>
        <s v="Grupo Lumileds" u="1"/>
        <s v="Grupo Tecnomyl" u="1"/>
        <s v="Grupo Stark Bank" u="1"/>
        <s v="Grupo Consulado Britanico" u="1"/>
        <s v="Grupo Metrorio" u="1"/>
        <s v="Grupo Occ Par" u="1"/>
        <s v="Grupo Rm Cursos Medicos" u="1"/>
        <s v="Grupo Aspen Pharma" u="1"/>
        <s v="Grupo Toou" u="1"/>
        <s v="Grupo Ccr" u="1"/>
        <s v="Grupo G4 Educacao" u="1"/>
        <s v="Grupo Agoro Carbon" u="1"/>
        <s v="Grupo Winity" u="1"/>
        <s v="Grupo Efi" u="1"/>
        <s v="Grupo Acav" u="1"/>
        <s v="Sse do Brasil" u="1"/>
        <s v="Grupo Mover" u="1"/>
        <s v="Grupo Opportunity" u="1"/>
        <s v="Grupo Intecom" u="1"/>
        <s v="Grupo Arezzo Varejo" u="1"/>
        <s v="Grupo Tec Toy" u="1"/>
        <s v="Pousadas" u="1"/>
        <s v="Grupo Bradesco" u="1"/>
        <s v="Grupo Ultragaz (inativo)" u="1"/>
        <s v="Deville Hoteis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131492023" maxValue="9785210000"/>
    </cacheField>
    <cacheField name="Canal de Vendas" numFmtId="0">
      <sharedItems containsBlank="1" count="103">
        <s v="-"/>
        <s v="INOVENTS"/>
        <s v="ZUPPER"/>
        <s v="EMERGENCIAL"/>
        <s v="EMF DIRETORIA"/>
        <s v="FCM-OPE-SAO-PVI-BTC-CONCUR"/>
        <s v="KONTRIP"/>
        <s v="FCM-OPE-SAO-PVI-BTC-CONCUR-AVAYA"/>
        <s v="FCM-OPE-SAO-PVI-BTC-CONCUR-AXA"/>
        <s v="FCM-OPE-SAO-PVI-BTC-CONCUR-HONEYWELL"/>
        <s v="FCM-OPE-SAO-PVI-BTC-PRA/RPS"/>
        <s v="FCM-OPE-SAO-PVI-JTI"/>
        <s v="FCM-OPE-SAO-PVI-MARS"/>
        <s v="KON-OPE-RIO-PVI-RENNER"/>
        <s v="KON-OPE-SAO-PVI-BTC-ARGO"/>
        <s v="KON-OPE-SAO-PVI-BTC-ARGO-DELOITTE"/>
        <s v="KON-OPE-SAO-PVI-BTC-ARGO-HTB"/>
        <s v="KON-OPE-SAO-PVI-KPMG"/>
        <s v="FCM-OPE-SAO-PVI-BTC"/>
        <s v="FCM-OPE-SAO-PVI-ATOS"/>
        <s v="FCM-OPE-SAO-PVI-BOSCH"/>
        <s v="FCM-OPE-SAO-PVI-BTC-FIRMENICH"/>
        <s v="FCM-OPE-SAO-PVI-BTC-FM GLOBAL"/>
        <s v="FCM-OPE-SAO-PVI-DIAGEO"/>
        <s v="KON-OPE-RIO-PVI-BTC"/>
        <s v="KON-OPE-RIO-PVI-BTC-BIOMERIEUX"/>
        <s v="KON-OPE-SAO-POS-CLARO"/>
        <s v="KON-OPE-SAO-PVI-BRASKEM"/>
        <s v="KON-OPE-SAO-PVI-BTC-LEMON"/>
        <s v="KON-OPE-SAO-PVI-ENERGISA"/>
        <s v="KON-OPE-SAO-PVI-HYPERA"/>
        <s v="KON-OPE-SAO-PVI-MOVER"/>
        <s v="FCM-OPE-SAO-PVI-SHELL"/>
        <s v="KON-OPE-RIO-PVI-ENAEX"/>
        <s v="KON-OPE-SAO-PVI-BIOLAB"/>
        <s v="KON-OPE-RIO-PVI-BTC RJ"/>
        <s v="KON-OPE-RIO-POS-OCEANPACT"/>
        <s v="FCM-OPE-SAO-PVI-BASF"/>
        <s v="FCM-OPE-SAO-PVI-BTC-CONCUR-CHANEL"/>
        <s v="FCM-OPE-SAO-PVI-BTC-CONCUR-NIELSENIQ"/>
        <s v="FCM-OPE-SAO-PVI-BTC-CONCUR-SIBELCO"/>
        <s v="FCM-OPE-SAO-PVI-BTC-CYTRIC-S&amp;P"/>
        <s v="KON-OPE-RIO-PVI-BTC-PETRORECONCAVO"/>
        <s v="FCM-OPE-SAO-PVI-ARCADIS"/>
        <s v="KON-OPE-SAO-PVI-ACHE"/>
        <s v="KON-OPE-RIO-POS-TAESA"/>
        <s v="KON-OPE-SAO-PVI-MATTOS FILHO"/>
        <s v="KON-OPE-SAO-PVI-CCR"/>
        <s v="KON-OPE-RIO-PVI-UOL"/>
        <s v="FCM-OPE-SAO-PVI-BAT"/>
        <s v="KON-OPE-RIO-PVI-CASAS BAHIA"/>
        <s v="FCM-OPE-SAO-PVI-BTC FCM"/>
        <s v="FCM-OPE-POA-PVI-ATENTO"/>
        <s v="KON-OPE-POA-PVI-PEPSICO"/>
        <s v="KON-OPE-SAO-PVI-BERNOULLI"/>
        <s v="KON-OPE-SAO-PVI-BTC ARGO"/>
        <m/>
        <s v="FCM-OPE-SAO-PVI-BTC-LYONDELL BASELL" u="1"/>
        <s v="KON-OPE-RIO-PVI-BTC-CBO" u="1"/>
        <s v="KON-OPE-RIO-PVI-BTC-CMOC" u="1"/>
        <s v="KON-OPE-SAO-SUP-KONTIK DESPESAS" u="1"/>
        <s v="KON-OPE-RIO-PVI-CONSTELLATION" u="1"/>
        <s v="KON-OPE-RIO-PVI-PATRIA" u="1"/>
        <s v="KON-OPE-RIO-PVI-BTC-LIGHT" u="1"/>
        <s v="KON-OPE-SAO-PVI-SAMSUNG" u="1"/>
        <s v="KON-OPE-RIO-PVI-BTC-FALCON ACTIVE" u="1"/>
        <s v="KON-OPE-SAO-PVI-ULTRA" u="1"/>
        <s v="KON-OPE-RIO-PVI-ACELEN" u="1"/>
        <s v="FCM-OPE-SAO-PVI-BTC CONCUR" u="1"/>
        <s v="FCM-OPE-SAO-PVI-BTC-CONCUR-IRON " u="1"/>
        <s v="KON-OPE-SAO-PVI-BTC" u="1"/>
        <s v="KON-OPE-SAO-PVI-FS" u="1"/>
        <s v="KON-OPE-RIO-PVI-FERREIRA COSTA" u="1"/>
        <s v="FCM-OPE-SAO-PVI-BTC-LONZA" u="1"/>
        <s v="KON-OPE-SAO-PVI-BTC-ARGO-ODONTOPREV" u="1"/>
        <s v="FCM-OPE-SAO-PVI-BTC-SYNTEGON" u="1"/>
        <s v="FCM-OPE-SAO-PVI-BTC-CYTRIC-AMWAY" u="1"/>
        <s v="KON-OPE-SAO-PVI-BTC-KONTIK DESPESAS " u="1"/>
        <s v="HOT LINE - SAO PAULO" u="1"/>
        <s v="KON-OPE-RIO-PVI-BTC-BANCO BBM" u="1"/>
        <s v="KON-OPE-RIO-POS-FURNAS ELETROBRAS" u="1"/>
        <s v="POSTO KONCEPT" u="1"/>
        <s v="KON-OPE-SAO-PVI-ITAU" u="1"/>
        <s v="KON-OPE-SAO-PVI-BTC-ESTRE" u="1"/>
        <s v="FCM-OPE-SAO-PVI-KELLOGGS" u="1"/>
        <s v="POSTO TRANSPETRO" u="1"/>
        <s v="KON-OPE-SAO-SUP-CENTRAL DE EMISSAO" u="1"/>
        <s v="K-CLUB" u="1"/>
        <s v="KON-OPE-RIO-PVI-BTC-TECNOMYL" u="1"/>
        <s v="FCM-OPE-SAO-PVI-BOSCH CONCIERGE" u="1"/>
        <s v="KON-OPE-RIO-PVI-BTC-ASPEN PHARMA" u="1"/>
        <s v="POSTO PETROBRAS" u="1"/>
        <s v="JINBOO" u="1"/>
        <s v="POSTO CBO" u="1"/>
        <s v="FAKE-SUPOR-BENNER" u="1"/>
        <s v="KON-OPE-RIO-PVI-SSE" u="1"/>
        <s v="KON-OPE-SAO-PVI-AREZZO" u="1"/>
        <s v="KON-OPE-RIO-PVI-BTC-CONCEBRA" u="1"/>
        <s v="HOT LINE - RIO DE JANEIRO" u="1"/>
        <s v="FCM-OPE-SAO-PVI-ADIDAS" u="1"/>
        <s v="POSTO EVENTOS BRADESCO SEGUROS" u="1"/>
        <s v="POSTO BRADESCO" u="1"/>
        <s v="KON-OPE-SAO-PVI-BTC-ARGO-CIELO" u="1"/>
      </sharedItems>
    </cacheField>
    <cacheField name="Codigo Evento" numFmtId="0">
      <sharedItems containsBlank="1" containsMixedTypes="1" containsNumber="1" containsInteger="1" minValue="169348" maxValue="169348"/>
    </cacheField>
    <cacheField name="Tarifa" numFmtId="0">
      <sharedItems containsString="0" containsBlank="1" containsNumber="1" minValue="-304948.56" maxValue="3118879.5" count="8000">
        <n v="482.71"/>
        <n v="189.75"/>
        <n v="253.27"/>
        <n v="227.95"/>
        <n v="182.79"/>
        <n v="44.4"/>
        <n v="1590.61"/>
        <n v="415"/>
        <n v="3472.02"/>
        <n v="522.9"/>
        <n v="444.72"/>
        <n v="1032.3"/>
        <n v="848.64"/>
        <n v="250"/>
        <n v="445.2"/>
        <n v="2176.2916"/>
        <n v="4629.18"/>
        <n v="4865.1499999999996"/>
        <n v="4568.18"/>
        <n v="0"/>
        <n v="1240"/>
        <n v="299"/>
        <n v="180"/>
        <n v="1302.01"/>
        <n v="540.54999999999995"/>
        <n v="126.14"/>
        <n v="759"/>
        <n v="3872.3519999999999"/>
        <n v="1936.1759999999999"/>
        <n v="2891.49"/>
        <n v="478.46"/>
        <n v="56.76"/>
        <n v="2454.2800000000002"/>
        <n v="220.45"/>
        <n v="618.32000000000005"/>
        <n v="2447.73"/>
        <n v="1869.67"/>
        <n v="2206.15"/>
        <n v="1141.2"/>
        <n v="713.2"/>
        <n v="0.01"/>
        <n v="590.32000000000005"/>
        <n v="548.91999999999996"/>
        <n v="71.8"/>
        <n v="1147.8399999999999"/>
        <n v="1260"/>
        <n v="1893.59"/>
        <n v="2235.84"/>
        <n v="1837.64"/>
        <n v="668.28"/>
        <n v="444.89"/>
        <n v="467.92"/>
        <n v="394.4"/>
        <n v="122.3"/>
        <n v="0.1"/>
        <n v="318.86"/>
        <n v="1386.24"/>
        <n v="2255.4899999999998"/>
        <n v="1037.99"/>
        <n v="319.92"/>
        <n v="387.06"/>
        <n v="491.96"/>
        <n v="474.9"/>
        <n v="1306.74"/>
        <n v="1002.6"/>
        <n v="1432.71"/>
        <n v="531.04"/>
        <n v="467.12"/>
        <n v="215.12"/>
        <n v="359.92"/>
        <n v="475.3"/>
        <n v="2541.2759999999998"/>
        <n v="1035.18"/>
        <n v="1040"/>
        <n v="1091.4000000000001"/>
        <n v="240"/>
        <n v="1821.6792"/>
        <n v="310"/>
        <n v="577.47"/>
        <n v="1606.2891"/>
        <n v="547.54999999999995"/>
        <n v="689.97"/>
        <n v="414"/>
        <n v="419.98"/>
        <n v="629.97"/>
        <n v="1985.6"/>
        <n v="1073.44"/>
        <n v="916.32"/>
        <n v="1080"/>
        <n v="468"/>
        <n v="21353.41"/>
        <n v="194.43199999999999"/>
        <n v="494.05439999999999"/>
        <n v="329.36959999999999"/>
        <n v="46.23"/>
        <n v="50.45"/>
        <n v="480"/>
        <n v="161.99"/>
        <n v="139.29"/>
        <n v="8335"/>
        <n v="3252"/>
        <n v="12629.1"/>
        <n v="225.96"/>
        <n v="225.95"/>
        <n v="4779.8999999999996"/>
        <n v="10428"/>
        <n v="1749"/>
        <n v="1325"/>
        <n v="1150"/>
        <n v="400"/>
        <n v="1692"/>
        <n v="1437.66"/>
        <n v="40.46"/>
        <n v="12053.02"/>
        <n v="6433.36"/>
        <n v="925"/>
        <n v="11290"/>
        <n v="487"/>
        <n v="486"/>
        <n v="488"/>
        <n v="541.66999999999996"/>
        <n v="4717.96"/>
        <n v="311.60000000000002"/>
        <n v="326"/>
        <n v="385.2"/>
        <n v="933.50879999999995"/>
        <n v="1639"/>
        <n v="752.73"/>
        <n v="220"/>
        <n v="1472.0160000000001"/>
        <n v="234.08"/>
        <n v="600"/>
        <n v="185"/>
        <n v="185.02"/>
        <n v="509.54399999999998"/>
        <n v="717"/>
        <n v="295"/>
        <n v="590"/>
        <n v="280"/>
        <n v="826.5"/>
        <n v="490"/>
        <n v="797.88"/>
        <n v="260"/>
        <n v="139"/>
        <n v="154.80000000000001"/>
        <n v="239"/>
        <n v="445.96"/>
        <n v="923.36"/>
        <n v="901.84640000000002"/>
        <n v="548.02"/>
        <n v="30346.9"/>
        <n v="16628.849999999999"/>
        <n v="1694.54"/>
        <n v="1593.07"/>
        <n v="2178.9899999999998"/>
        <n v="2495"/>
        <n v="998"/>
        <n v="501.93"/>
        <n v="2236.86"/>
        <n v="2066.3200000000002"/>
        <n v="3150"/>
        <n v="4492.32"/>
        <n v="9253.09"/>
        <n v="2349.09"/>
        <n v="8510"/>
        <n v="489"/>
        <n v="978"/>
        <n v="4731"/>
        <n v="2350.0300000000002"/>
        <n v="1175"/>
        <n v="6071.31"/>
        <n v="9787.4"/>
        <n v="1545.41"/>
        <n v="350.74"/>
        <n v="679.14"/>
        <n v="522"/>
        <n v="2324.3200000000002"/>
        <n v="2188.16"/>
        <n v="1145"/>
        <n v="233.64"/>
        <n v="863.09"/>
        <n v="9050.5300000000007"/>
        <n v="1043.83"/>
        <n v="6028.22"/>
        <n v="11643.35"/>
        <n v="6939.02"/>
        <n v="7102.94"/>
        <n v="666.58"/>
        <n v="4780.0200000000004"/>
        <n v="25099.31"/>
        <n v="2663.37"/>
        <n v="17428.62"/>
        <n v="2098.33"/>
        <n v="7070.15"/>
        <n v="4644.2299999999996"/>
        <n v="1162.43"/>
        <n v="6068.29"/>
        <n v="1225.02"/>
        <n v="1394.84"/>
        <n v="4630.78"/>
        <n v="140"/>
        <n v="730.71"/>
        <n v="9215.89"/>
        <n v="14958.37"/>
        <n v="995.63"/>
        <n v="10704.1"/>
        <n v="963.54"/>
        <n v="3329.18"/>
        <n v="1416.59"/>
        <n v="14953.78"/>
        <n v="4297.75"/>
        <n v="671.34"/>
        <n v="275"/>
        <n v="1684"/>
        <n v="8530.0614000000005"/>
        <n v="276"/>
        <n v="32068.2582"/>
        <n v="12428.341200000001"/>
        <n v="387.8"/>
        <n v="568.79999999999995"/>
        <n v="1530"/>
        <n v="125"/>
        <n v="215"/>
        <n v="249.9"/>
        <n v="330"/>
        <n v="1"/>
        <n v="2597.4499999999998"/>
        <n v="170.70500000000001"/>
        <n v="231.53"/>
        <n v="556.37120000000004"/>
        <n v="393.42"/>
        <n v="418"/>
        <n v="207.15"/>
        <n v="777.76"/>
        <n v="1594.03"/>
        <n v="564.87"/>
        <n v="696.83"/>
        <n v="524"/>
        <n v="379.76"/>
        <n v="219"/>
        <n v="534.91999999999996"/>
        <n v="156"/>
        <n v="224.81"/>
        <n v="1406.8208"/>
        <n v="227"/>
        <n v="619.20000000000005"/>
        <n v="229.2"/>
        <n v="432"/>
        <n v="209"/>
        <n v="1176"/>
        <n v="836"/>
        <n v="230"/>
        <n v="3391.92"/>
        <n v="3975.72"/>
        <n v="3973.41"/>
        <n v="4655"/>
        <n v="2665.18"/>
        <n v="588"/>
        <n v="6687.66"/>
        <n v="6458.16"/>
        <n v="290"/>
        <n v="251"/>
        <n v="715"/>
        <n v="1200"/>
        <n v="1013.32"/>
        <n v="580"/>
        <n v="270"/>
        <n v="1160"/>
        <n v="371.8"/>
        <n v="231"/>
        <n v="712.41"/>
        <n v="440"/>
        <n v="1377"/>
        <n v="315"/>
        <n v="855"/>
        <n v="812.24"/>
        <n v="627.51"/>
        <n v="609.15"/>
        <n v="1472.04"/>
        <n v="2131.75"/>
        <n v="4802.1138000000001"/>
        <n v="2146.84"/>
        <n v="2572.8000000000002"/>
        <n v="3194"/>
        <n v="3743.712"/>
        <n v="487.33440000000002"/>
        <n v="18225"/>
        <n v="4933.1099999999997"/>
        <n v="2407.19"/>
        <n v="645"/>
        <n v="1956.04"/>
        <n v="15732"/>
        <n v="7475"/>
        <n v="1215.06"/>
        <n v="646"/>
        <n v="1876"/>
        <n v="942.95"/>
        <n v="1796.058"/>
        <n v="1860"/>
        <n v="822"/>
        <n v="7719.2327999999998"/>
        <n v="985"/>
        <n v="122.36"/>
        <n v="445"/>
        <n v="124.05"/>
        <n v="1161.9100000000001"/>
        <n v="3706.7579999999998"/>
        <n v="541.36500000000001"/>
        <n v="1778.9176"/>
        <n v="2123.6095999999998"/>
        <n v="852.46879999999999"/>
        <n v="1256.269"/>
        <n v="453.09"/>
        <n v="1312.0139999999999"/>
        <n v="1061.5211999999999"/>
        <n v="1516.8013000000001"/>
        <n v="1732.87"/>
        <n v="694.4"/>
        <n v="1742.91"/>
        <n v="530"/>
        <n v="1392.7398000000001"/>
        <n v="1719.9278999999999"/>
        <n v="791.26319999999998"/>
        <n v="1063.3692000000001"/>
        <n v="2193.6976"/>
        <n v="1467.8"/>
        <n v="470"/>
        <n v="1143.3"/>
        <n v="1400"/>
        <n v="431"/>
        <n v="5430"/>
        <n v="2088"/>
        <n v="14699.92"/>
        <n v="375"/>
        <n v="1559.86"/>
        <n v="453"/>
        <n v="1511"/>
        <n v="2672"/>
        <n v="7347.6480000000001"/>
        <n v="3209.0974999999999"/>
        <n v="486.2"/>
        <n v="4422.6000000000004"/>
        <n v="758"/>
        <n v="4119.6000000000004"/>
        <n v="338"/>
        <n v="322.27999999999997"/>
        <n v="934.4"/>
        <n v="1616"/>
        <n v="550"/>
        <n v="640"/>
        <n v="232"/>
        <n v="306"/>
        <n v="329.67"/>
        <n v="824.1"/>
        <n v="748"/>
        <n v="113.79"/>
        <n v="2651.8"/>
        <n v="333"/>
        <n v="1600"/>
        <n v="108"/>
        <n v="7945.89"/>
        <n v="7951.68"/>
        <n v="8009.52"/>
        <n v="178"/>
        <n v="183.12"/>
        <n v="1580"/>
        <n v="741"/>
        <n v="674.2835"/>
        <n v="24280.44"/>
        <n v="2497.9499999999998"/>
        <n v="50"/>
        <n v="2350"/>
        <n v="156.465"/>
        <n v="1950"/>
        <n v="870"/>
        <n v="1220"/>
        <n v="1800"/>
        <n v="961.8"/>
        <n v="761.3"/>
        <n v="275.10000000000002"/>
        <n v="225"/>
        <n v="178.2"/>
        <n v="473.55"/>
        <n v="210"/>
        <n v="179"/>
        <n v="1615.92"/>
        <n v="756"/>
        <n v="169"/>
        <n v="547.04"/>
        <n v="297"/>
        <n v="540"/>
        <n v="787.5"/>
        <n v="525"/>
        <n v="250.95"/>
        <n v="495"/>
        <n v="199.5"/>
        <n v="1008"/>
        <n v="914.1"/>
        <n v="960"/>
        <n v="7725.76"/>
        <n v="461"/>
        <n v="155"/>
        <n v="167.73"/>
        <n v="117.79"/>
        <n v="79.23"/>
        <n v="84.48"/>
        <n v="371.04480000000001"/>
        <n v="486.25920000000002"/>
        <n v="367.88639999999998"/>
        <n v="344.2208"/>
        <n v="345.87"/>
        <n v="249.8"/>
        <n v="156.3184"/>
        <n v="1421.97"/>
        <n v="245.2576"/>
        <n v="239.16480000000001"/>
        <n v="289.47519999999997"/>
        <n v="621.23040000000003"/>
        <m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1564.42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164.6848" u="1"/>
        <n v="385.0308" u="1"/>
        <n v="589.25440000000003" u="1"/>
        <n v="11043" u="1"/>
        <n v="1450" u="1"/>
        <n v="259.99" u="1"/>
        <n v="935.14400000000001" u="1"/>
        <n v="666.6576" u="1"/>
        <n v="1030.4112" u="1"/>
        <n v="1433.7009" u="1"/>
        <n v="490.69439999999997" u="1"/>
        <n v="163.56479999999999" u="1"/>
        <n v="1011.6512" u="1"/>
        <n v="374.05759999999998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278.19" u="1"/>
        <n v="497.44" u="1"/>
        <n v="386.4" u="1"/>
        <n v="2954" u="1"/>
        <n v="2520.9299999999998" u="1"/>
        <n v="720" u="1"/>
        <n v="1117.6300000000001" u="1"/>
        <n v="650.78" u="1"/>
        <n v="435.72" u="1"/>
        <n v="204.92" u="1"/>
        <n v="297.03519999999997" u="1"/>
        <n v="279" u="1"/>
        <n v="170" u="1"/>
        <n v="346" u="1"/>
        <n v="188.68" u="1"/>
        <n v="221.4" u="1"/>
        <n v="8605.48" u="1"/>
        <n v="796.22" u="1"/>
        <n v="268.41919999999999" u="1"/>
        <n v="489.69" u="1"/>
        <n v="4010.72" u="1"/>
        <n v="338.91199999999998" u="1"/>
        <n v="625.16999999999996" u="1"/>
        <n v="203.06" u="1"/>
        <n v="731.85" u="1"/>
        <n v="236.66" u="1"/>
        <n v="1180.77" u="1"/>
        <n v="496.12" u="1"/>
        <n v="1042.5" u="1"/>
        <n v="999.99" u="1"/>
        <n v="478.18" u="1"/>
        <n v="990.24" u="1"/>
        <n v="1184" u="1"/>
        <n v="487.5" u="1"/>
        <n v="560" u="1"/>
        <n v="223.75" u="1"/>
        <n v="698" u="1"/>
        <n v="189" u="1"/>
        <n v="810" u="1"/>
        <n v="660" u="1"/>
        <n v="458.6" u="1"/>
        <n v="205.71340000000001" u="1"/>
        <n v="171.08" u="1"/>
        <n v="2948.93" u="1"/>
        <n v="2475.6799999999998" u="1"/>
        <n v="594.98879999999997" u="1"/>
        <n v="159.4768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249" u="1"/>
        <n v="325.92" u="1"/>
        <n v="537.69000000000005" u="1"/>
        <n v="805.11199999999997" u="1"/>
        <n v="255.78559999999999" u="1"/>
        <n v="168.952" u="1"/>
        <n v="494.72640000000001" u="1"/>
        <n v="536.83839999999998" u="1"/>
        <n v="511.21280000000002" u="1"/>
        <n v="199.9872" u="1"/>
        <n v="785.29920000000004" u="1"/>
        <n v="489.38400000000001" u="1"/>
        <n v="79.738399999999999" u="1"/>
        <n v="826.22400000000005" u="1"/>
        <n v="644.08960000000002" u="1"/>
        <n v="468.45119999999997" u="1"/>
        <n v="402.62880000000001" u="1"/>
        <n v="316.89280000000002" u="1"/>
        <n v="334.18560000000002" u="1"/>
        <n v="1136.6207999999999" u="1"/>
        <n v="635.66719999999998" u="1"/>
        <n v="269" u="1"/>
        <n v="269.83999999999997" u="1"/>
        <n v="1972.69" u="1"/>
        <n v="1598.78" u="1"/>
        <n v="10839.94" u="1"/>
        <n v="543.91999999999996" u="1"/>
        <n v="85" u="1"/>
        <n v="1195.6400000000001" u="1"/>
        <n v="578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175" u="1"/>
        <n v="978.5" u="1"/>
        <n v="15944.01" u="1"/>
        <n v="340.63" u="1"/>
        <n v="253.8" u="1"/>
        <n v="1120.07" u="1"/>
        <n v="677.51" u="1"/>
        <n v="377.8" u="1"/>
        <n v="1522.03" u="1"/>
        <n v="162.66" u="1"/>
        <n v="283.5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91.77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795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520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425.4" u="1"/>
        <n v="154" u="1"/>
        <n v="2522.4" u="1"/>
        <n v="110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823.84" u="1"/>
        <n v="665.84" u="1"/>
        <n v="1020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304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584" u="1"/>
        <n v="286.88" u="1"/>
        <n v="1229.0001" u="1"/>
        <n v="263.75" u="1"/>
        <n v="296.39999999999998" u="1"/>
        <n v="603.99990000000003" u="1"/>
        <n v="340" u="1"/>
        <n v="1428.32" u="1"/>
        <n v="8285.52" u="1"/>
        <n v="150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186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209.99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327.12959999999998" u="1"/>
        <n v="409.98719999999997" u="1"/>
        <n v="260.39999999999998" u="1"/>
        <n v="715.62" u="1"/>
        <n v="294.87" u="1"/>
        <n v="887.38019999999995" u="1"/>
        <n v="1230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88.67519999999999" u="1"/>
        <n v="172" u="1"/>
        <n v="203.05600000000001" u="1"/>
        <n v="128.65" u="1"/>
        <n v="771.54" u="1"/>
        <n v="1388.7719999999999" u="1"/>
        <n v="392.49279999999999" u="1"/>
        <n v="559.26990000000001" u="1"/>
        <n v="160" u="1"/>
        <n v="3547.9584" u="1"/>
        <n v="498.46" u="1"/>
        <n v="423.98719999999997" u="1"/>
        <n v="455.4144" u="1"/>
        <n v="459.7824" u="1"/>
        <n v="2295.1999999999998" u="1"/>
        <n v="2150" u="1"/>
        <n v="17566.400000000001" u="1"/>
        <n v="235" u="1"/>
        <n v="595.20000000000005" u="1"/>
        <n v="278.25" u="1"/>
        <n v="217" u="1"/>
        <n v="183.54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44.73759999999999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100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840" u="1"/>
        <n v="2532.444" u="1"/>
        <n v="7561.26" u="1"/>
        <n v="409" u="1"/>
        <n v="990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389" u="1"/>
        <n v="730.8" u="1"/>
        <n v="3889" u="1"/>
        <n v="1010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265" u="1"/>
        <n v="880.56100000000004" u="1"/>
        <n v="196" u="1"/>
        <n v="17284.400000000001" u="1"/>
        <n v="5054.8" u="1"/>
        <n v="214.35" u="1"/>
        <n v="5435.5" u="1"/>
        <n v="21809.13" u="1"/>
        <n v="420" u="1"/>
        <n v="1258.5" u="1"/>
        <n v="1193.2260000000001" u="1"/>
        <n v="6978.82" u="1"/>
        <n v="23202.29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1301.2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6291.72" u="1"/>
        <n v="2099.08" u="1"/>
        <n v="391.13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506.65440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392.23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195" u="1"/>
        <n v="360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32" u="1"/>
        <n v="1061.27" u="1"/>
        <n v="752.86" u="1"/>
        <n v="740.94" u="1"/>
        <n v="3804.75" u="1"/>
        <n v="2716.3348999999998" u="1"/>
        <n v="579.29999999999995" u="1"/>
        <n v="223.61" u="1"/>
        <n v="136.63999999999999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53.08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740.88750000000005" u="1"/>
        <n v="1116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702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2799.2" u="1"/>
        <n v="1874.22" u="1"/>
        <n v="481.5" u="1"/>
        <n v="101.52" u="1"/>
        <n v="106.31" u="1"/>
        <n v="92.96" u="1"/>
        <n v="109.57" u="1"/>
        <n v="2781.96" u="1"/>
        <n v="670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78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190" u="1"/>
        <n v="218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654.25919999999996" u="1"/>
        <n v="1189.0816" u="1"/>
        <n v="659.79160000000002" u="1"/>
        <n v="590.79999999999995" u="1"/>
        <n v="84.4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200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850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598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839.96" u="1"/>
        <n v="3092.6624000000002" u="1"/>
        <n v="543.5" u="1"/>
        <n v="130" u="1"/>
        <n v="26.75" u="1"/>
        <n v="27.2" u="1"/>
        <n v="65.77" u="1"/>
        <n v="60.52" u="1"/>
        <n v="950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920" u="1"/>
        <n v="325" u="1"/>
        <n v="430" u="1"/>
        <n v="726.8" u="1"/>
        <n v="456.3" u="1"/>
        <n v="900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828" u="1"/>
        <n v="613.79999999999995" u="1"/>
        <n v="788.96" u="1"/>
        <n v="20916.060000000001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594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625.41999999999996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805.5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316" u="1"/>
        <n v="4609.29" u="1"/>
        <n v="750" u="1"/>
        <n v="748.11519999999996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500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398" u="1"/>
        <n v="209.15" u="1"/>
        <n v="1403.76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450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300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379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502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42" u="1"/>
        <n v="885" u="1"/>
        <n v="292.8" u="1"/>
        <n v="780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18.66999999999996" u="1"/>
        <n v="684.96" u="1"/>
        <n v="380" u="1"/>
        <n v="1604" u="1"/>
        <n v="2006" u="1"/>
        <n v="871.44" u="1"/>
        <n v="1760" u="1"/>
        <n v="1309.0999999999999" u="1"/>
        <n v="492.72" u="1"/>
        <n v="166" u="1"/>
        <n v="2278.518" u="1"/>
        <n v="546.29999999999995" u="1"/>
        <n v="95" u="1"/>
        <n v="423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100.1" u="1"/>
        <n v="650" u="1"/>
        <n v="928" u="1"/>
        <n v="5911" u="1"/>
        <n v="18016.18" u="1"/>
        <n v="1841" u="1"/>
        <n v="73.11" u="1"/>
        <n v="378" u="1"/>
        <n v="334.79039999999998" u="1"/>
        <n v="313.33" u="1"/>
        <n v="731.31" u="1"/>
        <n v="1665" u="1"/>
        <n v="1755" u="1"/>
        <n v="564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135" u="1"/>
        <n v="601.32000000000005" u="1"/>
        <n v="616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267" u="1"/>
        <n v="286" u="1"/>
        <n v="1420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350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4240.8284000000003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891.54" u="1"/>
        <n v="526.16999999999996" u="1"/>
        <n v="406" u="1"/>
        <n v="657" u="1"/>
        <n v="477.52" u="1"/>
        <n v="424.44" u="1"/>
        <n v="237" u="1"/>
        <n v="437.7" u="1"/>
        <n v="404" u="1"/>
        <n v="168.88480000000001" u="1"/>
        <n v="169.84800000000001" u="1"/>
        <n v="917.21280000000002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770" u="1"/>
        <n v="351.9" u="1"/>
        <n v="1629.6" u="1"/>
        <n v="546" u="1"/>
        <n v="1417.5" u="1"/>
        <n v="273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2200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657.52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10" u="1"/>
        <n v="1188" u="1"/>
        <n v="1320" u="1"/>
        <n v="329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352" u="1"/>
        <n v="1719" u="1"/>
        <n v="889.11" u="1"/>
        <n v="268" u="1"/>
        <n v="1000" u="1"/>
        <n v="127.38" u="1"/>
        <n v="686" u="1"/>
        <n v="933" u="1"/>
        <n v="338.64359999999999" u="1"/>
        <n v="999.78" u="1"/>
        <n v="1107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538" u="1"/>
        <n v="65.37" u="1"/>
        <n v="289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120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2593.4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142.41999999999999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5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263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61" u="1"/>
        <n v="399.35" u="1"/>
        <n v="22799" u="1"/>
        <n v="250.58" u="1"/>
        <n v="1032.4159999999999" u="1"/>
        <n v="122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120" u="1"/>
        <n v="760" u="1"/>
        <n v="1715" u="1"/>
        <n v="11339.16" u="1"/>
        <n v="172.99" u="1"/>
        <n v="3644.73" u="1"/>
        <n v="2325.29" u="1"/>
        <n v="1847.1" u="1"/>
        <n v="233.94" u="1"/>
        <n v="503.98" u="1"/>
        <n v="929.72" u="1"/>
        <n v="1752.68" u="1"/>
        <n v="1038" u="1"/>
        <n v="22729" u="1"/>
        <n v="9091.6" u="1"/>
        <n v="604" u="1"/>
        <n v="381.69" u="1"/>
        <n v="104.99" u="1"/>
        <n v="916.47" u="1"/>
        <n v="3877" u="1"/>
        <n v="5385" u="1"/>
        <n v="7754.01" u="1"/>
        <n v="320.39999999999998" u="1"/>
        <n v="700" u="1"/>
        <n v="630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255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288" u="1"/>
        <n v="532" u="1"/>
        <n v="940.8" u="1"/>
        <n v="141.74" u="1"/>
        <n v="576" u="1"/>
        <n v="58.48" u="1"/>
        <n v="945" u="1"/>
        <n v="1024" u="1"/>
        <n v="129.44" u="1"/>
        <n v="136.09" u="1"/>
        <n v="605" u="1"/>
        <n v="561" u="1"/>
        <n v="1000.68" u="1"/>
        <n v="615" u="1"/>
        <n v="182.55" u="1"/>
        <n v="1360" u="1"/>
        <n v="173.33" u="1"/>
        <n v="1415.82" u="1"/>
        <n v="744.81" u="1"/>
        <n v="657.8" u="1"/>
        <n v="221.24" u="1"/>
        <n v="674.01" u="1"/>
        <n v="596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510" u="1"/>
        <n v="992" u="1"/>
        <n v="355" u="1"/>
        <n v="880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0" u="1"/>
        <n v="412" u="1"/>
        <n v="319" u="1"/>
        <n v="5870.83" u="1"/>
        <n v="238" u="1"/>
        <n v="6175.22" u="1"/>
        <n v="652.77" u="1"/>
        <n v="895.94" u="1"/>
        <n v="490.94" u="1"/>
        <n v="307" u="1"/>
        <n v="369" u="1"/>
        <n v="282" u="1"/>
        <n v="858" u="1"/>
        <n v="245" u="1"/>
        <n v="330.6" u="1"/>
        <n v="429" u="1"/>
        <n v="302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424.8" u="1"/>
        <n v="284.89999999999998" u="1"/>
        <n v="603" u="1"/>
        <n v="901.84609999999998" u="1"/>
        <n v="956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2650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176" u="1"/>
        <n v="331.52" u="1"/>
        <n v="263.19" u="1"/>
        <n v="458.85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81.99" u="1"/>
        <n v="374.99" u="1"/>
        <n v="373.29599999999999" u="1"/>
        <n v="936" u="1"/>
        <n v="250.62" u="1"/>
        <n v="104.51" u="1"/>
        <n v="843.85" u="1"/>
        <n v="239.53" u="1"/>
        <n v="252.51" u="1"/>
        <n v="446.67" u="1"/>
        <n v="700.49279999999999" u="1"/>
        <n v="274.35000000000002" u="1"/>
        <n v="428.7" u="1"/>
        <n v="2345" u="1"/>
        <n v="1100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300.3" u="1"/>
        <n v="461.7" u="1"/>
        <n v="668.1" u="1"/>
        <n v="508.2" u="1"/>
        <n v="407.4" u="1"/>
        <n v="202.8" u="1"/>
        <n v="688" u="1"/>
        <n v="470.4" u="1"/>
        <n v="390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873" u="1"/>
        <n v="690" u="1"/>
        <n v="365" u="1"/>
        <n v="69.44" u="1"/>
        <n v="66.67" u="1"/>
        <n v="1242" u="1"/>
        <n v="84.5" u="1"/>
        <n v="688.8" u="1"/>
        <n v="347" u="1"/>
        <n v="1910" u="1"/>
        <n v="223" u="1"/>
        <n v="1470" u="1"/>
        <n v="562" u="1"/>
        <n v="325.5" u="1"/>
        <n v="328.9" u="1"/>
        <n v="405.6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374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1173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800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244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406.17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285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498" u="1"/>
        <n v="52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55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474" u="1"/>
        <n v="1254.1500000000001" u="1"/>
        <n v="1168.3399999999999" u="1"/>
        <n v="413" u="1"/>
        <n v="559.98" u="1"/>
        <n v="1049.95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629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236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227.41" u="1"/>
        <n v="984.76980000000003" u="1"/>
        <n v="730.91200000000003" u="1"/>
        <n v="441.22500000000002" u="1"/>
        <n v="446.11559999999997" u="1"/>
        <n v="861.03359999999998" u="1"/>
        <n v="291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2480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10947.81" u="1"/>
        <n v="2239.3200000000002" u="1"/>
        <n v="9353.1299999999992" u="1"/>
        <n v="36570.239999999998" u="1"/>
        <n v="1071.3900000000001" u="1"/>
        <n v="444.67" u="1"/>
        <n v="22261.27" u="1"/>
        <n v="491" u="1"/>
        <n v="1694.01" u="1"/>
        <n v="1824" u="1"/>
        <n v="545" u="1"/>
        <n v="10884.57" u="1"/>
        <n v="366" u="1"/>
        <n v="1122" u="1"/>
        <n v="937.3338" u="1"/>
        <n v="1226.848" u="1"/>
        <n v="710" u="1"/>
        <n v="2140.27" u="1"/>
        <n v="2600" u="1"/>
        <n v="438" u="1"/>
        <n v="288.79000000000002" u="1"/>
        <n v="790" u="1"/>
        <n v="6654.48" u="1"/>
        <n v="56.05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143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1006.24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518" u="1"/>
        <n v="1428.42" u="1"/>
        <n v="534.25" u="1"/>
        <n v="502.52" u="1"/>
        <n v="714.54" u="1"/>
        <n v="884.31" u="1"/>
        <n v="2400" u="1"/>
        <n v="1004" u="1"/>
        <n v="736" u="1"/>
        <n v="205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408" u="1"/>
        <n v="1174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570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271.92" u="1"/>
        <n v="1435.09" u="1"/>
        <n v="6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2108" u="1"/>
        <n v="1464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6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370" u="1"/>
        <n v="267.58" u="1"/>
        <n v="5503.9859999999999" u="1"/>
        <n v="2831.2919999999999" u="1"/>
        <n v="2892" u="1"/>
        <n v="804.38" u="1"/>
        <n v="456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790" u="1"/>
        <n v="1574.88" u="1"/>
        <n v="227.84" u="1"/>
        <n v="232.34" u="1"/>
        <n v="1479" u="1"/>
        <n v="2166.0812999999998" u="1"/>
        <n v="1206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357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9657.91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88.8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679.39200000000005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381.61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094" u="1"/>
        <n v="115.76" u="1"/>
        <n v="1244.04" u="1"/>
        <n v="491.84" u="1"/>
        <n v="240.17" u="1"/>
        <n v="1285.99" u="1"/>
        <n v="290.89999999999998" u="1"/>
        <n v="128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812176.87860000005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492.3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774.24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618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152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96.16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5037.62" u="1"/>
        <n v="1646.37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942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542" u="1"/>
        <n v="637.41" u="1"/>
        <n v="241.9" u="1"/>
        <n v="278.3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313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790.23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428.04160000000002" u="1"/>
        <n v="381.41320000000002" u="1"/>
        <n v="699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612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479.12" u="1"/>
        <n v="196.17" u="1"/>
        <n v="121.64" u="1"/>
        <n v="934.92" u="1"/>
        <n v="170.58" u="1"/>
        <n v="52.72" u="1"/>
        <n v="49.19" u="1"/>
        <n v="44.68" u="1"/>
        <n v="41.69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856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40.72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876" u="1"/>
        <n v="1166" u="1"/>
        <n v="1619.22" u="1"/>
        <n v="2030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187.02879999999999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79.900000000000006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339.69600000000003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946.5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516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386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28230.7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48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798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561.08640000000003" u="1"/>
        <n v="983.53920000000005" u="1"/>
        <n v="819.97439999999995" u="1"/>
        <n v="43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  <n v="476" u="1"/>
        <n v="493.47199999999998" u="1"/>
        <n v="851.68" u="1"/>
        <n v="766.84159999999997" u="1"/>
        <n v="928.70399999999995" u="1"/>
        <n v="302.08" u="1"/>
        <n v="560.49279999999999" u="1"/>
        <n v="692.05" u="1"/>
        <n v="752.81920000000002" u="1"/>
        <n v="820.00800000000004" u="1"/>
        <n v="771.65" u="1"/>
        <n v="4135.6224000000002" u="1"/>
        <n v="357.21" u="1"/>
        <n v="17326.400000000001" u="1"/>
        <n v="1213.9599000000001" u="1"/>
        <n v="3581.3791999999999" u="1"/>
        <n v="14780.48" u="1"/>
        <n v="1028.3900000000001" u="1"/>
        <n v="1634.38" u="1"/>
        <n v="8676.3359999999993" u="1"/>
        <n v="795.36" u="1"/>
        <n v="3256.8" u="1"/>
        <n v="411.78" u="1"/>
        <n v="319.60000000000002" u="1"/>
        <n v="94.77" u="1"/>
        <n v="524.44000000000005" u="1"/>
        <n v="1968.6" u="1"/>
        <n v="585" u="1"/>
        <n v="1992.54" u="1"/>
        <n v="2385.9299999999998" u="1"/>
        <n v="2129.96" u="1"/>
        <n v="2429.8000000000002" u="1"/>
        <n v="1422.8" u="1"/>
        <n v="486.23" u="1"/>
        <n v="1499.23" u="1"/>
        <n v="1499.24" u="1"/>
        <n v="2936" u="1"/>
        <n v="1312.72" u="1"/>
        <n v="667.25" u="1"/>
        <n v="1193.6300000000001" u="1"/>
        <n v="3398.7725" u="1"/>
        <n v="529.13" u="1"/>
        <n v="297.5" u="1"/>
        <n v="701.57050000000004" u="1"/>
        <n v="1380.22" u="1"/>
        <n v="14961.54" u="1"/>
        <n v="4376.7700000000004" u="1"/>
        <n v="1417.35" u="1"/>
        <n v="21488.9" u="1"/>
        <n v="21625.77" u="1"/>
        <n v="1427.17" u="1"/>
        <n v="1330" u="1"/>
        <n v="1021.2" u="1"/>
        <n v="1095.1500000000001" u="1"/>
        <n v="1347.8" u="1"/>
        <n v="2253.64" u="1"/>
        <n v="1432.7371000000001" u="1"/>
        <n v="37425.25" u="1"/>
        <n v="7274.67" u="1"/>
        <n v="314.31" u="1"/>
        <n v="2407.5837999999999" u="1"/>
        <n v="1131.0867000000001" u="1"/>
        <n v="1899.56" u="1"/>
        <n v="1851.5237" u="1"/>
        <n v="6350.87" u="1"/>
        <n v="1377.88" u="1"/>
        <n v="795.94" u="1"/>
        <n v="1545.08" u="1"/>
        <n v="1096.19" u="1"/>
        <n v="961.09" u="1"/>
        <n v="1776.28" u="1"/>
        <n v="653.87" u="1"/>
        <n v="6143.16" u="1"/>
        <n v="920.73" u="1"/>
        <n v="972.24" u="1"/>
        <n v="8874" u="1"/>
        <n v="777.97439999999995" u="1"/>
        <n v="478.23599999999999" u="1"/>
        <n v="583.5" u="1"/>
        <n v="973" u="1"/>
        <n v="410.13" u="1"/>
        <n v="199.4" u="1"/>
        <n v="686.7" u="1"/>
        <n v="3930" u="1"/>
        <n v="7117.5" u="1"/>
        <n v="170090" u="1"/>
        <n v="276.81" u="1"/>
        <n v="304.81" u="1"/>
        <n v="250.2" u="1"/>
        <n v="405.44" u="1"/>
        <n v="2194.48" u="1"/>
        <n v="62.66" u="1"/>
        <n v="60.75" u="1"/>
        <n v="87.82" u="1"/>
        <n v="173.6" u="1"/>
        <n v="92.91" u="1"/>
        <n v="7030" u="1"/>
        <n v="6973" u="1"/>
        <n v="4268" u="1"/>
        <n v="3261" u="1"/>
        <n v="13683" u="1"/>
        <n v="199.98" u="1"/>
        <n v="194.62" u="1"/>
        <n v="786.42" u="1"/>
        <n v="662.04" u="1"/>
        <n v="729.3" u="1"/>
        <n v="286.67" u="1"/>
        <n v="240.34" u="1"/>
        <n v="608.94000000000005" u="1"/>
        <n v="185.77500000000001" u="1"/>
        <n v="513" u="1"/>
        <n v="41.43" u="1"/>
        <n v="51.98" u="1"/>
        <n v="1160.2701" u="1"/>
        <n v="1864.53" u="1"/>
        <n v="762.53" u="1"/>
        <n v="637.13" u="1"/>
        <n v="430.67" u="1"/>
        <n v="259.3" u="1"/>
        <n v="1090.95" u="1"/>
        <n v="229.95" u="1"/>
        <n v="254.1" u="1"/>
        <n v="531.29999999999995" u="1"/>
        <n v="2211.1" u="1"/>
        <n v="394" u="1"/>
        <n v="1846.6768" u="1"/>
        <n v="2533.69" u="1"/>
        <n v="1567.982" u="1"/>
        <n v="1646.845" u="1"/>
        <n v="1426.7997" u="1"/>
        <n v="1193.8" u="1"/>
        <n v="1193.81" u="1"/>
        <n v="1254" u="1"/>
        <n v="223.9" u="1"/>
        <n v="681.52" u="1"/>
        <n v="1237.1199999999999" u="1"/>
        <n v="534.09" u="1"/>
        <n v="52911.55" u="1"/>
        <n v="1030.2" u="1"/>
        <n v="1643.91" u="1"/>
        <n v="1174.8900000000001" u="1"/>
        <n v="1703.9" u="1"/>
        <n v="30227.85" u="1"/>
        <n v="2280" u="1"/>
        <n v="1720" u="1"/>
        <n v="1370" u="1"/>
        <n v="21156.44" u="1"/>
        <n v="1246" u="1"/>
        <n v="294.79000000000002" u="1"/>
        <n v="260.06" u="1"/>
        <n v="207.55" u="1"/>
        <n v="45516.81" u="1"/>
        <n v="3029" u="1"/>
        <n v="425.85" u="1"/>
        <n v="2384.1799999999998" u="1"/>
        <n v="314.10000000000002" u="1"/>
        <n v="8568" u="1"/>
        <n v="494.52" u="1"/>
        <n v="5002.8" u="1"/>
        <n v="7931.4" u="1"/>
        <n v="825" u="1"/>
        <n v="416.68400000000003" u="1"/>
        <n v="206.23" u="1"/>
        <n v="1104" u="1"/>
        <n v="57.99" u="1"/>
        <n v="61.99" u="1"/>
        <n v="3122.4400999999998" u="1"/>
        <n v="852.25" u="1"/>
        <n v="1053.99" u="1"/>
        <n v="3881.92" u="1"/>
        <n v="336" u="1"/>
        <n v="262" u="1"/>
        <n v="116.64" u="1"/>
        <n v="293.18" u="1"/>
        <n v="1179.8" u="1"/>
        <n v="851.8" u="1"/>
        <n v="367.8" u="1"/>
        <n v="334.77" u="1"/>
        <n v="368.26" u="1"/>
        <n v="391.28" u="1"/>
        <n v="967.22" u="1"/>
        <n v="2767.6" u="1"/>
        <n v="690.01" u="1"/>
        <n v="673.32" u="1"/>
        <n v="1345.1886999999999" u="1"/>
        <n v="303.91000000000003" u="1"/>
        <n v="312.56740000000002" u="1"/>
        <n v="1604.14" u="1"/>
        <n v="959.06" u="1"/>
        <n v="569.11" u="1"/>
        <n v="30341.19" u="1"/>
        <n v="3287.81" u="1"/>
        <n v="55232.94" u="1"/>
        <n v="728.13" u="1"/>
        <n v="2703.36" u="1"/>
        <n v="2110.8184000000001" u="1"/>
        <n v="1752" u="1"/>
        <n v="429.04" u="1"/>
        <n v="107.35" u="1"/>
        <n v="1334" u="1"/>
        <n v="485.33" u="1"/>
        <n v="597.48" u="1"/>
        <n v="2001" u="1"/>
        <n v="403.45" u="1"/>
        <n v="166.88" u="1"/>
        <n v="809.04" u="1"/>
        <n v="5858.64" u="1"/>
        <n v="5320.02" u="1"/>
        <n v="441.07" u="1"/>
        <n v="3159.39" u="1"/>
        <n v="2183.6790000000001" u="1"/>
        <n v="147.9" u="1"/>
        <n v="179.9" u="1"/>
        <n v="162.875" u="1"/>
        <n v="293.33999999999997" u="1"/>
        <n v="1211.94" u="1"/>
        <n v="507.93" u="1"/>
        <n v="565.41" u="1"/>
        <n v="2838" u="1"/>
        <n v="327.94" u="1"/>
        <n v="3962.28" u="1"/>
        <n v="5819.16" u="1"/>
        <n v="414.36" u="1"/>
        <n v="6400" u="1"/>
        <n v="963.6" u="1"/>
        <n v="1157.1999000000001" u="1"/>
        <n v="1567.65" u="1"/>
        <n v="1730.8" u="1"/>
        <n v="220.52" u="1"/>
        <n v="2556.2399999999998" u="1"/>
        <n v="583.17999999999995" u="1"/>
        <n v="165" u="1"/>
        <n v="570.82000000000005" u="1"/>
        <n v="26650.563300000002" u="1"/>
        <n v="262.5" u="1"/>
        <n v="475" u="1"/>
        <n v="3135.9" u="1"/>
        <n v="1612" u="1"/>
        <n v="458.82" u="1"/>
        <n v="262.98660000000001" u="1"/>
        <n v="571.87199999999996" u="1"/>
        <n v="1599.14" u="1"/>
        <n v="3547.2" u="1"/>
        <n v="402.64" u="1"/>
        <n v="266.68" u="1"/>
        <n v="2702.25" u="1"/>
        <n v="460" u="1"/>
        <n v="6838" u="1"/>
        <n v="263.49" u="1"/>
        <n v="65" u="1"/>
        <n v="120.78" u="1"/>
        <n v="565.29999999999995" u="1"/>
        <n v="1266.2719999999999" u="1"/>
        <n v="257.93599999999998" u="1"/>
        <n v="204.2" u="1"/>
        <n v="3725.5" u="1"/>
        <n v="628.55999999999995" u="1"/>
        <n v="189.84" u="1"/>
        <n v="345.52" u="1"/>
        <n v="9274.86" u="1"/>
        <n v="1217.5" u="1"/>
        <n v="1541.58" u="1"/>
        <n v="2154.15" u="1"/>
        <n v="1383.43" u="1"/>
        <n v="1024.05" u="1"/>
        <n v="892.89" u="1"/>
        <n v="442.68" u="1"/>
        <n v="550.29" u="1"/>
        <n v="2051.1999999999998" u="1"/>
        <n v="999.84" u="1"/>
        <n v="311.12" u="1"/>
        <n v="7430.14" u="1"/>
        <n v="4321.4399999999996" u="1"/>
        <n v="648.98" u="1"/>
        <n v="309.89999999999998" u="1"/>
        <n v="990.34249999999997" u="1"/>
        <n v="1419.1288999999999" u="1"/>
        <n v="233.05" u="1"/>
        <n v="1620" u="1"/>
        <n v="517.89" u="1"/>
        <n v="1358.28" u="1"/>
        <n v="1371.8" u="1"/>
        <n v="109.9" u="1"/>
        <n v="1299.26" u="1"/>
        <n v="777.72" u="1"/>
        <n v="1453.52" u="1"/>
        <n v="3091.62" u="1"/>
        <n v="36273.925600000002" u="1"/>
        <n v="1298" u="1"/>
        <n v="2882.58" u="1"/>
        <n v="2698.8339999999998" u="1"/>
        <n v="557.08000000000004" u="1"/>
        <n v="27459.54" u="1"/>
        <n v="5395.7352000000001" u="1"/>
        <n v="3095.9414999999999" u="1"/>
        <n v="1792.3409999999999" u="1"/>
        <n v="1093.32" u="1"/>
        <n v="1922.75" u="1"/>
        <n v="272.2" u="1"/>
        <n v="597.40800000000002" u="1"/>
        <n v="1447.2" u="1"/>
        <n v="568.67999999999995" u="1"/>
        <n v="550.73009999999999" u="1"/>
        <n v="449.90660000000003" u="1"/>
        <n v="269.67360000000002" u="1"/>
        <n v="289.28859999999997" u="1"/>
        <n v="204.99359999999999" u="1"/>
        <n v="2084.6896000000002" u="1"/>
        <n v="3155.6" u="1"/>
        <n v="912" u="1"/>
        <n v="478.54" u="1"/>
        <n v="419.50659999999999" u="1"/>
        <n v="521.20000000000005" u="1"/>
        <n v="2799.76" u="1"/>
        <n v="2994.6" u="1"/>
        <n v="1644.2295999999999" u="1"/>
        <n v="308.02" u="1"/>
        <n v="22460" u="1"/>
        <n v="503.30399999999997" u="1"/>
        <n v="15144.81" u="1"/>
        <n v="31824.98" u="1"/>
        <n v="8327.16" u="1"/>
        <n v="579.99" u="1"/>
        <n v="541.95000000000005" u="1"/>
        <n v="94.5" u="1"/>
        <n v="844" u="1"/>
        <n v="1880.34" u="1"/>
        <n v="1772.4" u="1"/>
        <n v="399.92" u="1"/>
        <n v="2669.1" u="1"/>
        <n v="439.28" u="1"/>
        <n v="571.70000000000005" u="1"/>
        <n v="3129" u="1"/>
        <n v="199.96" u="1"/>
        <n v="99.98" u="1"/>
        <n v="337.6" u="1"/>
        <n v="1657.6599000000001" u="1"/>
        <n v="783.78" u="1"/>
        <n v="276.3" u="1"/>
        <n v="388.04" u="1"/>
        <n v="3435.96" u="1"/>
        <n v="305" u="1"/>
        <n v="853.25" u="1"/>
        <n v="1012.88" u="1"/>
        <n v="1046.1600000000001" u="1"/>
        <n v="323.83999999999997" u="1"/>
        <n v="165.9" u="1"/>
        <n v="1367.9567999999999" u="1"/>
        <n v="4212.72" u="1"/>
        <n v="698.976" u="1"/>
        <n v="485" u="1"/>
        <n v="422.22" u="1"/>
        <n v="1173.3119999999999" u="1"/>
        <n v="179.1" u="1"/>
        <n v="322.66000000000003" u="1"/>
        <n v="333.48" u="1"/>
        <n v="1442.52" u="1"/>
        <n v="175.96" u="1"/>
        <n v="1114.1199999999999" u="1"/>
        <n v="485.67680000000001" u="1"/>
        <n v="449.87040000000002" u="1"/>
        <n v="166.94" u="1"/>
        <n v="537.41999999999996" u="1"/>
        <n v="169.61" u="1"/>
        <n v="2041.3" u="1"/>
        <n v="1419.12" u="1"/>
        <n v="623.91" u="1"/>
        <n v="454.58" u="1"/>
        <n v="1235.4100000000001" u="1"/>
        <n v="2280.35" u="1"/>
        <n v="2384.0700000000002" u="1"/>
        <n v="2384.08" u="1"/>
        <n v="1949.77" u="1"/>
        <n v="504.13" u="1"/>
        <n v="440.54" u="1"/>
        <n v="650.86" u="1"/>
        <n v="14213.9" u="1"/>
        <n v="849.92" u="1"/>
        <n v="42551.25" u="1"/>
        <n v="2954.67" u="1"/>
        <n v="9854" u="1"/>
        <n v="1714.88" u="1"/>
        <n v="709.8" u="1"/>
        <n v="3691.99" u="1"/>
        <n v="1172" u="1"/>
        <n v="467" u="1"/>
        <n v="37.76" u="1"/>
        <n v="40.119999999999997" u="1"/>
        <n v="108.73" u="1"/>
        <n v="581.22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927" u="1"/>
        <n v="332" u="1"/>
        <n v="2444.288" u="1"/>
        <n v="667.77" u="1"/>
        <n v="8075.4696000000004" u="1"/>
        <n v="2101.92" u="1"/>
        <n v="387.5" u="1"/>
        <n v="651.16480000000001" u="1"/>
        <n v="541" u="1"/>
        <n v="3940.625" u="1"/>
        <n v="341.62240000000003" u="1"/>
        <n v="2021.21" u="1"/>
        <n v="684.58" u="1"/>
        <n v="1208.24" u="1"/>
        <n v="2079.8836000000001" u="1"/>
        <n v="383.42" u="1"/>
        <n v="964" u="1"/>
        <n v="658.23" u="1"/>
        <n v="513.37440000000004" u="1"/>
        <n v="207.1104" u="1"/>
        <n v="582.04" u="1"/>
        <n v="943.37599999999998" u="1"/>
        <n v="586.53989999999999" u="1"/>
        <n v="2046.5196000000001" u="1"/>
        <n v="2558.34" u="1"/>
        <n v="299.39" u="1"/>
        <n v="737.19" u="1"/>
        <n v="826.8" u="1"/>
        <n v="325.26" u="1"/>
        <n v="725" u="1"/>
        <n v="9142.8119999999999" u="1"/>
        <n v="3975.9" u="1"/>
        <n v="86.35" u="1"/>
        <n v="2880" u="1"/>
        <n v="3600" u="1"/>
        <n v="5758.826" u="1"/>
        <n v="4163.5519999999997" u="1"/>
        <n v="1378.88" u="1"/>
        <n v="530.70000000000005" u="1"/>
        <n v="732.99990000000003" u="1"/>
        <n v="1946.8512000000001" u="1"/>
        <n v="556.04010000000005" u="1"/>
        <n v="370.6934" u="1"/>
        <n v="568.65599999999995" u="1"/>
        <n v="546.24" u="1"/>
        <n v="185.47" u="1"/>
        <n v="903.76" u="1"/>
        <n v="177.95" u="1"/>
        <n v="694.86990000000003" u="1"/>
        <n v="914.04" u="1"/>
        <n v="687.03" u="1"/>
        <n v="287.8" u="1"/>
        <n v="2019" u="1"/>
        <n v="14802.37" u="1"/>
        <n v="16451.36" u="1"/>
        <n v="448.1" u="1"/>
        <n v="785" u="1"/>
        <n v="984" u="1"/>
        <n v="1130.5" u="1"/>
        <n v="802.6" u="1"/>
        <n v="144000" u="1"/>
        <n v="8400" u="1"/>
        <n v="21600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415.68" u="1"/>
        <n v="1403.6" u="1"/>
        <n v="434.42" u="1"/>
        <n v="541.42200000000003" u="1"/>
        <n v="7564" u="1"/>
        <n v="2909.12" u="1"/>
        <n v="8302.0604999999996" u="1"/>
        <n v="571.54999999999995" u="1"/>
        <n v="339.42720000000003" u="1"/>
        <n v="287.7534" u="1"/>
        <n v="431.63249999999999" u="1"/>
        <n v="518.98500000000001" u="1"/>
        <n v="1465.85" u="1"/>
        <n v="622.55499999999995" u="1"/>
        <n v="812" u="1"/>
        <n v="11381.734" u="1"/>
        <n v="205.97" u="1"/>
        <n v="706.66" u="1"/>
        <n v="515.51" u="1"/>
        <n v="475.99" u="1"/>
        <n v="456.89" u="1"/>
        <n v="1716.1" u="1"/>
        <n v="2235.13" u="1"/>
        <n v="388.72" u="1"/>
        <n v="39197.68" u="1"/>
        <n v="605.79999999999995" u="1"/>
        <n v="2451" u="1"/>
        <n v="326.8" u="1"/>
        <n v="434" u="1"/>
        <n v="152400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338.01600000000002" u="1"/>
        <n v="949.8" u="1"/>
        <n v="1166.53" u="1"/>
        <n v="1478.34" u="1"/>
        <n v="606.36" u="1"/>
        <n v="522.24" u="1"/>
        <n v="921.7" u="1"/>
        <n v="525.63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415.3" u="1"/>
        <n v="1588.5" u="1"/>
        <n v="552" u="1"/>
        <n v="5520.45" u="1"/>
        <n v="1032.99" u="1"/>
        <n v="603.96" u="1"/>
        <n v="1413" u="1"/>
        <n v="567.20000000000005" u="1"/>
        <n v="510.48" u="1"/>
        <n v="163.46" u="1"/>
        <n v="831.66" u="1"/>
        <n v="1715.04" u="1"/>
        <n v="174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1646.52" u="1"/>
        <n v="540.4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544.4" u="1"/>
        <n v="1132.0512000000001" u="1"/>
        <n v="175.9632" u="1"/>
        <n v="6265.7201999999997" u="1"/>
        <n v="808.10239999999999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672.8" u="1"/>
        <n v="134.80000000000001" u="1"/>
        <n v="215.1" u="1"/>
        <n v="1055.3499999999999" u="1"/>
        <n v="533.57000000000005" u="1"/>
        <n v="761.64" u="1"/>
        <n v="936.15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491.91" u="1"/>
        <n v="984.2" u="1"/>
        <n v="1096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891.16" u="1"/>
        <n v="758.7" u="1"/>
        <n v="1596.68" u="1"/>
        <n v="448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1184.22" u="1"/>
        <n v="2099.58" u="1"/>
        <n v="3065.27" u="1"/>
        <n v="2184.21" u="1"/>
        <n v="584.73" u="1"/>
        <n v="98.35" u="1"/>
        <n v="765.25" u="1"/>
        <n v="851.46" u="1"/>
        <n v="224.72800000000001" u="1"/>
        <n v="992.71" u="1"/>
        <n v="188.06" u="1"/>
        <n v="6875.8" u="1"/>
        <n v="2150.46" u="1"/>
        <n v="1282" u="1"/>
        <n v="779.64" u="1"/>
        <n v="282.56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485.1" u="1"/>
        <n v="197" u="1"/>
        <n v="728.00009999999997" u="1"/>
        <n v="524.45000000000005" u="1"/>
        <n v="328.16" u="1"/>
        <n v="984.48" u="1"/>
        <n v="1984.45" u="1"/>
        <n v="1546.95" u="1"/>
        <n v="3624.36" u="1"/>
        <n v="1423.74" u="1"/>
        <n v="909.7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59.91" u="1"/>
        <n v="315.12" u="1"/>
        <n v="850.89" u="1"/>
        <n v="3967.67" u="1"/>
        <n v="993.15" u="1"/>
        <n v="3353" u="1"/>
        <n v="207.11" u="1"/>
        <n v="293.32659999999998" u="1"/>
        <n v="487.73009999999999" u="1"/>
        <n v="1299.7" u="1"/>
        <n v="1000.83" u="1"/>
        <n v="1334.48" u="1"/>
        <n v="9074.4" u="1"/>
        <n v="67.72" u="1"/>
        <n v="1195.2" u="1"/>
        <n v="69.599999999999994" u="1"/>
        <n v="1577.07" u="1"/>
        <n v="795.6" u="1"/>
        <n v="1231" u="1"/>
        <n v="11292" u="1"/>
        <n v="248.13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261.45" u="1"/>
        <n v="135.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2546.8200000000002" u="1"/>
        <n v="631.05999999999995" u="1"/>
        <n v="482.97" u="1"/>
        <n v="630.9" u="1"/>
        <n v="1538.85" u="1"/>
        <n v="1048.26" u="1"/>
        <n v="855.01" u="1"/>
        <n v="598.5" u="1"/>
        <n v="378.9" u="1"/>
        <n v="431.9" u="1"/>
        <n v="667159.17839999998" u="1"/>
        <n v="2110.92" u="1"/>
        <n v="3662.49" u="1"/>
        <n v="12295.79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36.71" u="1"/>
        <n v="441.44" u="1"/>
        <n v="513.46" u="1"/>
        <n v="268.43" u="1"/>
        <n v="277.32" u="1"/>
        <n v="10810.864100000001" u="1"/>
        <n v="796.62" u="1"/>
        <n v="25717.0144" u="1"/>
        <n v="438.77120000000002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424.03199999999998" u="1"/>
        <n v="233.184" u="1"/>
        <n v="1337.5" u="1"/>
        <n v="335.88799999999998" u="1"/>
        <n v="449.45600000000002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268.57600000000002" u="1"/>
        <n v="660.31650000000002" u="1"/>
        <n v="537.06989999999996" u="1"/>
        <n v="512" u="1"/>
        <n v="496.2" u="1"/>
        <n v="715.64" u="1"/>
        <n v="1178.3" u="1"/>
        <n v="603.18719999999996" u="1"/>
        <n v="2148.328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249.63" u="1"/>
        <n v="550.22" u="1"/>
        <n v="666" u="1"/>
        <n v="965.28" u="1"/>
        <n v="404.67" u="1"/>
        <n v="932.3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174.61" u="1"/>
        <n v="139.5" u="1"/>
        <n v="293.76" u="1"/>
        <n v="252.68" u="1"/>
        <n v="260.95999999999998" u="1"/>
        <n v="710.04" u="1"/>
        <n v="309.70999999999998" u="1"/>
        <n v="937.6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1098.2" u="1"/>
        <n v="3381.51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751.74" u="1"/>
        <n v="534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3750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417.78" u="1"/>
        <n v="1093.6199999999999" u="1"/>
        <n v="212.68" u="1"/>
        <n v="1136" u="1"/>
        <n v="142.4" u="1"/>
        <n v="411" u="1"/>
        <n v="232.82" u="1"/>
        <n v="640.5" u="1"/>
        <n v="1344.6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836.31" u="1"/>
        <n v="1323" u="1"/>
        <n v="1392.96" u="1"/>
        <n v="662.24" u="1"/>
        <n v="315.55" u="1"/>
        <n v="3185.28" u="1"/>
        <n v="533.58000000000004" u="1"/>
        <n v="619.65" u="1"/>
        <n v="67431.44" u="1"/>
        <n v="972.16" u="1"/>
        <n v="402.53" u="1"/>
        <n v="450.44009999999997" u="1"/>
        <n v="251.56700000000001" u="1"/>
        <n v="386.28" u="1"/>
        <n v="228.69" u="1"/>
        <n v="25639.8" u="1"/>
        <n v="1805.06" u="1"/>
        <n v="1825.18" u="1"/>
        <n v="257.93" u="1"/>
        <n v="172.51" u="1"/>
        <n v="1360.8" u="1"/>
        <n v="277.33" u="1"/>
        <n v="195.49" u="1"/>
        <n v="231.8" u="1"/>
        <n v="883.5" u="1"/>
        <n v="443.25" u="1"/>
        <n v="26968.79" u="1"/>
        <n v="1071.75" u="1"/>
        <n v="3445.98" u="1"/>
        <n v="1723.29" u="1"/>
        <n v="192.5" u="1"/>
        <n v="904.19690000000003" u="1"/>
        <n v="940.46" u="1"/>
        <n v="1864.8" u="1"/>
        <n v="7504.65" u="1"/>
        <n v="1911.15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208.98" u="1"/>
        <n v="1110.5999999999999" u="1"/>
        <n v="697" u="1"/>
        <n v="225.9" u="1"/>
        <n v="202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844.42399999999998" u="1"/>
        <n v="1343.1" u="1"/>
        <n v="675.2" u="1"/>
        <n v="365.20499999999998" u="1"/>
        <n v="245.67" u="1"/>
        <n v="201.53" u="1"/>
        <n v="701.12" u="1"/>
        <n v="313.89999999999998" u="1"/>
        <n v="1973" u="1"/>
        <n v="564.64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1632.79" u="1"/>
        <n v="771.37" u="1"/>
        <n v="766.53" u="1"/>
        <n v="1281.3399999999999" u="1"/>
        <n v="592.47990000000004" u="1"/>
        <n v="440.13" u="1"/>
        <n v="269.5" u="1"/>
        <n v="1062.48" u="1"/>
        <n v="644.41999999999996" u="1"/>
        <n v="2711.72" u="1"/>
        <n v="223.45" u="1"/>
        <n v="37557.06" u="1"/>
        <n v="407.54" u="1"/>
        <n v="834.12" u="1"/>
        <n v="1079.57" u="1"/>
        <n v="807.78240000000005" u="1"/>
        <n v="519.45749999999998" u="1"/>
        <n v="837.9" u="1"/>
        <n v="704.35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337.52" u="1"/>
        <n v="90.31" u="1"/>
        <n v="116.59" u="1"/>
        <n v="395.58" u="1"/>
        <n v="1202.52" u="1"/>
        <n v="200.66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2059.42" u="1"/>
        <n v="2899.42" u="1"/>
        <n v="184.02" u="1"/>
        <n v="3972.52" u="1"/>
        <n v="1915.7102" u="1"/>
        <n v="142.9" u="1"/>
        <n v="353.9" u="1"/>
        <n v="4349.09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372" u="1"/>
        <n v="391.6" u="1"/>
        <n v="5810" u="1"/>
        <n v="684" u="1"/>
        <n v="693.79" u="1"/>
        <n v="298.04000000000002" u="1"/>
        <n v="287.02" u="1"/>
        <n v="2256.2572" u="1"/>
        <n v="924.49" u="1"/>
        <n v="924.24" u="1"/>
        <n v="1629.94" u="1"/>
        <n v="847" u="1"/>
        <n v="6056.71" u="1"/>
        <n v="1869.08" u="1"/>
        <n v="2458.3368999999998" u="1"/>
        <n v="524.6925" u="1"/>
        <n v="597.38" u="1"/>
        <n v="1152.1215999999999" u="1"/>
        <n v="433.40640000000002" u="1"/>
        <n v="343.81760000000003" u="1"/>
        <n v="593.27009999999996" u="1"/>
        <n v="788.21119999999996" u="1"/>
        <n v="621.77919999999995" u="1"/>
        <n v="633.42989999999998" u="1"/>
        <n v="423.52800000000002" u="1"/>
        <n v="565.95839999999998" u="1"/>
        <n v="766.24800000000005" u="1"/>
        <n v="260.58" u="1"/>
        <n v="1174.74" u="1"/>
        <n v="3204.35" u="1"/>
        <n v="4058.79" u="1"/>
        <n v="8004.37" u="1"/>
        <n v="830.43" u="1"/>
        <n v="589.89" u="1"/>
        <n v="1008.85" u="1"/>
        <n v="1675.42" u="1"/>
        <n v="1222.6300000000001" u="1"/>
        <n v="333.81" u="1"/>
        <n v="540.80999999999995" u="1"/>
        <n v="453.14" u="1"/>
        <n v="1427.99" u="1"/>
        <n v="365.79" u="1"/>
        <n v="6790.89" u="1"/>
        <n v="568.18320000000006" u="1"/>
        <n v="1045.6199999999999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" u="1"/>
        <n v="2205.9499999999998" u="1"/>
        <n v="824.8" u="1"/>
        <n v="1325.74" u="1"/>
        <n v="395.30329999999998" u="1"/>
        <n v="1065.9000000000001" u="1"/>
        <n v="553.35" u="1"/>
        <n v="316.2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00000000002" u="1"/>
        <n v="408.91" u="1"/>
        <n v="929.65" u="1"/>
        <n v="1414.3" u="1"/>
        <n v="669.6" u="1"/>
        <n v="631.80999999999995" u="1"/>
        <n v="499.19" u="1"/>
        <n v="489.33" u="1"/>
        <n v="870.49109999999996" u="1"/>
        <n v="665.74" u="1"/>
        <n v="1340.78" u="1"/>
        <n v="33234.239999999998" u="1"/>
        <n v="5282.86" u="1"/>
        <n v="1255.56" u="1"/>
        <n v="2686.2" u="1"/>
        <n v="200.52" u="1"/>
        <n v="4708.9744000000001" u="1"/>
        <n v="1992.76" u="1"/>
        <n v="1457.28" u="1"/>
        <n v="2209.86" u="1"/>
        <n v="1425" u="1"/>
        <n v="24225" u="1"/>
        <n v="199.72" u="1"/>
        <n v="876.06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79999999998" u="1"/>
        <n v="419.43" u="1"/>
        <n v="897.00319999999999" u="1"/>
        <n v="1420.1679999999999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2" u="1"/>
        <n v="70945.138800000001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00000000002" u="1"/>
        <n v="766.09" u="1"/>
        <n v="5810.01" u="1"/>
        <n v="2979.89" u="1"/>
        <n v="1732.01" u="1"/>
        <n v="2490.86" u="1"/>
        <n v="1036.8900000000001" u="1"/>
        <n v="1813.42" u="1"/>
        <n v="3632.72" u="1"/>
        <n v="9342.9699999999993" u="1"/>
        <n v="1115.77" u="1"/>
        <n v="972.73" u="1"/>
        <n v="12494.46" u="1"/>
        <n v="10311.299999999999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00000000004" u="1"/>
        <n v="1246.6392000000001" u="1"/>
        <n v="689.83730000000003" u="1"/>
        <n v="381.43" u="1"/>
        <n v="731.32449999999994" u="1"/>
        <n v="842.58" u="1"/>
        <n v="12964.96" u="1"/>
        <n v="330.79" u="1"/>
        <n v="9953.68" u="1"/>
        <n v="11167.2" u="1"/>
        <n v="627.80999999999995" u="1"/>
        <n v="2486.9499999999998" u="1"/>
        <n v="17693.45" u="1"/>
        <n v="304.92" u="1"/>
        <n v="416.83" u="1"/>
        <n v="2850" u="1"/>
        <n v="112.8" u="1"/>
        <n v="597.51" u="1"/>
        <n v="1169.97" u="1"/>
        <n v="788.5" u="1"/>
        <n v="1585.6803" u="1"/>
        <n v="911.44849999999997" u="1"/>
        <n v="1236.4000000000001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156.5" u="1"/>
        <n v="554.49" u="1"/>
        <n v="579.04" u="1"/>
        <n v="333.9" u="1"/>
        <n v="525.34" u="1"/>
        <n v="235.62" u="1"/>
        <n v="293.33" u="1"/>
        <n v="571.05999999999995" u="1"/>
        <n v="500.86" u="1"/>
        <n v="388.08" u="1"/>
        <n v="356.23" u="1"/>
        <n v="2002.48" u="1"/>
        <n v="563.64" u="1"/>
        <n v="751.29" u="1"/>
        <n v="196.06" u="1"/>
        <n v="313.52999999999997" u="1"/>
        <n v="665.6" u="1"/>
        <n v="212.94" u="1"/>
        <n v="342" u="1"/>
        <n v="3478.6080000000002" u="1"/>
        <n v="6110.1" u="1"/>
        <n v="314" u="1"/>
        <n v="1297.31" u="1"/>
        <n v="2263.6" u="1"/>
        <n v="530.45000000000005" u="1"/>
        <n v="1652.89" u="1"/>
        <n v="343.73" u="1"/>
        <n v="7062.21" u="1"/>
        <n v="2055.1999999999998" u="1"/>
        <n v="5946.14" u="1"/>
        <n v="1592.43" u="1"/>
        <n v="2226.9899999999998" u="1"/>
        <n v="619.96" u="1"/>
        <n v="711.01" u="1"/>
        <n v="606.32000000000005" u="1"/>
        <n v="747.74" u="1"/>
        <n v="1475.9" u="1"/>
        <n v="410.14" u="1"/>
        <n v="373.08" u="1"/>
        <n v="1153.8" u="1"/>
        <n v="249.6" u="1"/>
        <n v="313.83999999999997" u="1"/>
        <n v="177.52" u="1"/>
        <n v="1569.5" u="1"/>
        <n v="7663.27" u="1"/>
        <n v="934.47" u="1"/>
        <n v="1624.2012" u="1"/>
        <n v="30237.07" u="1"/>
        <n v="34086.332000000002" u="1"/>
        <n v="1133.6199999999999" u="1"/>
        <n v="11625.27" u="1"/>
        <n v="7573.2" u="1"/>
        <n v="863.8" u="1"/>
        <n v="876.59" u="1"/>
        <n v="679.78359999999998" u="1"/>
        <n v="6789.2596000000003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799999999" u="1"/>
        <n v="9180.4320000000007" u="1"/>
        <n v="1609.3628000000001" u="1"/>
        <n v="493.5" u="1"/>
        <n v="574.20000000000005" u="1"/>
        <n v="152.53" u="1"/>
        <n v="133.27000000000001" u="1"/>
        <n v="16911.426599999999" u="1"/>
        <n v="1082.5999999999999" u="1"/>
        <n v="2011.38" u="1"/>
        <n v="403.7" u="1"/>
        <n v="3143.44" u="1"/>
        <n v="206.47" u="1"/>
        <n v="1685.1859999999999" u="1"/>
        <n v="8015.28" u="1"/>
        <n v="852.69" u="1"/>
        <n v="817.84" u="1"/>
        <n v="769.72" u="1"/>
        <n v="1059.55" u="1"/>
        <n v="872.16" u="1"/>
        <n v="1047.6500000000001" u="1"/>
        <n v="581.96" u="1"/>
        <n v="500.88" u="1"/>
        <n v="3140.48" u="1"/>
        <n v="6577.6030000000001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0000000003" u="1"/>
        <n v="1293.444" u="1"/>
        <n v="831.45550000000003" u="1"/>
        <n v="279.68" u="1"/>
        <n v="97.85" u="1"/>
        <n v="1336.7064" u="1"/>
        <n v="215.52" u="1"/>
        <n v="1206.42" u="1"/>
        <n v="13284.84" u="1"/>
        <n v="20467.509999999998" u="1"/>
        <n v="8861.4" u="1"/>
        <n v="705.82" u="1"/>
        <n v="2005.1" u="1"/>
        <n v="813.8" u="1"/>
        <n v="1302.3800000000001" u="1"/>
        <n v="1458.34" u="1"/>
      </sharedItems>
    </cacheField>
    <cacheField name="Taxa" numFmtId="0">
      <sharedItems containsString="0" containsBlank="1" containsNumber="1" minValue="0" maxValue="10316"/>
    </cacheField>
    <cacheField name="Outras Taxas" numFmtId="0">
      <sharedItems containsString="0" containsBlank="1" containsNumber="1" minValue="0" maxValue="3304.02"/>
    </cacheField>
    <cacheField name="Taxa DU" numFmtId="0">
      <sharedItems containsString="0" containsBlank="1" containsNumber="1" minValue="0" maxValue="347.2"/>
    </cacheField>
    <cacheField name="Taxa BR" numFmtId="0">
      <sharedItems containsString="0" containsBlank="1" containsNumber="1" minValue="0" maxValue="173.08"/>
    </cacheField>
    <cacheField name="Taxa Extra" numFmtId="0">
      <sharedItems containsString="0" containsBlank="1" containsNumber="1" minValue="0" maxValue="943.4"/>
    </cacheField>
    <cacheField name="Fee" numFmtId="0">
      <sharedItems containsString="0" containsBlank="1" containsNumber="1" minValue="0" maxValue="249.12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SABRE"/>
        <s v="ARGO(TMS)"/>
        <s v="MANUAL"/>
        <s v="ZUPPER"/>
        <s v="KONTRIP"/>
        <s v="GOVER"/>
        <s v="LEMONTECH"/>
        <m/>
        <s v="WOOBA" u="1"/>
        <s v="EBOOKING" u="1"/>
      </sharedItems>
    </cacheField>
    <cacheField name="CAMPO" numFmtId="0">
      <sharedItems containsBlank="1" count="37">
        <s v="Mais de um campo não preenchido"/>
        <s v="Falta de Fornecedor"/>
        <s v="Falta de informação Gerencial"/>
        <s v="Duplicidade de RLOC"/>
        <s v="Não identificado"/>
        <s v="Contrato de fornecedor"/>
        <s v="Bilhete duplicado"/>
        <s v="Pagamento não permitido para cobrança"/>
        <s v="Empenho/departamento"/>
        <s v="Forma de Pagamento indevida"/>
        <s v="Matrícula"/>
        <s v="Finalidade"/>
        <s v="Falta informação nos trechos"/>
        <s v="Centro de custo"/>
        <s v="Conciliação de Cartão"/>
        <s v="Tarifa mínima"/>
        <s v="Tarifa máxima"/>
        <m/>
        <s v="Administradora Cartão Fee incorreta" u="1"/>
        <s v="Projeto" u="1"/>
        <s v="Canal de venda" u="1"/>
        <s v="Bilhete conciliado" u="1"/>
        <s v="OS" u="1"/>
        <s v="Nível funcionário" u="1"/>
        <s v="Cliente" u="1"/>
        <s v="Caractere inválido" u="1"/>
        <s v="Cadastro enviado errado no Benner" u="1"/>
        <s v="Controle de comissão pós paga" u="1"/>
        <s v="Solicitante" u="1"/>
        <s v="Informação de controle" u="1"/>
        <s v="Departamento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Dados Gerenciais"/>
        <s v="Duplicidade de Contabilização"/>
        <s v="Sistema"/>
        <s v="Edição não Permitida"/>
        <m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Operações - CORP"/>
        <s v="Suporte Benner"/>
        <s v="Suporte KCS"/>
        <s v="INOVENTS"/>
        <s v="Operações - ZUPPER"/>
        <s v="Conciliação aérea"/>
        <s v="Operações - FCM"/>
        <s v="Operações - KONTRIP"/>
        <s v="Central de Emissão"/>
        <m/>
        <s v="Operações CORP" u="1"/>
      </sharedItems>
    </cacheField>
    <cacheField name="Dias (Data Inclusão)" numFmtId="0" databaseField="0">
      <fieldGroup base="3">
        <rangePr groupBy="days" startDate="2025-05-05T11:58:46" endDate="2025-08-13T06:05:06"/>
        <groupItems count="368">
          <s v="&lt;05/05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3/08/2025"/>
        </groupItems>
      </fieldGroup>
    </cacheField>
    <cacheField name="Meses (Data Inclusão)" numFmtId="0" databaseField="0">
      <fieldGroup base="3">
        <rangePr groupBy="months" startDate="2025-05-05T11:58:46" endDate="2025-08-13T06:05:06"/>
        <groupItems count="14">
          <s v="&lt;05/05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82.323697453707" createdVersion="8" refreshedVersion="8" minRefreshableVersion="3" recordCount="562" xr:uid="{00000000-000A-0000-FFFF-FFFF99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2130785" maxValue="22734794"/>
    </cacheField>
    <cacheField name="Handle ACC" numFmtId="0">
      <sharedItems containsString="0" containsBlank="1" containsNumber="1" containsInteger="1" minValue="23011274" maxValue="23531755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3-01-11T09:14:44" maxDate="2025-08-13T06:05:06" count="8000">
        <d v="2025-08-12T16:20:05"/>
        <d v="2025-08-11T19:07:55"/>
        <d v="2025-08-12T12:36:00"/>
        <d v="2025-08-12T12:36:12"/>
        <d v="2025-08-12T12:29:21"/>
        <d v="2025-08-13T06:05:06"/>
        <d v="2025-08-12T16:22:50"/>
        <d v="2025-08-05T00:04:41"/>
        <d v="2025-08-12T00:14:44"/>
        <d v="2025-08-12T09:44:11"/>
        <d v="2025-08-12T14:39:14"/>
        <d v="2025-08-13T00:42:22"/>
        <d v="2025-08-13T00:45:13"/>
        <d v="2025-08-12T22:44:19"/>
        <d v="2025-06-26T20:26:48"/>
        <d v="2025-08-05T22:38:34"/>
        <d v="2025-06-05T10:32:08"/>
        <d v="2025-08-12T09:01:47"/>
        <d v="2025-08-12T09:15:59"/>
        <d v="2025-08-12T09:16:13"/>
        <d v="2025-08-12T16:22:40"/>
        <d v="2025-08-12T16:23:07"/>
        <d v="2025-08-08T15:01:38"/>
        <d v="2025-08-11T17:47:23"/>
        <d v="2025-08-12T18:02:47"/>
        <d v="2025-08-05T10:01:59"/>
        <d v="2025-08-01T19:46:17"/>
        <d v="2025-08-06T10:16:40"/>
        <d v="2025-08-11T18:16:08"/>
        <d v="2025-08-11T18:16:16"/>
        <d v="2025-08-11T18:16:23"/>
        <d v="2025-08-07T09:01:50"/>
        <d v="2025-08-12T10:01:25"/>
        <d v="2025-08-12T16:23:13"/>
        <d v="2025-08-06T13:19:07"/>
        <d v="2025-08-12T18:32:27"/>
        <d v="2025-08-12T18:43:58"/>
        <d v="2025-08-12T18:20:43"/>
        <d v="2025-08-12T19:43:59"/>
        <d v="2025-08-12T20:39:56"/>
        <d v="2025-07-30T12:43:00"/>
        <d v="2025-08-05T15:42:10"/>
        <d v="2025-08-06T10:53:29"/>
        <d v="2025-08-06T13:47:55"/>
        <d v="2025-08-06T12:52:24"/>
        <d v="2025-08-07T11:52:07"/>
        <d v="2025-08-07T12:24:00"/>
        <d v="2025-08-07T12:41:55"/>
        <d v="2025-08-12T15:34:30"/>
        <d v="2025-08-12T15:48:30"/>
        <d v="2025-08-12T16:00:36"/>
        <d v="2025-08-12T12:46:12"/>
        <d v="2025-08-12T12:53:57"/>
        <d v="2025-08-12T12:32:28"/>
        <d v="2025-08-12T12:59:59"/>
        <d v="2025-08-12T17:40:30"/>
        <d v="2025-08-12T17:48:52"/>
        <d v="2025-08-12T17:32:02"/>
        <d v="2025-08-12T19:08:21"/>
        <d v="2025-08-12T18:56:39"/>
        <d v="2025-08-12T19:02:27"/>
        <d v="2025-08-12T16:22:00"/>
        <d v="2025-08-12T08:11:59"/>
        <d v="2025-08-12T10:16:32"/>
        <d v="2025-08-12T10:19:58"/>
        <d v="2025-08-12T14:57:53"/>
        <d v="2025-08-12T14:06:03"/>
        <d v="2025-08-12T14:18:01"/>
        <d v="2025-08-12T16:12:36"/>
        <d v="2025-08-12T16:12:39"/>
        <d v="2025-08-12T10:08:08"/>
        <d v="2025-08-12T18:39:58"/>
        <d v="2025-08-12T19:56:01"/>
        <d v="2025-08-12T08:31:26"/>
        <d v="2025-08-12T08:01:49"/>
        <d v="2025-08-12T13:16:44"/>
        <d v="2025-08-12T13:16:59"/>
        <d v="2025-08-12T13:17:11"/>
        <d v="2025-08-07T18:21:39"/>
        <d v="2025-07-31T18:50:17"/>
        <d v="2025-08-12T19:05:23"/>
        <d v="2025-08-01T19:21:00"/>
        <d v="2025-08-12T16:17:39"/>
        <d v="2025-08-12T16:20:18"/>
        <d v="2025-08-01T10:06:28"/>
        <d v="2025-08-12T08:20:55"/>
        <d v="2025-08-01T17:08:00"/>
        <d v="2025-08-07T15:06:30"/>
        <d v="2025-08-05T13:06:07"/>
        <d v="2025-08-11T09:06:30"/>
        <d v="2025-08-01T09:07:30"/>
        <d v="2025-05-05T11:58:46"/>
        <d v="2025-08-08T17:44:53"/>
        <d v="2025-08-11T10:45:26"/>
        <d v="2025-08-12T16:18:12"/>
        <d v="2025-08-12T12:20:09"/>
        <d v="2025-08-12T12:20:13"/>
        <d v="2025-08-12T12:20:17"/>
        <d v="2025-08-12T18:04:14"/>
        <d v="2025-08-12T18:04:15"/>
        <d v="2025-08-12T17:02:26"/>
        <d v="2025-08-12T14:01:43"/>
        <d v="2025-08-12T14:01:45"/>
        <d v="2025-08-12T12:01:25"/>
        <d v="2025-08-11T18:01:03"/>
        <d v="2025-08-11T18:01:39"/>
        <d v="2025-08-11T18:03:09"/>
        <d v="2025-08-12T17:02:27"/>
        <d v="2025-08-12T10:03:17"/>
        <d v="2025-08-12T10:03:18"/>
        <d v="2025-08-12T10:03:31"/>
        <d v="2025-08-12T16:00:56"/>
        <d v="2025-08-12T18:04:29"/>
        <d v="2025-08-12T18:04:30"/>
        <d v="2025-08-12T18:04:32"/>
        <d v="2025-08-12T18:04:33"/>
        <d v="2025-08-12T18:04:34"/>
        <d v="2025-08-11T18:02:41"/>
        <d v="2025-08-11T09:01:07"/>
        <d v="2025-08-11T09:01:54"/>
        <d v="2025-08-08T18:03:34"/>
        <d v="2025-08-11T11:02:23"/>
        <d v="2025-08-08T10:00:33"/>
        <d v="2025-07-30T18:00:39"/>
        <d v="2025-08-04T12:00:39"/>
        <d v="2025-08-04T12:00:42"/>
        <d v="2025-08-08T01:04:51"/>
        <d v="2025-08-12T00:16:52"/>
        <d v="2025-08-04T17:02:56"/>
        <d v="2025-08-04T17:04:45"/>
        <d v="2025-08-12T18:47:03"/>
        <d v="2025-08-12T18:47:06"/>
        <d v="2025-08-04T18:22:06"/>
        <d v="2025-08-11T18:27:05"/>
        <d v="2025-08-12T12:18:20"/>
        <d v="2025-08-13T00:16:27"/>
        <d v="2025-08-05T18:24:07"/>
        <d v="2025-08-13T00:21:50"/>
        <d v="2025-08-12T00:19:37"/>
        <d v="2025-08-12T18:56:38"/>
        <d v="2025-08-12T00:20:08"/>
        <d v="2025-08-11T19:07:07"/>
        <d v="2025-08-07T19:13:34"/>
        <d v="2025-08-07T19:13:42"/>
        <d v="2025-08-11T12:34:30"/>
        <d v="2025-08-01T18:48:28"/>
        <d v="2025-07-23T18:41:25"/>
        <d v="2025-08-06T00:16:49"/>
        <d v="2025-08-06T00:20:49"/>
        <d v="2025-08-11T00:03:44"/>
        <d v="2025-08-11T19:08:27"/>
        <d v="2025-08-12T19:03:17"/>
        <d v="2025-08-05T12:28:10"/>
        <d v="2025-07-30T12:58:31"/>
        <d v="2025-08-07T19:13:01"/>
        <d v="2025-08-07T19:13:08"/>
        <d v="2025-08-07T00:16:47"/>
        <d v="2025-08-06T00:20:27"/>
        <d v="2025-08-06T18:56:26"/>
        <d v="2025-08-12T12:35:37"/>
        <d v="2025-08-08T12:14:25"/>
        <d v="2025-08-12T18:20:24"/>
        <d v="2025-08-12T18:20:34"/>
        <d v="2025-07-24T18:18:12"/>
        <d v="2025-07-24T18:18:28"/>
        <d v="2025-08-12T18:20:45"/>
        <d v="2025-08-04T18:18:06"/>
        <d v="2025-07-28T18:23:36"/>
        <d v="2025-07-31T12:21:52"/>
        <d v="2025-08-12T18:25:54"/>
        <d v="2025-08-12T18:27:48"/>
        <d v="2025-08-12T18:28:00"/>
        <d v="2025-08-12T18:28:07"/>
        <d v="2025-08-12T18:28:13"/>
        <d v="2025-08-11T18:09:54"/>
        <d v="2025-08-11T18:10:07"/>
        <d v="2025-08-11T18:08:18"/>
        <d v="2025-08-11T18:08:19"/>
        <d v="2025-08-06T12:47:08"/>
        <d v="2025-08-06T16:27:13"/>
        <d v="2025-08-06T16:27:27"/>
        <d v="2025-08-11T18:09:18"/>
        <d v="2025-08-11T18:09:29"/>
        <d v="2025-08-05T16:11:09"/>
        <d v="2025-08-11T18:10:37"/>
        <d v="2025-08-11T18:10:38"/>
        <d v="2025-08-07T19:21:41"/>
        <d v="2025-08-07T16:47:09"/>
        <d v="2025-08-01T12:40:14"/>
        <d v="2025-08-11T18:06:49"/>
        <d v="2025-08-12T18:28:46"/>
        <d v="2025-08-12T18:28:49"/>
        <d v="2025-08-12T18:26:46"/>
        <d v="2025-08-13T00:23:31"/>
        <d v="2025-08-11T10:31:14"/>
        <d v="2025-08-11T17:17:19"/>
        <d v="2025-08-04T19:44:56"/>
        <d v="2025-08-11T19:37:00"/>
        <d v="2025-08-11T19:36:14"/>
        <d v="2025-08-11T19:37:49"/>
        <d v="2025-08-11T19:37:22"/>
        <d v="2025-08-11T19:38:21"/>
        <d v="2025-08-11T19:49:56"/>
        <d v="2025-08-11T19:50:02"/>
        <d v="2025-08-11T19:50:07"/>
        <d v="2025-08-11T19:38:11"/>
        <d v="2025-08-11T19:38:16"/>
        <d v="2025-08-11T19:37:06"/>
        <d v="2025-08-11T19:37:16"/>
        <d v="2025-08-11T19:36:38"/>
        <d v="2025-08-11T19:22:07"/>
        <d v="2025-08-11T19:50:12"/>
        <d v="2025-08-11T19:37:59"/>
        <d v="2025-08-12T19:06:00"/>
        <d v="2025-08-12T19:06:07"/>
        <d v="2025-08-12T18:50:33"/>
        <d v="2025-08-12T18:50:38"/>
        <d v="2025-08-12T18:50:43"/>
        <d v="2025-08-12T18:50:54"/>
        <d v="2025-08-06T13:30:24"/>
        <d v="2025-08-08T17:10:54"/>
        <d v="2025-08-04T18:07:43"/>
        <d v="2025-08-11T08:49:51"/>
        <d v="2025-08-06T16:06:00"/>
        <d v="2025-08-07T10:35:31"/>
        <d v="2025-08-07T15:06:47"/>
        <d v="2025-08-11T19:21:37"/>
        <d v="2025-08-11T19:21:43"/>
        <d v="2025-08-11T19:21:48"/>
        <d v="2025-08-11T19:21:52"/>
        <d v="2025-08-11T19:36:44"/>
        <d v="2025-08-11T19:37:43"/>
        <d v="2025-08-11T19:22:02"/>
        <d v="2025-08-11T19:36:20"/>
        <d v="2025-08-11T19:36:26"/>
        <d v="2025-08-11T19:36:32"/>
        <d v="2025-08-11T19:22:12"/>
        <d v="2025-08-11T19:36:01"/>
        <d v="2025-08-11T19:36:08"/>
        <d v="2025-08-12T17:50:40"/>
        <d v="2025-08-12T18:08:12"/>
        <d v="2025-08-12T18:20:21"/>
        <d v="2025-08-12T18:35:24"/>
        <d v="2025-08-12T19:05:53"/>
        <d v="2025-08-11T14:07:25"/>
        <d v="2025-08-10T15:20:36"/>
        <d v="2025-08-05T23:04:56"/>
        <d v="2025-08-12T15:37:28"/>
        <d v="2025-08-12T15:50:01"/>
        <d v="2025-08-12T17:25:46"/>
        <d v="2025-07-15T13:04:37"/>
        <d v="2025-08-06T18:14:24"/>
        <d v="2025-08-06T18:24:16"/>
        <d v="2025-08-04T16:06:35"/>
        <d v="2025-07-15T19:34:35"/>
        <d v="2025-07-16T18:44:21"/>
        <d v="2025-08-05T18:17:10"/>
        <d v="2025-08-05T18:17:15"/>
        <d v="2025-08-05T18:17:29"/>
        <d v="2025-08-05T18:17:34"/>
        <d v="2025-08-12T18:15:05"/>
        <d v="2025-08-08T19:12:20"/>
        <d v="2025-08-12T19:09:23"/>
        <d v="2025-08-12T19:07:34"/>
        <d v="2025-08-12T19:07:51"/>
        <d v="2025-08-12T19:08:28"/>
        <d v="2025-08-12T12:43:11"/>
        <d v="2025-08-07T12:54:43"/>
        <d v="2025-08-07T12:54:47"/>
        <d v="2025-08-12T19:08:50"/>
        <d v="2025-08-12T19:09:14"/>
        <d v="2025-08-12T19:09:26"/>
        <d v="2025-08-12T19:09:30"/>
        <d v="2025-08-12T10:04:51"/>
        <d v="2025-08-12T10:04:54"/>
        <d v="2025-08-08T09:56:37"/>
        <d v="2025-08-11T09:14:15"/>
        <d v="2025-08-07T15:10:56"/>
        <d v="2025-07-16T18:54:16"/>
        <d v="2025-07-18T11:16:33"/>
        <d v="2025-08-12T10:15:54"/>
        <d v="2025-08-04T18:14:40"/>
        <d v="2025-08-05T08:04:49"/>
        <d v="2025-08-12T16:07:08"/>
        <d v="2025-08-12T16:19:27"/>
        <d v="2025-08-12T18:02:32"/>
        <d v="2025-08-12T17:02:44"/>
        <d v="2025-08-12T17:02:51"/>
        <d v="2025-08-12T10:01:48"/>
        <d v="2025-08-12T12:18:08"/>
        <d v="2025-08-12T00:10:50"/>
        <d v="2025-08-08T12:15:30"/>
        <d v="2025-08-11T12:16:43"/>
        <d v="2025-08-11T12:16:50"/>
        <d v="2025-07-30T10:01:00"/>
        <d v="2025-07-29T09:01:00"/>
        <d v="2025-07-29T09:01:02"/>
        <d v="2025-07-29T09:01:04"/>
        <d v="2025-07-31T10:00:41"/>
        <d v="2025-07-31T10:00:42"/>
        <d v="2025-07-31T10:00:45"/>
        <d v="2025-07-31T10:00:46"/>
        <d v="2025-07-31T10:00:47"/>
        <d v="2025-07-31T10:00:50"/>
        <d v="2025-07-24T15:00:38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7-01T17:02:22"/>
        <d v="2025-07-16T18:04:07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8-11T09:00:58"/>
        <d v="2025-08-11T09:01:03"/>
        <d v="2025-08-04T09:02:14"/>
        <d v="2025-08-04T12:01:06"/>
        <d v="2025-08-05T17:00:33"/>
        <d v="2025-08-08T17:03:26"/>
        <d v="2025-08-11T12:02:50"/>
        <d v="2025-08-06T12:06:03"/>
        <d v="2025-08-04T16:02:23"/>
        <d v="2025-08-04T09:01:34"/>
        <d v="2025-07-30T09:03:42"/>
        <d v="2025-07-31T16:06:17"/>
        <d v="2025-07-31T16:06:18"/>
        <d v="2025-07-08T11:01:08"/>
        <d v="2025-07-08T16:02:56"/>
        <d v="2025-08-12T16:02:16"/>
        <d v="2025-08-11T21:01:05"/>
        <d v="2025-08-12T19:01:00"/>
        <d v="2025-08-07T14:02:47"/>
        <d v="2025-08-07T14:03:52"/>
        <d v="2025-08-12T14:01:23"/>
        <d v="2025-08-12T16:02:18"/>
        <d v="2025-08-12T16:01:31"/>
        <d v="2025-08-05T14:17:44"/>
        <d v="2025-08-05T14:17:45"/>
        <d v="2025-08-06T18:24:15"/>
        <d v="2025-08-13T06:04:49"/>
        <d v="2025-08-13T06:04:52"/>
        <d v="2025-08-11T18:39:05"/>
        <d v="2025-08-12T18:37:12"/>
        <d v="2025-08-12T18:38:45"/>
        <d v="2025-07-15T18:43:42"/>
        <d v="2025-08-04T12:26:02"/>
        <d v="2025-08-08T12:27:05"/>
        <d v="2025-08-08T18:47:15"/>
        <d v="2025-08-08T18:47:16"/>
        <d v="2025-08-11T18:47:05"/>
        <d v="2025-08-11T12:26:35"/>
        <d v="2025-07-24T18:35:00"/>
        <d v="2025-07-25T12:21:23"/>
        <d v="2025-07-23T11:02:26"/>
        <d v="2025-08-06T19:17:59"/>
        <d v="2025-08-06T15:31:52"/>
        <d v="2025-08-06T15:31:58"/>
        <d v="2025-08-06T15:32:04"/>
        <d v="2025-08-06T12:01:20"/>
        <d v="2025-08-05T16:02:13"/>
        <d v="2025-08-11T15:02:59"/>
        <d v="2025-08-11T15:16:14"/>
        <d v="2025-08-11T10:16:16"/>
        <d v="2025-08-07T18:17:29"/>
        <d v="2025-08-12T16:45:52"/>
        <d v="2025-08-12T18:01:07"/>
        <d v="2025-08-12T17:01:06"/>
        <d v="2025-08-08T10:15:55"/>
        <d v="2025-08-08T10:46:54"/>
        <d v="2025-08-11T17:31:40"/>
        <d v="2025-08-08T17:32:46"/>
        <d v="2025-08-08T17:32:53"/>
        <d v="2025-08-08T17:33:00"/>
        <d v="2025-08-07T19:00:48"/>
        <d v="2025-08-06T15:32:23"/>
        <d v="2025-08-12T11:46:25"/>
        <d v="2025-08-12T09:01:09"/>
        <d v="2025-08-12T16:45:34"/>
        <d v="2025-08-08T15:45:44"/>
        <d v="2025-08-08T12:15:38"/>
        <d v="2025-08-12T15:01:44"/>
        <d v="2025-08-12T16:22:45"/>
        <d v="2025-08-04T16:15:52"/>
        <d v="2025-08-11T13:46:16"/>
        <d v="2025-08-01T17:45:49"/>
        <d v="2025-08-06T14:16:25"/>
        <d v="2025-08-06T14:16:30"/>
        <d v="2025-08-06T14:31:15"/>
        <d v="2025-08-05T09:31:41"/>
        <d v="2025-08-04T18:45:50"/>
        <d v="2025-08-12T12:01:44"/>
        <d v="2025-08-12T12:02:14"/>
        <d v="2025-08-12T12:02:38"/>
        <d v="2025-08-12T11:46:50"/>
        <d v="2025-08-12T18:45:38"/>
        <d v="2025-08-08T12:16:18"/>
        <d v="2025-08-08T15:45:51"/>
        <d v="2025-08-07T18:16:44"/>
        <d v="2025-08-05T13:46:34"/>
        <d v="2025-08-08T15:46:01"/>
        <d v="2025-08-07T18:17:38"/>
        <d v="2025-08-08T10:46:44"/>
        <d v="2025-08-11T16:01:14"/>
        <d v="2025-08-11T10:01:31"/>
        <d v="2025-08-01T15:18:06"/>
        <d v="2025-08-12T16:21:10"/>
        <d v="2025-08-12T16:21:35"/>
        <d v="2025-08-08T10:17:56"/>
        <d v="2025-08-04T11:41:37"/>
        <d v="2025-08-04T11:41:40"/>
        <d v="2025-08-12T17:49:51"/>
        <d v="2025-08-08T16:20:09"/>
        <d v="2025-07-28T16:31:41"/>
        <d v="2025-08-07T18:50:06"/>
        <d v="2025-08-07T13:05:47"/>
        <d v="2025-08-01T17:35:33"/>
        <d v="2025-08-01T10:05:44"/>
        <d v="2025-08-12T18:43:44"/>
        <d v="2025-07-29T16:07:10"/>
        <d v="2025-07-29T16:16:28"/>
        <d v="2025-08-12T12:54:45"/>
        <d v="2025-08-12T12:44:21"/>
        <d v="2025-08-04T18:04:40"/>
        <d v="2025-08-07T18:12:51"/>
        <d v="2025-08-07T18:07:49"/>
        <d v="2025-08-11T12:02:41"/>
        <d v="2025-08-11T18:05:28"/>
        <d v="2025-08-06T18:11:10"/>
        <d v="2025-08-07T18:11:47"/>
        <d v="2025-08-05T18:04:11"/>
        <d v="2025-08-08T12:04:03"/>
        <d v="2025-08-13T00:18:23"/>
        <d v="2025-08-12T12:34:10"/>
        <d v="2025-08-05T18:41:15"/>
        <d v="2025-08-13T00:18:13"/>
        <d v="2025-08-12T00:15:20"/>
        <d v="2025-08-12T00:15:24"/>
        <d v="2025-08-12T00:15:28"/>
        <d v="2025-08-12T00:15:45"/>
        <d v="2025-08-05T00:15:53"/>
        <d v="2025-08-06T00:11:09"/>
        <d v="2025-08-06T18:30:16"/>
        <d v="2025-08-12T00:12:04"/>
        <d v="2025-08-12T12:23:06"/>
        <d v="2025-08-12T12:23:12"/>
        <d v="2025-08-12T12:23:18"/>
        <d v="2025-08-12T12:23:22"/>
        <d v="2025-08-13T06:02:50"/>
        <d v="2025-07-18T14:10:51"/>
        <d v="2025-07-10T12:14:46"/>
        <d v="2025-08-12T14:24:26"/>
        <d v="2025-07-30T12:44:22"/>
        <d v="2025-07-29T18:26:16"/>
        <d v="2025-07-25T18:28:35"/>
        <d v="2025-08-12T19:04:02"/>
        <d v="2025-08-08T12:41:37"/>
        <d v="2025-08-05T18:56:07"/>
        <d v="2025-08-12T15:06:01"/>
        <d v="2025-07-25T15:55:33"/>
        <d v="2025-08-12T18:15:57"/>
        <d v="2025-08-11T18:06:22"/>
        <d v="2025-08-11T18:20:31"/>
        <d v="2025-08-11T16:21:27"/>
        <d v="2025-08-11T15:36:06"/>
        <d v="2025-08-08T16:21:08"/>
        <d v="2025-08-11T11:37:25"/>
        <d v="2025-08-11T11:50:19"/>
        <d v="2025-08-11T13:20:57"/>
        <d v="2025-08-07T17:09:00"/>
        <d v="2025-08-07T09:20:28"/>
        <d v="2025-08-07T12:51:23"/>
        <d v="2025-08-06T15:37:53"/>
        <d v="2025-07-30T13:20:32"/>
        <d v="2025-07-29T11:05:14"/>
        <d v="2025-08-12T17:50:52"/>
        <d v="2025-08-12T17:35:43"/>
        <d v="2025-08-12T17:35:52"/>
        <d v="2025-08-12T17:21:17"/>
        <d v="2025-08-12T17:21:22"/>
        <d v="2025-08-12T18:08:58"/>
        <d v="2025-08-12T13:35:26"/>
        <d v="2025-08-12T13:05:14"/>
        <d v="2025-08-12T09:50:00"/>
        <d v="2025-08-12T11:35:19"/>
        <d v="2025-08-11T18:50:14"/>
        <d v="2025-08-12T18:03:01"/>
        <d v="2025-08-12T18:51:17"/>
        <d v="2025-08-07T12:41:08"/>
        <d v="2025-08-04T12:26:38"/>
        <d v="2025-08-06T12:34:39"/>
        <d v="2025-08-12T12:11:48"/>
        <d v="2025-08-12T12:11:51"/>
        <d v="2025-08-12T18:10:23"/>
        <d v="2025-08-13T00:09:51"/>
        <d v="2025-08-13T00:09:15"/>
        <d v="2025-08-13T00:09:30"/>
        <d v="2025-08-13T00:09:33"/>
        <d v="2025-08-12T12:11:38"/>
        <d v="2025-08-06T12:10:35"/>
        <d v="2025-08-06T12:10:39"/>
        <d v="2025-08-06T12:10:40"/>
        <d v="2025-08-13T00:09:41"/>
        <d v="2025-08-13T00:09:48"/>
        <d v="2025-08-13T00:09:53"/>
        <d v="2025-08-13T00:09:57"/>
        <d v="2025-08-13T00:10:12"/>
        <d v="2025-08-13T00:10:15"/>
        <d v="2025-08-12T18:10:36"/>
        <d v="2025-08-07T14:02:20"/>
        <m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7-25T17:02:24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8-04T15:53:01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7-30T17:46:31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3-31T11:32:4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6-17T05:56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  <d v="2025-07-02T10:50:48" u="1"/>
        <d v="2025-07-02T08:35:03" u="1"/>
        <d v="2025-07-03T13:22:36" u="1"/>
        <d v="2025-07-03T13:35:52" u="1"/>
        <d v="2025-07-03T10:20:50" u="1"/>
        <d v="2025-07-04T13:38:42" u="1"/>
        <d v="2025-07-04T16:41:46" u="1"/>
        <d v="2025-07-04T16:41:50" u="1"/>
        <d v="2025-07-04T10:35:23" u="1"/>
        <d v="2025-07-04T10:35:28" u="1"/>
        <d v="2025-07-04T11:35:47" u="1"/>
        <d v="2025-07-04T12:36:07" u="1"/>
        <d v="2025-07-07T16:50:41" u="1"/>
        <d v="2025-07-08T12:21:49" u="1"/>
        <d v="2025-07-08T12:21:54" u="1"/>
        <d v="2025-07-08T12:35:36" u="1"/>
        <d v="2025-07-08T09:35:49" u="1"/>
        <d v="2025-07-08T11:51:04" u="1"/>
        <d v="2025-07-08T11:05:13" u="1"/>
        <d v="2025-07-10T17:22:33" u="1"/>
        <d v="2025-07-10T17:50:23" u="1"/>
        <d v="2025-07-10T16:07:20" u="1"/>
        <d v="2025-07-10T16:36:26" u="1"/>
        <d v="2025-07-11T12:21:36" u="1"/>
        <d v="2025-07-03T16:06:42" u="1"/>
        <d v="2025-07-11T11:15:41" u="1"/>
        <d v="2025-07-11T18:33:21" u="1"/>
        <d v="2025-07-11T18:33:22" u="1"/>
        <d v="2025-07-11T19:16:51" u="1"/>
        <d v="2025-07-11T19:00:27" u="1"/>
        <d v="2025-07-11T19:00:31" u="1"/>
        <d v="2025-06-21T21:42:20" u="1"/>
        <d v="2025-06-23T12:01:12" u="1"/>
        <d v="2025-07-09T18:04:59" u="1"/>
        <d v="2025-07-11T19:32:27" u="1"/>
        <d v="2025-07-11T17:47:15" u="1"/>
        <d v="2025-07-10T14:58:25" u="1"/>
        <d v="2025-07-11T11:16:19" u="1"/>
        <d v="2025-07-11T11:16:25" u="1"/>
        <d v="2025-07-11T13:45:36" u="1"/>
        <d v="2025-07-11T11:16:36" u="1"/>
        <d v="2025-07-11T10:45:55" u="1"/>
        <d v="2025-07-11T13:45:41" u="1"/>
        <d v="2025-07-11T13:48:42" u="1"/>
        <d v="2025-07-11T17:17:22" u="1"/>
        <d v="2025-07-11T21:32:25" u="1"/>
        <d v="2025-07-11T17:35:23" u="1"/>
        <d v="2025-07-11T08:31:54" u="1"/>
        <d v="2025-07-11T17:17:11" u="1"/>
        <d v="2025-07-11T13:17:27" u="1"/>
        <d v="2025-07-09T18:40:53" u="1"/>
        <d v="2025-07-11T19:32:31" u="1"/>
        <d v="2025-06-11T05:49:51" u="1"/>
        <d v="2025-07-11T17:47:10" u="1"/>
        <d v="2025-06-26T21:56:03" u="1"/>
        <d v="2025-06-21T21:45:19" u="1"/>
        <d v="2025-07-11T16:25:14" u="1"/>
        <d v="2025-06-23T15:06:30" u="1"/>
        <d v="2025-06-21T21:43:58" u="1"/>
        <d v="2025-07-11T17:47:28" u="1"/>
        <d v="2025-07-11T17:47:38" u="1"/>
        <d v="2025-07-11T17:47:48" u="1"/>
        <d v="2025-06-26T22:15:31" u="1"/>
        <d v="2025-06-26T21:35:09" u="1"/>
        <d v="2025-07-10T19:22:40" u="1"/>
        <d v="2025-05-27T19:44:18" u="1"/>
        <d v="2025-07-11T11:36:06" u="1"/>
        <d v="2025-07-11T11:36:07" u="1"/>
        <d v="2025-07-11T11:45:10" u="1"/>
        <d v="2025-06-27T09:44:59" u="1"/>
        <d v="2025-06-23T15:06:26" u="1"/>
        <d v="2025-07-11T19:33:51" u="1"/>
        <d v="2025-07-09T18:26:40" u="1"/>
        <d v="2025-07-11T15:40:34" u="1"/>
        <d v="2025-06-12T12:29:20" u="1"/>
        <d v="2025-06-12T12:29:42" u="1"/>
        <d v="2025-07-02T10:50:52" u="1"/>
        <d v="2025-07-02T13:07:00" u="1"/>
        <d v="2025-07-02T13:20:46" u="1"/>
        <d v="2025-07-02T11:11:15" u="1"/>
        <d v="2025-07-02T11:11:19" u="1"/>
        <d v="2025-06-30T21:02:43" u="1"/>
        <d v="2025-06-29T06:05:49" u="1"/>
        <d v="2025-06-28T19:39:25" u="1"/>
        <d v="2025-06-27T12:51:31" u="1"/>
        <d v="2025-06-30T21:09:07" u="1"/>
        <d v="2025-07-07T19:01:55" u="1"/>
        <d v="2025-07-07T19:02:00" u="1"/>
        <d v="2025-07-07T14:50:29" u="1"/>
        <d v="2025-07-07T18:56:05" u="1"/>
        <d v="2025-07-07T18:56:12" u="1"/>
        <d v="2025-07-08T12:36:01" u="1"/>
        <d v="2025-07-10T12:24:53" u="1"/>
        <d v="2025-07-04T17:16:53" u="1"/>
        <d v="2025-07-08T09:16:13" u="1"/>
        <d v="2025-07-08T07:00:26" u="1"/>
        <d v="2025-07-08T15:03:16" u="1"/>
        <d v="2025-07-08T12:32:19" u="1"/>
        <d v="2025-07-10T12:33:54" u="1"/>
        <d v="2025-07-09T10:05:54" u="1"/>
        <d v="2025-07-03T15:07:18" u="1"/>
        <d v="2025-07-02T16:56:22" u="1"/>
        <d v="2025-07-04T17:47:27" u="1"/>
        <d v="2025-07-07T18:06:02" u="1"/>
        <d v="2025-07-07T17:25:37" u="1"/>
        <d v="2025-07-07T17:25:38" u="1"/>
        <d v="2025-07-07T17:25:39" u="1"/>
        <d v="2025-07-07T17:25:40" u="1"/>
        <d v="2025-07-07T17:25:41" u="1"/>
        <d v="2025-07-07T17:25:42" u="1"/>
        <d v="2025-07-07T17:25:43" u="1"/>
        <d v="2025-07-10T14:25:15" u="1"/>
        <d v="2025-07-10T12:36:10" u="1"/>
        <d v="2025-07-10T12:37:19" u="1"/>
        <d v="2025-07-10T19:21:25" u="1"/>
        <d v="2025-07-10T12:22:01" u="1"/>
        <d v="2025-07-08T18:49:51" u="1"/>
        <d v="2025-07-10T14:20:09" u="1"/>
        <d v="2025-07-10T14:04:50" u="1"/>
        <d v="2025-07-09T14:16:35" u="1"/>
        <d v="2025-07-09T14:16:45" u="1"/>
        <d v="2025-07-09T11:31:12" u="1"/>
        <d v="2025-07-10T17:07:55" u="1"/>
        <d v="2025-07-10T16:50:09" u="1"/>
        <d v="2025-07-09T11:33:21" u="1"/>
        <d v="2025-07-10T18:32:31" u="1"/>
        <d v="2025-07-10T18:32:37" u="1"/>
        <d v="2025-07-10T12:13:45" u="1"/>
        <d v="2025-07-10T13:01:47" u="1"/>
        <d v="2025-07-10T17:08:38" u="1"/>
        <d v="2025-07-10T18:50:13" u="1"/>
        <d v="2025-07-10T18:53:44" u="1"/>
        <d v="2025-07-10T09:31:01" u="1"/>
        <d v="2025-07-10T11:16:07" u="1"/>
        <d v="2025-07-10T15:35:45" u="1"/>
        <d v="2025-07-09T15:47:45" u="1"/>
        <d v="2025-07-10T16:02:46" u="1"/>
        <d v="2025-07-10T16:17:16" u="1"/>
        <d v="2025-07-10T18:02:40" u="1"/>
        <d v="2025-07-10T18:26:28" u="1"/>
        <d v="2025-07-10T16:03:36" u="1"/>
        <d v="2025-07-10T16:03:45" u="1"/>
        <d v="2025-07-10T14:03:59" u="1"/>
        <d v="2025-07-10T14:05:04" u="1"/>
        <d v="2025-07-10T14:05:05" u="1"/>
        <d v="2025-07-10T10:02:13" u="1"/>
        <d v="2025-07-09T16:03:02" u="1"/>
        <d v="2025-07-10T16:03:17" u="1"/>
        <d v="2025-07-10T18:37:36" u="1"/>
        <d v="2025-07-10T15:35:13" u="1"/>
        <d v="2025-07-10T16:06:44" u="1"/>
        <d v="2025-07-10T12:02:58" u="1"/>
        <d v="2025-07-10T18:02:11" u="1"/>
        <d v="2025-07-10T18:01:56" u="1"/>
        <d v="2025-07-10T12:11:35" u="1"/>
        <d v="2025-07-09T12:27:00" u="1"/>
        <d v="2025-07-10T18:07:51" u="1"/>
        <d v="2025-07-10T18:08:13" u="1"/>
        <d v="2025-07-09T18:19:06" u="1"/>
        <d v="2025-07-10T14:40:01" u="1"/>
        <d v="2025-07-10T10:44:03" u="1"/>
        <d v="2025-07-10T09:38:26" u="1"/>
        <d v="2025-07-10T17:02:20" u="1"/>
        <d v="2025-07-10T16:02:28" u="1"/>
        <d v="2025-07-10T11:22:19" u="1"/>
        <d v="2025-07-10T18:30:34" u="1"/>
        <d v="2025-07-10T14:47:54" u="1"/>
        <d v="2025-07-10T09:51:50" u="1"/>
        <d v="2025-07-09T08:15:56" u="1"/>
        <d v="2025-07-09T08:17:53" u="1"/>
        <d v="2025-07-10T14:53:53" u="1"/>
        <d v="2025-07-04T12:23:08" u="1"/>
        <d v="2025-07-03T18:26:44" u="1"/>
        <d v="2025-07-10T17:09:58" u="1"/>
        <d v="2025-07-10T08:10:53" u="1"/>
        <d v="2025-07-10T15:43:56" u="1"/>
        <d v="2025-07-10T11:55:56" u="1"/>
        <d v="2025-07-10T16:58:01" u="1"/>
        <d v="2025-07-10T13:23:54" u="1"/>
        <d v="2025-07-09T17:33:56" u="1"/>
        <d v="2025-07-10T15:23:58" u="1"/>
        <d v="2025-07-10T15:29:57" u="1"/>
        <d v="2025-07-10T15:02:10" u="1"/>
        <d v="2025-07-09T18:59:54" u="1"/>
        <d v="2025-07-09T17:24:05" u="1"/>
        <d v="2025-07-09T12:05:54" u="1"/>
        <d v="2025-07-10T17:00:00" u="1"/>
        <d v="2025-07-10T16:48:01" u="1"/>
        <d v="2025-07-10T12:44:29" u="1"/>
        <d v="2025-07-09T15:09:51" u="1"/>
        <d v="2025-07-10T00:14:26" u="1"/>
        <d v="2025-07-10T17:07:51" u="1"/>
        <d v="2025-07-09T09:59:52" u="1"/>
        <d v="2025-07-09T09:56:04" u="1"/>
        <d v="2025-07-09T09:44:02" u="1"/>
        <d v="2025-07-09T09:44:03" u="1"/>
        <d v="2025-07-09T09:18:05" u="1"/>
        <d v="2025-07-09T09:21:55" u="1"/>
        <d v="2025-07-10T16:23:57" u="1"/>
        <d v="2025-07-09T09:49:54" u="1"/>
        <d v="2025-07-09T09:51:55" u="1"/>
        <d v="2025-07-10T12:35:21" u="1"/>
        <d v="2025-07-09T16:35:54" u="1"/>
        <d v="2025-07-09T10:36:31" u="1"/>
        <d v="2025-07-10T16:34:08" u="1"/>
        <d v="2025-07-10T13:25:00" u="1"/>
        <d v="2025-07-10T13:25:01" u="1"/>
        <d v="2025-07-10T13:25:13" u="1"/>
        <d v="2025-07-10T13:25:14" u="1"/>
        <d v="2025-07-09T18:24:28" u="1"/>
        <d v="2025-07-09T18:24:29" u="1"/>
        <d v="2025-07-09T18:24:30" u="1"/>
        <d v="2025-07-10T12:21:44" u="1"/>
        <d v="2025-07-10T18:31:07" u="1"/>
        <d v="2025-07-10T18:31:19" u="1"/>
        <d v="2025-07-10T10:50:17" u="1"/>
        <d v="2025-07-10T19:35:32" u="1"/>
        <d v="2025-07-10T19:19:41" u="1"/>
        <d v="2025-07-10T19:19:42" u="1"/>
        <d v="2025-07-11T00:23:45" u="1"/>
        <d v="2025-07-10T19:17:09" u="1"/>
        <d v="2025-07-10T19:19:48" u="1"/>
        <d v="2025-07-10T19:19:54" u="1"/>
        <d v="2025-07-10T19:19:59" u="1"/>
        <d v="2025-07-10T19:20:12" u="1"/>
        <d v="2025-07-10T19:13:16" u="1"/>
        <d v="2025-07-10T18:08:15" u="1"/>
        <d v="2025-07-10T18:08:28" u="1"/>
        <d v="2025-07-10T18:35:02" u="1"/>
        <d v="2025-07-10T12:14:00" u="1"/>
        <d v="2025-07-10T12:15:06" u="1"/>
        <d v="2025-07-10T18:33:30" u="1"/>
        <d v="2025-07-11T00:17:45" u="1"/>
        <d v="2025-07-11T00:16:02" u="1"/>
        <d v="2025-07-10T21:03:39" u="1"/>
        <d v="2025-07-10T19:04:05" u="1"/>
        <d v="2025-07-11T00:09:59" u="1"/>
        <d v="2025-07-11T06:01:36" u="1"/>
        <d v="2025-07-10T19:09:18" u="1"/>
        <d v="2025-07-11T01:32:14" u="1"/>
        <d v="2025-07-11T01:32:28" u="1"/>
        <d v="2025-07-11T01:16:52" u="1"/>
        <d v="2025-07-11T01:32:02" u="1"/>
        <d v="2025-07-09T00:18:13" u="1"/>
        <d v="2025-07-08T18:33:48" u="1"/>
        <d v="2025-07-10T19:15:56" u="1"/>
        <d v="2025-07-11T01:16:45" u="1"/>
        <d v="2025-07-10T19:05:14" u="1"/>
        <d v="2025-07-10T20:29:24" u="1"/>
        <d v="2025-07-01T12:01:05" u="1"/>
        <d v="2025-07-01T08:35:36" u="1"/>
        <d v="2025-07-01T09:34:56" u="1"/>
        <d v="2025-07-01T18:36:41" u="1"/>
        <d v="2025-07-02T00:15:44" u="1"/>
        <d v="2025-07-01T08:26:07" u="1"/>
        <d v="2025-06-30T18:56:40" u="1"/>
        <d v="2025-07-02T00:15:49" u="1"/>
        <d v="2025-07-01T18:36:42" u="1"/>
        <d v="2025-07-01T18:37:22" u="1"/>
        <d v="2025-07-01T16:36:17" u="1"/>
        <d v="2025-07-01T16:36:22" u="1"/>
        <d v="2025-07-01T16:54:03" u="1"/>
        <d v="2025-07-01T15:37:35" u="1"/>
        <d v="2025-06-30T12:39:14" u="1"/>
        <d v="2025-06-30T15:27:23" u="1"/>
        <d v="2025-06-30T17:12:35" u="1"/>
        <d v="2025-06-30T17:29:03" u="1"/>
        <d v="2025-07-02T09:47:20" u="1"/>
        <d v="2025-07-03T11:16:31" u="1"/>
        <d v="2025-07-03T11:16:35" u="1"/>
        <d v="2025-07-03T12:02:11" u="1"/>
        <d v="2025-07-07T12:31:48" u="1"/>
        <d v="2025-07-03T23:21:12" u="1"/>
        <d v="2025-07-07T16:08:14" u="1"/>
        <d v="2025-07-04T13:20:55" u="1"/>
        <d v="2025-07-04T13:21:09" u="1"/>
        <d v="2025-07-04T17:06:11" u="1"/>
        <d v="2025-07-03T16:35:45" u="1"/>
        <d v="2025-07-07T09:20:14" u="1"/>
        <d v="2025-07-07T18:52:12" u="1"/>
        <d v="2025-07-04T14:45:58" u="1"/>
        <d v="2025-07-07T18:01:56" u="1"/>
        <d v="2025-07-07T18:01:57" u="1"/>
        <d v="2025-07-07T12:30:23" u="1"/>
        <d v="2025-07-07T12:30:25" u="1"/>
        <d v="2025-07-07T12:30:28" u="1"/>
        <d v="2025-07-07T12:30:30" u="1"/>
        <d v="2025-07-07T12:30:44" u="1"/>
        <d v="2025-07-07T12:30:59" u="1"/>
        <d v="2025-07-07T16:01:33" u="1"/>
        <d v="2025-07-07T13:03:39" u="1"/>
        <d v="2025-07-02T10:50:44" u="1"/>
        <d v="2025-07-03T18:36:43" u="1"/>
        <d v="2025-07-04T18:28:34" u="1"/>
        <d v="2025-07-04T12:21:54" u="1"/>
        <d v="2025-07-04T12:22:04" u="1"/>
        <d v="2025-07-04T12:22:18" u="1"/>
        <d v="2025-07-04T12:22:35" u="1"/>
        <d v="2025-07-02T18:22:12" u="1"/>
        <d v="2025-07-03T18:35:37" u="1"/>
        <d v="2025-07-07T10:43:44" u="1"/>
        <d v="2025-07-03T00:16:01" u="1"/>
        <d v="2025-07-07T14:43:19" u="1"/>
        <d v="2025-07-07T10:56:58" u="1"/>
        <d v="2025-07-07T10:57:01" u="1"/>
        <d v="2025-07-04T15:15:45" u="1"/>
        <d v="2025-07-03T18:20:11" u="1"/>
        <d v="2025-07-07T17:07:29" u="1"/>
        <d v="2025-07-07T12:05:25" u="1"/>
        <d v="2025-07-02T18:39:20" u="1"/>
        <d v="2025-07-04T08:12:27" u="1"/>
        <d v="2025-07-07T12:20:02" u="1"/>
        <d v="2025-07-08T12:55:10" u="1"/>
        <d v="2025-07-07T18:44:51" u="1"/>
        <d v="2025-07-07T18:44:55" u="1"/>
        <d v="2025-07-07T18:47:29" u="1"/>
        <d v="2025-07-07T18:38:18" u="1"/>
        <d v="2025-07-07T18:37:46" u="1"/>
        <d v="2025-07-07T18:37:52" u="1"/>
        <d v="2025-07-07T18:37:58" u="1"/>
        <d v="2025-07-07T18:38:05" u="1"/>
        <d v="2025-07-07T18:38:12" u="1"/>
        <d v="2025-07-07T18:31:14" u="1"/>
        <d v="2025-07-09T06:03:08" u="1"/>
        <d v="2025-07-08T00:12:48" u="1"/>
        <d v="2025-07-08T12:34:19" u="1"/>
        <d v="2025-07-08T19:00:38" u="1"/>
        <d v="2025-07-08T12:35:13" u="1"/>
        <d v="2025-07-08T13:20:26" u="1"/>
        <d v="2025-07-09T11:01:08" u="1"/>
        <d v="2025-07-09T11:01:13" u="1"/>
        <d v="2025-07-09T11:01:17" u="1"/>
        <d v="2025-07-09T11:01:21" u="1"/>
        <d v="2025-07-09T11:01:25" u="1"/>
        <d v="2025-07-09T11:16:09" u="1"/>
        <d v="2025-07-08T12:45:38" u="1"/>
        <d v="2025-07-08T12:45:43" u="1"/>
        <d v="2025-07-08T10:03:13" u="1"/>
        <d v="2025-07-08T08:01:35" u="1"/>
        <d v="2025-07-07T18:02:04" u="1"/>
        <d v="2025-07-08T17:01:05" u="1"/>
        <d v="2025-07-08T15:01:43" u="1"/>
        <d v="2025-07-09T10:00:46" u="1"/>
        <d v="2025-07-09T10:00:48" u="1"/>
        <d v="2025-07-09T11:00:27" u="1"/>
        <d v="2025-07-08T18:41:16" u="1"/>
        <d v="2025-07-08T18:41:38" u="1"/>
        <d v="2025-07-08T18:42:33" u="1"/>
        <d v="2025-07-07T18:40:50" u="1"/>
        <d v="2025-07-09T11:03:08" u="1"/>
        <d v="2025-07-08T15:03:00" u="1"/>
        <d v="2025-07-08T18:02:27" u="1"/>
        <d v="2025-07-08T18:02:28" u="1"/>
        <d v="2025-07-08T19:02:31" u="1"/>
        <d v="2025-07-08T19:02:34" u="1"/>
        <d v="2025-07-08T17:02:23" u="1"/>
        <d v="2025-07-07T18:26:07" u="1"/>
        <d v="2025-07-07T18:26:12" u="1"/>
        <d v="2025-07-08T18:44:16" u="1"/>
        <d v="2025-07-08T18:44:18" u="1"/>
        <d v="2025-07-08T18:43:04" u="1"/>
        <d v="2025-07-08T18:03:34" u="1"/>
        <d v="2025-07-08T00:09:13" u="1"/>
        <d v="2025-07-07T18:06:41" u="1"/>
        <d v="2025-07-09T00:17:34" u="1"/>
        <d v="2025-07-09T00:17:37" u="1"/>
        <d v="2025-07-07T18:27:50" u="1"/>
        <d v="2025-07-08T12:20:36" u="1"/>
        <d v="2025-07-08T19:05:11" u="1"/>
        <d v="2025-07-07T19:07:46" u="1"/>
        <d v="2025-07-07T19:08:41" u="1"/>
        <d v="2025-07-07T19:08:44" u="1"/>
        <d v="2025-07-07T19:08:50" u="1"/>
        <d v="2025-07-08T12:38:35" u="1"/>
        <d v="2025-07-08T09:15:17" u="1"/>
        <d v="2025-07-08T15:31:55" u="1"/>
        <d v="2025-07-08T18:29:12" u="1"/>
        <d v="2025-07-08T12:21:12" u="1"/>
        <d v="2025-07-07T18:28:46" u="1"/>
        <d v="2025-07-08T09:49:45" u="1"/>
        <d v="2025-07-08T09:49:57" u="1"/>
        <d v="2025-07-08T09:50:01" u="1"/>
        <d v="2025-07-08T12:29:13" u="1"/>
        <d v="2025-07-08T18:45:20" u="1"/>
        <d v="2025-07-07T18:44:31" u="1"/>
        <d v="2025-07-08T18:45:44" u="1"/>
        <d v="2025-07-08T18:46:02" u="1"/>
        <d v="2025-07-08T12:30:17" u="1"/>
        <d v="2025-07-08T12:08:09" u="1"/>
        <d v="2025-07-08T12:09:01" u="1"/>
        <d v="2025-07-08T12:09:31" u="1"/>
        <d v="2025-07-08T12:09:35" u="1"/>
        <d v="2025-07-08T12:09:39" u="1"/>
        <d v="2025-07-08T09:49:53" u="1"/>
        <d v="2025-07-08T17:02:44" u="1"/>
        <d v="2025-07-08T11:42:18" u="1"/>
        <d v="2025-07-08T15:56:05" u="1"/>
        <d v="2025-07-09T08:21:53" u="1"/>
        <d v="2025-07-09T08:31:42" u="1"/>
        <d v="2025-07-08T12:02:50" u="1"/>
        <d v="2025-07-09T01:01:21" u="1"/>
        <d v="2025-07-09T10:09:54" u="1"/>
        <d v="2025-07-08T12:29:30" u="1"/>
        <d v="2025-07-09T10:22:06" u="1"/>
        <d v="2025-07-09T09:13:56" u="1"/>
        <d v="2025-07-09T10:55:49" u="1"/>
        <d v="2025-07-09T02:33:17" u="1"/>
        <d v="2025-07-08T17:07:16" u="1"/>
        <d v="2025-07-08T16:20:15" u="1"/>
        <d v="2025-07-08T18:35:23" u="1"/>
        <d v="2025-07-09T11:07:57" u="1"/>
        <d v="2025-07-09T10:36:08" u="1"/>
        <d v="2025-07-08T17:12:59" u="1"/>
        <d v="2025-07-08T17:16:09" u="1"/>
        <d v="2025-07-08T10:55:36" u="1"/>
        <d v="2025-07-07T18:07:32" u="1"/>
        <d v="2025-07-09T00:11:42" u="1"/>
        <d v="2025-07-07T18:32:50" u="1"/>
        <d v="2025-07-09T11:25:19" u="1"/>
        <d v="2025-07-09T12:27:18" u="1"/>
        <d v="2025-07-09T22:46:41" u="1"/>
        <d v="2025-07-09T17:35:34" u="1"/>
        <d v="2025-07-09T15:47:25" u="1"/>
        <d v="2025-07-09T15:47:29" u="1"/>
        <d v="2025-07-09T15:47:32" u="1"/>
        <d v="2025-07-09T15:47:37" u="1"/>
        <d v="2025-07-09T15:47:40" u="1"/>
        <d v="2025-07-09T16:47:20" u="1"/>
        <d v="2025-07-09T15:02:52" u="1"/>
        <d v="2025-07-09T16:03:51" u="1"/>
        <d v="2025-07-09T16:03:53" u="1"/>
        <d v="2025-07-09T16:03:57" u="1"/>
        <d v="2025-07-09T12:00:35" u="1"/>
        <d v="2025-07-09T21:03:01" u="1"/>
        <d v="2025-07-09T18:03:56" u="1"/>
        <d v="2025-07-10T00:16:57" u="1"/>
        <d v="2025-07-09T18:35:41" u="1"/>
        <d v="2025-07-09T18:16:36" u="1"/>
        <d v="2025-07-10T00:12:27" u="1"/>
        <d v="2025-07-10T00:12:30" u="1"/>
        <d v="2025-07-10T00:12:33" u="1"/>
        <d v="2025-07-09T15:03:19" u="1"/>
        <d v="2025-07-09T16:01:39" u="1"/>
        <d v="2025-07-09T11:16:14" u="1"/>
        <d v="2025-07-09T11:16:18" u="1"/>
        <d v="2025-07-09T18:26:54" u="1"/>
        <d v="2025-07-09T18:30:41" u="1"/>
        <d v="2025-07-09T18:17:55" u="1"/>
        <d v="2025-07-09T18:17:59" u="1"/>
        <d v="2025-07-09T18:10:02" u="1"/>
        <d v="2025-07-09T12:14:26" u="1"/>
        <d v="2025-07-09T18:49:53" u="1"/>
        <d v="2025-07-09T13:03:51" u="1"/>
        <d v="2025-07-09T17:55:56" u="1"/>
        <d v="2025-07-09T14:57:54" u="1"/>
        <d v="2025-07-09T14:13:52" u="1"/>
        <d v="2025-07-09T13:01:44" u="1"/>
        <d v="2025-07-09T18:31:26" u="1"/>
        <d v="2025-07-09T11:31:53" u="1"/>
        <d v="2025-07-09T14:37:55" u="1"/>
        <d v="2025-07-09T22:46:21" u="1"/>
        <d v="2025-07-09T14:31:28" u="1"/>
        <d v="2025-07-09T15:05:51" u="1"/>
        <d v="2025-07-09T12:06:06" u="1"/>
        <d v="2025-07-09T15:45:53" u="1"/>
        <d v="2025-07-09T22:46:45" u="1"/>
        <d v="2025-07-09T14:47:58" u="1"/>
        <d v="2025-07-09T18:15:54" u="1"/>
        <d v="2025-07-09T12:26:01" u="1"/>
        <d v="2025-07-09T18:20:22" u="1"/>
        <d v="2025-07-09T17:01:07" u="1"/>
        <d v="2025-07-09T17:31:27" u="1"/>
        <d v="2025-07-09T17:31:36" u="1"/>
        <d v="2025-07-09T18:53:54" u="1"/>
        <d v="2025-07-09T18:55:56" u="1"/>
        <d v="2025-07-09T12:07:54" u="1"/>
        <d v="2025-07-09T12:26:09" u="1"/>
        <d v="2025-07-09T14:50:25" u="1"/>
        <d v="2025-07-09T11:31:22" u="1"/>
        <d v="2025-03-28T16:47:06" u="1"/>
        <d v="2025-03-18T17:38:16" u="1"/>
        <d v="2025-04-02T19:47:58" u="1"/>
        <d v="2025-04-09T21:03:57" u="1"/>
        <d v="2025-04-13T17:35:11" u="1"/>
        <d v="2025-04-09T19:14:34" u="1"/>
        <d v="2025-06-24T00:50:12" u="1"/>
        <d v="2025-06-24T00:51:38" u="1"/>
        <d v="2025-06-23T20:05:00" u="1"/>
        <d v="2025-06-23T12:18:37" u="1"/>
        <d v="2025-06-27T03:11:24" u="1"/>
        <d v="2025-06-30T09:04:24" u="1"/>
        <d v="2025-06-27T15:16:43" u="1"/>
        <d v="2025-06-27T13:17:20" u="1"/>
        <d v="2025-06-30T14:53:08" u="1"/>
        <d v="2025-07-07T19:13:58" u="1"/>
        <d v="2025-07-04T17:06:37" u="1"/>
        <d v="2025-07-04T17:17:16" u="1"/>
        <d v="2025-07-04T10:16:20" u="1"/>
        <d v="2025-07-01T18:31:08" u="1"/>
        <d v="2025-07-03T11:45:36" u="1"/>
        <d v="2025-07-04T18:05:20" u="1"/>
        <d v="2025-07-03T12:05:13" u="1"/>
        <d v="2025-07-04T12:21:04" u="1"/>
        <d v="2025-07-02T19:14:36" u="1"/>
        <d v="2025-07-02T12:11:23" u="1"/>
        <d v="2025-07-01T09:46:28" u="1"/>
        <d v="2025-07-01T09:55:03" u="1"/>
        <d v="2025-07-01T14:51:51" u="1"/>
        <d v="2025-07-02T20:39:34" u="1"/>
        <d v="2025-07-04T13:32:09" u="1"/>
        <d v="2025-06-30T18:03:09" u="1"/>
        <d v="2025-07-04T17:46:06" u="1"/>
        <d v="2025-06-30T16:51:24" u="1"/>
        <d v="2025-07-01T18:21:25" u="1"/>
        <d v="2025-07-02T18:22:04" u="1"/>
        <d v="2025-07-02T12:18:28" u="1"/>
        <d v="2025-07-03T10:44:25" u="1"/>
        <d v="2025-07-07T19:11:25" u="1"/>
        <d v="2025-07-07T19:14:04" u="1"/>
        <d v="2025-07-07T12:37:06" u="1"/>
        <d v="2025-07-07T12:37:09" u="1"/>
        <d v="2025-07-07T12:39:11" u="1"/>
        <d v="2025-07-07T12:39:20" u="1"/>
        <d v="2025-07-07T18:06:04" u="1"/>
        <d v="2025-07-07T17:32:11" u="1"/>
        <d v="2025-07-07T17:31:04" u="1"/>
        <d v="2025-07-07T17:45:53" u="1"/>
        <d v="2025-07-07T17:46:05" u="1"/>
        <d v="2025-07-07T15:46:01" u="1"/>
        <d v="2025-07-07T15:16:10" u="1"/>
        <d v="2025-07-07T15:31:43" u="1"/>
        <d v="2025-07-05T10:05:37" u="1"/>
        <d v="2025-07-07T11:47:24" u="1"/>
        <d v="2025-07-07T16:02:24" u="1"/>
        <d v="2025-07-07T17:00:55" u="1"/>
        <d v="2025-07-07T17:01:24" u="1"/>
        <d v="2025-07-07T10:02:13" u="1"/>
        <d v="2025-07-04T18:05:36" u="1"/>
        <d v="2025-07-07T15:01:07" u="1"/>
        <d v="2025-07-07T15:01:15" u="1"/>
        <d v="2025-07-07T15:36:39" u="1"/>
        <d v="2025-07-07T12:30:33" u="1"/>
        <d v="2025-07-07T11:51:49" u="1"/>
        <d v="2025-07-07T12:47:50" u="1"/>
        <d v="2025-07-04T18:59:21" u="1"/>
        <d v="2025-07-04T20:18:55" u="1"/>
        <d v="2025-07-07T19:05:21" u="1"/>
        <d v="2025-07-07T19:04:11" u="1"/>
        <d v="2025-07-04T18:17:04" u="1"/>
        <d v="2025-07-07T13:17:30" u="1"/>
        <d v="2025-07-07T19:04:52" u="1"/>
        <d v="2025-07-07T18:30:35" u="1"/>
        <d v="2025-07-04T20:17:58" u="1"/>
        <d v="2025-07-07T19:08:32" u="1"/>
        <d v="2025-07-07T19:06:15" u="1"/>
        <d v="2025-07-07T19:06:20" u="1"/>
        <d v="2025-07-07T19:06:28" u="1"/>
        <d v="2025-07-07T19:32:40" u="1"/>
        <d v="2025-07-07T20:33:13" u="1"/>
        <d v="2025-07-07T20:33:23" u="1"/>
        <d v="2025-07-07T18:46:01" u="1"/>
        <d v="2025-07-07T19:05:32" u="1"/>
        <d v="2025-07-07T19:06:51" u="1"/>
        <d v="2025-07-07T11:33:55" u="1"/>
        <d v="2025-07-07T11:34:00" u="1"/>
        <d v="2025-07-07T19:04:22" u="1"/>
        <d v="2025-07-07T20:02:28" u="1"/>
        <d v="2025-07-07T19:06:46" u="1"/>
        <d v="2025-07-07T17:19:18" u="1"/>
        <d v="2025-07-07T20:33:39" u="1"/>
        <d v="2025-07-07T19:05:58" u="1"/>
        <d v="2025-07-04T19:00:54" u="1"/>
        <d v="2025-07-07T19:04:28" u="1"/>
        <d v="2025-07-07T19:04:40" u="1"/>
        <d v="2025-07-07T20:02:22" u="1"/>
        <d v="2025-07-07T19:08:25" u="1"/>
        <d v="2025-07-07T19:04:34" u="1"/>
        <d v="2025-07-07T19:04:46" u="1"/>
        <d v="2025-07-07T11:30:31" u="1"/>
        <d v="2025-07-07T11:19:26" u="1"/>
        <d v="2025-07-07T17:17:01" u="1"/>
        <d v="2025-07-07T10:37:52" u="1"/>
        <d v="2025-02-06T18:45:03" u="1"/>
        <d v="2025-02-10T11:29:39" u="1"/>
        <d v="2025-02-10T19:35:51" u="1"/>
        <d v="2025-02-07T19:25:11" u="1"/>
        <d v="2025-02-07T23:34:20" u="1"/>
        <d v="2025-02-10T20:05:07" u="1"/>
        <d v="2025-02-19T10:48:09" u="1"/>
        <d v="2025-04-15T14:05:38" u="1"/>
        <d v="2025-04-14T19:14:08" u="1"/>
        <d v="2025-04-08T19:05:16" u="1"/>
        <d v="2025-04-09T18:24:34" u="1"/>
        <d v="2025-04-09T18:15:26" u="1"/>
        <d v="2025-04-09T15:47:54" u="1"/>
        <d v="2025-04-09T18:34:40" u="1"/>
        <d v="2025-04-09T18:44:49" u="1"/>
        <d v="2025-04-14T19:34:24" u="1"/>
        <d v="2025-04-17T15:46:19" u="1"/>
        <d v="2025-04-16T16:08:27" u="1"/>
        <d v="2025-04-17T20:34:30" u="1"/>
        <d v="2025-06-26T09:20:19" u="1"/>
        <d v="2025-03-17T17:12:17" u="1"/>
        <d v="2025-02-26T09:21:37" u="1"/>
        <d v="2025-03-17T17:17:57" u="1"/>
        <d v="2025-04-17T22:19:35" u="1"/>
        <d v="2025-05-15T13:29:38" u="1"/>
        <d v="2025-06-11T06:26:18" u="1"/>
        <d v="2025-06-12T15:50:53" u="1"/>
        <d v="2025-06-17T12:41:33" u="1"/>
        <d v="2025-06-21T02:47:52" u="1"/>
        <d v="2025-06-23T12:07:08" u="1"/>
        <d v="2025-06-20T14:11:44" u="1"/>
        <d v="2025-06-28T23:07:01" u="1"/>
        <d v="2025-06-28T22:57:00" u="1"/>
        <d v="2025-06-28T22:59:00" u="1"/>
        <d v="2025-06-29T17:56:20" u="1"/>
        <d v="2025-06-26T05:26:02" u="1"/>
        <d v="2025-06-30T13:20:49" u="1"/>
        <d v="2025-06-24T19:14:57" u="1"/>
        <d v="2025-06-30T15:04:32" u="1"/>
        <d v="2025-06-30T14:57:37" u="1"/>
        <d v="2025-06-30T14:40:28" u="1"/>
        <d v="2025-06-30T14:40:32" u="1"/>
        <d v="2025-06-30T20:23:14" u="1"/>
        <d v="2025-06-30T20:23:22" u="1"/>
        <d v="2025-06-30T20:23:28" u="1"/>
        <d v="2025-07-01T18:57:25" u="1"/>
        <d v="2025-07-03T12:20:24" u="1"/>
        <d v="2025-07-03T12:20:35" u="1"/>
        <d v="2025-07-03T12:20:41" u="1"/>
        <d v="2025-07-02T00:16:06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2T12:24:56" u="1"/>
        <d v="2025-06-30T21:47:39" u="1"/>
        <d v="2025-07-04T18:46:45" u="1"/>
        <d v="2025-07-02T18:48:35" u="1"/>
        <d v="2025-06-30T18:32:07" u="1"/>
        <d v="2025-07-01T19:02:02" u="1"/>
        <d v="2025-07-02T13:03:23" u="1"/>
        <d v="2025-07-02T17:03:48" u="1"/>
        <d v="2025-07-03T15:02:54" u="1"/>
        <d v="2025-07-03T15:03:49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2T12:22:4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6:15:35" u="1"/>
        <d v="2025-07-04T15:15:40" u="1"/>
        <d v="2025-07-04T18:01:08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4T18:08:14" u="1"/>
        <d v="2025-07-04T12:24:23" u="1"/>
        <d v="2025-07-04T18:27:34" u="1"/>
        <d v="2025-07-04T12:21:49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8:56:19" u="1"/>
        <d v="2025-07-04T14:53:12" u="1"/>
        <d v="2025-07-04T18:40:07" u="1"/>
        <d v="2025-07-05T00:19:16" u="1"/>
        <d v="2025-07-05T00:19:19" u="1"/>
        <d v="2025-07-04T17:38:11" u="1"/>
        <d v="2025-07-04T11:51:33" u="1"/>
        <d v="2025-07-04T12:07:53" u="1"/>
        <d v="2025-07-04T16:37:39" u="1"/>
        <d v="2025-07-04T11:18:09" u="1"/>
        <d v="2025-07-04T20:18:27" u="1"/>
        <d v="2025-07-04T16:37:24" u="1"/>
        <d v="2025-07-04T11:47:06" u="1"/>
        <d v="2025-07-04T20:19:05" u="1"/>
        <d v="2025-07-04T15:05:25" u="1"/>
        <d v="2025-07-04T20:17:48" u="1"/>
        <d v="2025-07-04T16:02:05" u="1"/>
        <d v="2025-07-04T16:16:30" u="1"/>
        <d v="2025-07-04T14:45:46" u="1"/>
        <d v="2025-07-04T18:02:13" u="1"/>
        <d v="2025-07-04T12:25:16" u="1"/>
        <d v="2025-07-04T18:02:16" u="1"/>
        <d v="2025-07-03T18:31:18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30T16:18:34" u="1"/>
        <d v="2025-06-30T10:27:45" u="1"/>
        <d v="2025-06-21T20:59:45" u="1"/>
        <d v="2025-06-24T13:13:17" u="1"/>
        <d v="2025-06-30T16:36:31" u="1"/>
        <d v="2025-07-01T14:52:08" u="1"/>
        <d v="2025-07-01T18:05:38" u="1"/>
        <d v="2025-06-30T14:24:03" u="1"/>
        <d v="2025-06-30T14:35:19" u="1"/>
        <d v="2025-07-01T11:31:29" u="1"/>
        <d v="2025-07-01T11:31:46" u="1"/>
        <d v="2025-06-28T16:32:46" u="1"/>
        <d v="2025-07-01T08:11:56" u="1"/>
        <d v="2025-07-01T18:17:09" u="1"/>
        <d v="2025-07-01T15:31:27" u="1"/>
        <d v="2025-07-01T15:31:32" u="1"/>
        <d v="2025-07-01T15:31:36" u="1"/>
        <d v="2025-07-01T17:46:51" u="1"/>
        <d v="2025-07-01T18:45:54" u="1"/>
        <d v="2025-06-30T21:24:19" u="1"/>
        <d v="2025-07-01T17:48:59" u="1"/>
        <d v="2025-07-01T14:02:02" u="1"/>
        <d v="2025-07-01T00:12:00" u="1"/>
        <d v="2025-07-01T18:24:32" u="1"/>
        <d v="2025-07-01T16:06:41" u="1"/>
        <d v="2025-07-01T16:06:56" u="1"/>
        <d v="2025-07-01T13:02:31" u="1"/>
        <d v="2025-06-30T20:23:55" u="1"/>
        <d v="2025-06-30T18:02:01" u="1"/>
        <d v="2025-07-01T18:06:19" u="1"/>
        <d v="2025-07-01T15:07:38" u="1"/>
        <d v="2025-07-01T00:10:30" u="1"/>
        <d v="2025-07-01T17:54:07" u="1"/>
        <d v="2025-07-01T18:23:50" u="1"/>
        <d v="2025-06-30T21:10:53" u="1"/>
        <d v="2025-07-01T17:07:02" u="1"/>
        <d v="2025-07-01T15:56:42" u="1"/>
        <d v="2025-06-26T02:11:25" u="1"/>
        <d v="2025-06-25T12:07:46" u="1"/>
        <d v="2025-06-25T18:39:52" u="1"/>
        <d v="2025-07-02T02:02:28" u="1"/>
        <d v="2025-06-25T10:47:44" u="1"/>
        <d v="2025-06-29T06:53:27" u="1"/>
        <d v="2025-06-30T03:25:22" u="1"/>
        <d v="2025-06-23T20:18:19" u="1"/>
        <d v="2025-06-27T04:01:22" u="1"/>
        <d v="2025-06-25T01:03:33" u="1"/>
        <d v="2025-06-30T17:27:51" u="1"/>
        <d v="2025-06-30T07:06:17" u="1"/>
        <d v="2025-06-27T01:02:16" u="1"/>
        <d v="2025-07-01T16:47:50" u="1"/>
        <d v="2025-07-01T18:18:40" u="1"/>
        <d v="2025-07-01T18:30:58" u="1"/>
        <d v="2025-07-01T15:21:31" u="1"/>
        <d v="2025-07-01T18:18:26" u="1"/>
        <d v="2025-07-01T15:21:45" u="1"/>
        <d v="2025-07-01T18:26:42" u="1"/>
        <d v="2025-07-01T22:02:03" u="1"/>
        <d v="2025-06-25T18:02:38" u="1"/>
        <d v="2025-07-01T16:46:48" u="1"/>
        <d v="2025-06-09T16:50:10" u="1"/>
        <d v="2025-05-23T12:19:43" u="1"/>
        <d v="2025-07-01T13:46:56" u="1"/>
        <d v="2025-07-01T18:19:23" u="1"/>
        <d v="2025-07-01T17:18:33" u="1"/>
        <d v="2025-07-01T16:02:27" u="1"/>
        <d v="2025-06-26T15:14:49" u="1"/>
        <d v="2025-06-23T07:51:18" u="1"/>
        <d v="2025-07-01T18:29:51" u="1"/>
        <d v="2025-06-24T03:16:32" u="1"/>
        <d v="2025-06-27T02:23:15" u="1"/>
        <d v="2025-07-02T05:19:18" u="1"/>
        <d v="2025-06-25T15:44:10" u="1"/>
        <d v="2025-06-25T04:02:19" u="1"/>
        <d v="2025-06-16T16:18:33" u="1"/>
        <d v="2025-06-09T10:55:55" u="1"/>
        <d v="2025-07-01T04:23:34" u="1"/>
        <d v="2025-07-01T17:47:00" u="1"/>
        <d v="2025-07-01T17:02:02" u="1"/>
        <d v="2025-06-30T14:48:17" u="1"/>
        <d v="2025-06-30T09:49:03" u="1"/>
        <d v="2025-06-30T10:27:46" u="1"/>
        <d v="2025-06-30T13:31:10" u="1"/>
        <d v="2025-06-30T12:15:58" u="1"/>
        <d v="2025-06-30T16:18:35" u="1"/>
        <d v="2025-06-30T13:16:14" u="1"/>
        <d v="2025-06-27T11:02:28" u="1"/>
        <d v="2025-06-30T21:25:17" u="1"/>
        <d v="2025-06-25T21:03:56" u="1"/>
        <d v="2025-06-27T15:32:57" u="1"/>
        <d v="2025-06-26T21:42:46" u="1"/>
        <d v="2025-06-30T14:24:11" u="1"/>
        <d v="2025-06-30T14:28:02" u="1"/>
        <d v="2025-06-30T14:28:04" u="1"/>
        <d v="2025-06-30T14:28:08" u="1"/>
        <d v="2025-06-30T20:56:46" u="1"/>
        <d v="2025-06-27T17:08:58" u="1"/>
        <d v="2025-06-23T08:50:31" u="1"/>
        <d v="2025-06-16T16:36:37" u="1"/>
        <d v="2025-06-26T17:08:48" u="1"/>
        <d v="2025-06-26T15:06:38" u="1"/>
        <d v="2025-06-04T12:46:24" u="1"/>
        <d v="2025-06-25T12:31:37" u="1"/>
        <d v="2025-06-20T12:24:36" u="1"/>
        <d v="2025-06-30T17:51:55" u="1"/>
        <d v="2025-06-30T21:05:58" u="1"/>
        <d v="2025-06-30T21:05:19" u="1"/>
        <d v="2025-06-30T21:05:25" u="1"/>
        <d v="2025-06-30T21:06:05" u="1"/>
        <d v="2025-06-12T15:58:03" u="1"/>
        <d v="2025-06-30T09:59:20" u="1"/>
        <d v="2025-06-30T10:04:14" u="1"/>
        <d v="2025-06-30T08:02:01" u="1"/>
        <d v="2025-06-30T17:06:06" u="1"/>
        <d v="2025-06-30T17:09:28" u="1"/>
        <d v="2025-06-30T17:37:02" u="1"/>
        <d v="2025-06-30T17:44:23" u="1"/>
        <d v="2025-06-30T15:59:34" u="1"/>
        <d v="2025-06-30T16:00:01" u="1"/>
        <d v="2025-06-30T11:09:17" u="1"/>
        <d v="2025-06-30T11:17:55" u="1"/>
        <d v="2025-06-30T09:23:25" u="1"/>
        <d v="2025-06-30T21:44:11" u="1"/>
        <d v="2025-06-30T21:37:55" u="1"/>
        <d v="2025-06-30T20:34:31" u="1"/>
        <d v="2025-06-26T09:01:25" u="1"/>
        <d v="2025-06-27T17:18:23" u="1"/>
        <d v="2025-06-30T17:02:52" u="1"/>
        <d v="2025-06-30T17:02:34" u="1"/>
        <d v="2025-06-30T15:30:46" u="1"/>
        <d v="2025-06-30T15:30:58" u="1"/>
        <d v="2025-06-30T10:46:15" u="1"/>
        <d v="2025-06-27T17:18:29" u="1"/>
        <d v="2025-06-27T17:32:14" u="1"/>
        <d v="2025-06-30T15:31:14" u="1"/>
        <d v="2025-06-30T09:46:07" u="1"/>
        <d v="2025-06-30T09:46:03" u="1"/>
        <d v="2025-06-30T15:36:37" u="1"/>
        <d v="2025-06-26T17:03:08" u="1"/>
        <d v="2025-06-30T15:49:47" u="1"/>
        <d v="2025-06-30T17:01:11" u="1"/>
        <d v="2025-06-30T16:03:27" u="1"/>
        <d v="2025-06-30T16:03:32" u="1"/>
        <d v="2025-06-30T16:03:54" u="1"/>
        <d v="2025-06-30T11:01:47" u="1"/>
        <d v="2025-06-30T10:02:44" u="1"/>
        <d v="2025-06-27T14:02:59" u="1"/>
        <d v="2025-06-26T16:01:02" u="1"/>
        <d v="2025-06-30T19:00:51" u="1"/>
        <d v="2025-06-30T19:00:53" u="1"/>
        <d v="2025-06-30T14:01:23" u="1"/>
        <d v="2025-06-30T12:02:24" u="1"/>
        <d v="2025-06-30T12:02:26" u="1"/>
        <d v="2025-06-27T20:03:33" u="1"/>
        <d v="2025-06-30T19:01:57" u="1"/>
        <d v="2025-06-30T19:02:02" u="1"/>
        <d v="2025-06-30T19:02:03" u="1"/>
        <d v="2025-06-30T19:02:05" u="1"/>
        <d v="2025-06-26T13:02:33" u="1"/>
        <d v="2025-06-30T16:04:24" u="1"/>
        <d v="2025-06-30T14:06:20" u="1"/>
        <d v="2025-06-30T20:01:59" u="1"/>
        <d v="2025-06-27T11:01:49" u="1"/>
        <d v="2025-06-28T11:34:44" u="1"/>
        <d v="2025-06-30T15:04:26" u="1"/>
        <d v="2025-06-30T14:04:12" u="1"/>
        <d v="2025-06-30T18:02:47" u="1"/>
        <d v="2025-06-30T18:04:36" u="1"/>
        <d v="2025-06-30T15:37:32" u="1"/>
        <d v="2025-06-27T09:02:23" u="1"/>
        <d v="2025-06-30T14:03:17" u="1"/>
        <d v="2025-06-30T12:02:39" u="1"/>
        <d v="2025-06-30T12:02:08" u="1"/>
        <d v="2025-06-30T12:02:11" u="1"/>
        <d v="2025-06-30T15:02:29" u="1"/>
        <d v="2025-06-30T09:01:37" u="1"/>
        <d v="2025-06-25T17:04:22" u="1"/>
        <d v="2025-06-25T09:02:26" u="1"/>
        <d v="2025-06-27T10:02:57" u="1"/>
        <d v="2025-06-27T11:05:22" u="1"/>
        <d v="2025-06-27T12:21:32" u="1"/>
        <d v="2025-06-30T21:33:40" u="1"/>
        <d v="2025-06-30T21:21:15" u="1"/>
        <d v="2025-06-30T21:21:20" u="1"/>
        <d v="2025-06-29T09:01:41" u="1"/>
        <d v="2025-06-29T15:25:51" u="1"/>
        <d v="2025-06-09T18:04:04" u="1"/>
        <d v="2025-06-09T18:04:29" u="1"/>
        <d v="2025-06-11T07:00:40" u="1"/>
        <d v="2025-06-30T21:00:09" u="1"/>
        <d v="2025-06-28T21:18:11" u="1"/>
        <d v="2025-06-30T21:12:49" u="1"/>
        <d v="2025-06-21T09:04:19" u="1"/>
        <d v="2025-06-02T20:04:30" u="1"/>
        <d v="2025-06-03T14:24:56" u="1"/>
        <d v="2025-06-03T20:33:13" u="1"/>
        <d v="2025-06-30T21:22:46" u="1"/>
        <d v="2025-06-21T08:43:02" u="1"/>
        <d v="2025-06-21T09:02:42" u="1"/>
        <d v="2025-06-30T21:17:09" u="1"/>
        <d v="2025-06-29T01:18:21" u="1"/>
        <d v="2025-06-29T13:19:20" u="1"/>
        <d v="2025-06-29T15:00:55" u="1"/>
        <d v="2025-06-29T15:27:29" u="1"/>
        <d v="2025-06-29T15:17:54" u="1"/>
        <d v="2025-06-30T11:50:59" u="1"/>
        <d v="2025-06-26T16:56:14" u="1"/>
        <d v="2025-06-10T22:25:11" u="1"/>
        <d v="2025-06-30T20:28:21" u="1"/>
        <d v="2025-06-30T20:30:36" u="1"/>
        <d v="2025-06-30T20:32:39" u="1"/>
        <d v="2025-06-29T07:38:35" u="1"/>
        <d v="2025-06-30T00:11:32" u="1"/>
        <d v="2025-06-29T21:31:34" u="1"/>
        <d v="2025-06-30T20:23:29" u="1"/>
        <d v="2025-06-30T20:22:27" u="1"/>
        <d v="2025-06-26T19:34:43" u="1"/>
        <d v="2025-06-30T21:01:01" u="1"/>
        <d v="2025-06-30T21:01:15" u="1"/>
        <d v="2025-06-30T21:01:26" u="1"/>
        <d v="2025-06-28T10:21:22" u="1"/>
        <d v="2025-06-28T13:15:43" u="1"/>
        <d v="2025-06-29T00:37:29" u="1"/>
        <d v="2025-06-29T00:49:43" u="1"/>
        <d v="2025-06-29T00:51:43" u="1"/>
        <d v="2025-06-29T00:59:45" u="1"/>
        <d v="2025-06-30T14:28:41" u="1"/>
        <d v="2025-06-30T14:22:28" u="1"/>
        <d v="2025-06-29T14:07:02" u="1"/>
        <d v="2025-06-29T14:58:16" u="1"/>
        <d v="2025-06-30T21:58:05" u="1"/>
        <d v="2025-06-30T21:59:04" u="1"/>
        <d v="2025-06-30T21:53:14" u="1"/>
        <d v="2025-06-30T21:56:11" u="1"/>
        <d v="2025-06-30T21:56:14" u="1"/>
        <d v="2025-06-30T21:56:16" u="1"/>
        <d v="2025-06-30T21:56:19" u="1"/>
        <d v="2025-07-01T06:04:21" u="1"/>
        <d v="2025-06-30T21:57:36" u="1"/>
        <d v="2025-06-29T14:16:52" u="1"/>
        <d v="2025-06-30T21:56:27" u="1"/>
        <d v="2025-06-30T13:46:57" u="1"/>
        <d v="2025-06-29T19:53:57" u="1"/>
        <d v="2025-06-26T17:09:51" u="1"/>
        <d v="2025-06-26T17:10:04" u="1"/>
        <d v="2025-06-30T16:51:37" u="1"/>
        <d v="2025-06-28T11:42:59" u="1"/>
        <d v="2025-06-27T16:40:02" u="1"/>
        <d v="2025-06-30T20:34:26" u="1"/>
        <d v="2025-06-27T16:56:37" u="1"/>
        <d v="2025-06-27T11:41:08" u="1"/>
        <d v="2025-06-25T08:57:15" u="1"/>
        <d v="2025-06-27T12:27:14" u="1"/>
        <d v="2025-06-27T11:24:52" u="1"/>
        <d v="2025-06-27T08:27:10" u="1"/>
        <d v="2025-06-27T08:53:56" u="1"/>
        <d v="2025-07-01T06:03:10" u="1"/>
        <d v="2025-07-01T06:03:13" u="1"/>
        <d v="2025-07-01T06:03:18" u="1"/>
        <d v="2025-07-01T06:03:24" u="1"/>
        <d v="2025-07-01T06:03:27" u="1"/>
        <d v="2025-07-01T06:03:29" u="1"/>
        <d v="2025-06-30T20:34:35" u="1"/>
        <d v="2025-06-30T20:35:06" u="1"/>
        <d v="2025-06-29T06:26:56" u="1"/>
        <d v="2025-06-28T18:23:18" u="1"/>
        <d v="2025-06-28T21:02:31" u="1"/>
        <d v="2025-06-28T16:43:39" u="1"/>
        <d v="2025-06-28T18:18:16" u="1"/>
        <d v="2025-06-28T15:41:33" u="1"/>
        <d v="2025-06-28T15:49:21" u="1"/>
        <d v="2025-06-28T18:58:55" u="1"/>
        <d v="2025-06-27T11:38:18" u="1"/>
        <d v="2025-06-30T21:07:05" u="1"/>
        <d v="2025-06-30T21:07:38" u="1"/>
        <d v="2025-06-30T21:10:26" u="1"/>
        <d v="2025-06-29T07:42:20" u="1"/>
        <d v="2025-06-30T21:09:56" u="1"/>
        <d v="2025-06-28T16:29:43" u="1"/>
        <d v="2025-06-28T16:36:43" u="1"/>
        <d v="2025-06-29T05:19:10" u="1"/>
        <d v="2025-06-29T05:07:52" u="1"/>
        <d v="2025-06-28T19:47:32" u="1"/>
        <d v="2025-06-26T15:53:02" u="1"/>
        <d v="2025-06-30T12:33:13" u="1"/>
        <d v="2025-06-30T17:12:12" u="1"/>
        <d v="2025-06-27T17:37:34" u="1"/>
        <d v="2025-06-30T13:39:47" u="1"/>
        <d v="2025-06-06T20:35:49" u="1"/>
        <d v="2025-06-30T17:16:54" u="1"/>
        <d v="2025-06-26T15:57:44" u="1"/>
        <d v="2025-06-30T23:31:36" u="1"/>
        <d v="2025-06-30T19:47:25" u="1"/>
        <d v="2025-06-30T23:31:30" u="1"/>
        <d v="2025-06-30T19:48:16" u="1"/>
        <d v="2025-06-06T16:46:58" u="1"/>
        <d v="2025-06-30T19:48:58" u="1"/>
        <d v="2025-06-30T19:47:38" u="1"/>
        <d v="2025-06-30T14:20:28" u="1"/>
        <d v="2025-06-25T08:35:57" u="1"/>
        <d v="2025-06-06T18:35:41" u="1"/>
        <d v="2025-06-30T18:20:47" u="1"/>
        <d v="2025-06-17T22:26:29" u="1"/>
        <d v="2025-06-30T19:47:09" u="1"/>
        <d v="2025-06-26T11:26:16" u="1"/>
        <d v="2025-06-26T12:10:29" u="1"/>
        <d v="2025-06-30T11:28:34" u="1"/>
        <d v="2025-06-25T10:29:36" u="1"/>
        <d v="2025-06-26T12:27:10" u="1"/>
        <d v="2025-06-30T15:50:04" u="1"/>
        <d v="2025-06-26T09:26:59" u="1"/>
        <d v="2025-06-26T09:15:31" u="1"/>
        <d v="2025-06-30T13:56:12" u="1"/>
        <d v="2025-06-27T17:39:53" u="1"/>
        <d v="2025-06-27T16:07:52" u="1"/>
        <d v="2025-06-25T17:55:37" u="1"/>
        <d v="2025-06-30T16:37:44" u="1"/>
        <d v="2025-06-30T17:13:43" u="1"/>
        <d v="2025-06-27T18:51:34" u="1"/>
        <d v="2025-06-25T18:04:10" u="1"/>
        <d v="2025-06-27T17:42:52" u="1"/>
        <d v="2025-06-24T16:57:03" u="1"/>
        <d v="2025-06-25T08:56:55" u="1"/>
        <d v="2025-06-26T09:26:56" u="1"/>
        <d v="2025-06-24T18:15:25" u="1"/>
        <d v="2025-06-30T11:28:10" u="1"/>
        <d v="2025-06-30T11:28:06" u="1"/>
        <d v="2025-06-30T11:28:00" u="1"/>
        <d v="2025-06-30T18:15:34" u="1"/>
        <d v="2025-06-30T18:15:37" u="1"/>
        <d v="2025-06-26T17:28:29" u="1"/>
        <d v="2025-06-26T17:37:52" u="1"/>
        <d v="2025-06-23T15:38:42" u="1"/>
        <d v="2025-06-26T12:10:30" u="1"/>
        <d v="2025-06-30T11:57:04" u="1"/>
        <d v="2025-06-26T12:27:23" u="1"/>
        <d v="2025-06-30T22:44:50" u="1"/>
        <d v="2025-06-23T14:47:04" u="1"/>
        <d v="2025-06-24T23:34:06" u="1"/>
        <d v="2025-06-26T11:26:42" u="1"/>
        <d v="2025-06-30T23:23:48" u="1"/>
        <d v="2025-06-25T13:54:44" u="1"/>
        <d v="2025-06-26T18:55:24" u="1"/>
        <d v="2025-06-30T19:54:57" u="1"/>
        <d v="2025-06-30T11:28:03" u="1"/>
        <d v="2025-06-29T03:55:04" u="1"/>
        <d v="2025-06-27T17:41:05" u="1"/>
        <d v="2025-06-27T17:39:20" u="1"/>
        <d v="2025-06-27T17:39:22" u="1"/>
        <d v="2025-06-27T14:22:57" u="1"/>
        <d v="2025-06-27T14:41:30" u="1"/>
        <d v="2025-06-27T14:56:00" u="1"/>
        <d v="2025-06-27T15:28:07" u="1"/>
        <d v="2025-06-27T18:39:40" u="1"/>
        <d v="2025-06-27T18:43:38" u="1"/>
        <d v="2025-06-21T21:01:34" u="1"/>
        <d v="2025-06-29T04:49:16" u="1"/>
        <d v="2025-06-29T04:53:20" u="1"/>
        <d v="2025-06-29T05:53:35" u="1"/>
        <d v="2025-06-29T20:25:21" u="1"/>
        <d v="2025-06-29T16:56:58" u="1"/>
        <d v="2025-06-29T21:34:36" u="1"/>
        <d v="2025-06-29T18:51:05" u="1"/>
        <d v="2025-06-27T18:36:55" u="1"/>
        <d v="2025-06-29T03:18:48" u="1"/>
        <d v="2025-06-21T04:15:36" u="1"/>
        <d v="2025-06-28T15:37:35" u="1"/>
        <d v="2025-06-28T08:12:06" u="1"/>
        <d v="2025-06-28T23:11:45" u="1"/>
        <d v="2025-06-28T06:57:47" u="1"/>
        <d v="2025-06-28T06:59:52" u="1"/>
        <d v="2025-06-28T06:55:01" u="1"/>
        <d v="2025-06-27T18:10:08" u="1"/>
        <d v="2025-06-28T13:41:03" u="1"/>
        <d v="2025-06-28T13:56:40" u="1"/>
        <d v="2025-06-30T06:55:35" u="1"/>
        <d v="2025-06-29T12:09:28" u="1"/>
        <d v="2025-06-30T04:03:19" u="1"/>
        <d v="2025-06-30T04:47:20" u="1"/>
        <d v="2025-06-27T17:18:47" u="1"/>
        <d v="2025-06-27T08:46:06" u="1"/>
        <d v="2025-06-27T17:47:56" u="1"/>
        <d v="2025-06-27T17:52:43" u="1"/>
        <d v="2025-06-22T22:58:52" u="1"/>
        <d v="2025-06-27T18:04:38" u="1"/>
        <d v="2025-06-26T01:29:33" u="1"/>
        <d v="2025-06-26T01:57:09" u="1"/>
        <d v="2025-06-26T02:34:46" u="1"/>
        <d v="2025-06-26T02:59:20" u="1"/>
        <d v="2025-06-26T03:31:16" u="1"/>
        <d v="2025-06-27T17:04:34" u="1"/>
        <d v="2025-06-27T17:04:49" u="1"/>
        <d v="2025-06-27T17:01:32" u="1"/>
        <d v="2025-06-27T15:04:36" u="1"/>
        <d v="2025-06-27T15:04:39" u="1"/>
        <d v="2025-06-27T15:00:59" u="1"/>
        <d v="2025-06-27T18:03:49" u="1"/>
        <d v="2025-06-27T11:00:57" u="1"/>
        <d v="2025-06-27T16:01:48" u="1"/>
        <d v="2025-06-27T09:02:42" u="1"/>
        <d v="2025-06-29T09:28:24" u="1"/>
        <d v="2025-06-30T05:50:01" u="1"/>
        <d v="2025-06-29T00:17:30" u="1"/>
        <d v="2025-06-29T00:19:47" u="1"/>
        <d v="2025-06-28T11:20:44" u="1"/>
        <d v="2025-06-28T12:39:27" u="1"/>
        <d v="2025-06-28T12:53:25" u="1"/>
        <d v="2025-06-29T07:35:33" u="1"/>
        <d v="2025-06-27T16:00:22" u="1"/>
        <d v="2025-06-28T07:41:10" u="1"/>
        <d v="2025-06-28T08:59:59" u="1"/>
        <d v="2025-06-28T09:34:49" u="1"/>
        <d v="2025-06-28T08:09:40" u="1"/>
        <d v="2025-06-28T08:12:54" u="1"/>
        <d v="2025-06-29T22:50:53" u="1"/>
        <d v="2025-06-29T06:39:52" u="1"/>
        <d v="2025-06-25T18:02:26" u="1"/>
        <d v="2025-06-27T18:08:41" u="1"/>
        <d v="2025-06-27T18:08:44" u="1"/>
        <d v="2025-06-27T18:08:45" u="1"/>
        <d v="2025-06-27T17:43:04" u="1"/>
        <d v="2025-06-26T16:49:24" u="1"/>
        <d v="2025-06-26T17:23:41" u="1"/>
        <d v="2025-06-28T20:36:10" u="1"/>
        <d v="2025-06-28T20:39:12" u="1"/>
        <d v="2025-06-28T20:10:06" u="1"/>
        <d v="2025-06-28T20:11:58" u="1"/>
        <d v="2025-06-28T19:55:21" u="1"/>
        <d v="2025-06-28T04:02:05" u="1"/>
        <d v="2025-06-28T04:12:28" u="1"/>
        <d v="2025-06-22T22:44:39" u="1"/>
        <d v="2025-06-27T15:02:42" u="1"/>
        <d v="2025-06-27T13:57:51" u="1"/>
        <d v="2025-06-27T14:24:16" u="1"/>
        <d v="2025-06-27T14:18:06" u="1"/>
        <d v="2025-06-27T16:59:26" u="1"/>
        <d v="2025-06-27T19:17:34" u="1"/>
        <d v="2025-06-27T19:18:20" u="1"/>
        <d v="2025-06-27T18:20:34" u="1"/>
        <d v="2025-06-27T19:18:47" u="1"/>
        <d v="2025-06-27T19:18:14" u="1"/>
        <d v="2025-06-27T17:41:21" u="1"/>
        <d v="2025-06-27T22:19:31" u="1"/>
        <d v="2025-06-27T15:08:26" u="1"/>
        <d v="2025-06-27T17:47:58" u="1"/>
        <d v="2025-06-27T19:18:39" u="1"/>
        <d v="2025-06-27T19:19:05" u="1"/>
        <d v="2025-06-27T19:17:11" u="1"/>
        <d v="2025-06-30T05:33:20" u="1"/>
        <d v="2025-06-27T19:19:22" u="1"/>
        <d v="2025-06-27T19:20:58" u="1"/>
        <d v="2025-06-27T19:19:35" u="1"/>
        <d v="2025-06-27T19:19:55" u="1"/>
        <d v="2025-06-28T19:49:56" u="1"/>
        <d v="2025-06-27T16:41:50" u="1"/>
        <d v="2025-06-27T17:07:43" u="1"/>
        <d v="2025-06-27T17:07:50" u="1"/>
        <d v="2025-06-27T18:04:25" u="1"/>
        <d v="2025-06-27T19:20:17" u="1"/>
        <d v="2025-06-20T14:54:33" u="1"/>
        <d v="2025-06-20T15:15:12" u="1"/>
        <d v="2025-06-04T13:46:52" u="1"/>
        <d v="2025-06-25T18:17:16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0T13:58:24" u="1"/>
        <d v="2025-06-23T14:20:32" u="1"/>
        <d v="2025-06-23T14:13:45" u="1"/>
        <d v="2025-06-25T14:38:48" u="1"/>
        <d v="2025-06-25T14:42:01" u="1"/>
        <d v="2025-06-26T13:35:17" u="1"/>
        <d v="2025-06-26T15:06:00" u="1"/>
        <d v="2025-06-20T20:01:54" u="1"/>
        <d v="2025-06-21T20:39:51" u="1"/>
        <d v="2025-06-23T08:50:14" u="1"/>
        <d v="2025-06-26T15:56:40" u="1"/>
        <d v="2025-06-26T16:17:15" u="1"/>
        <d v="2025-06-26T16:27:32" u="1"/>
        <d v="2025-06-26T16:39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6T12:17:28" u="1"/>
        <d v="2025-06-26T16:03:24" u="1"/>
        <d v="2025-06-20T13:05:46" u="1"/>
        <d v="2025-06-20T13:06:04" u="1"/>
        <d v="2025-06-26T02:22:20" u="1"/>
        <d v="2025-06-26T05:54:14" u="1"/>
        <d v="2025-06-26T05:56:32" u="1"/>
        <d v="2025-06-25T19:04:33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5:02:20" u="1"/>
        <d v="2025-06-26T07:28:45" u="1"/>
        <d v="2025-06-26T11:05:42" u="1"/>
        <d v="2025-06-26T11:20:41" u="1"/>
        <d v="2025-06-26T17:09:56" u="1"/>
        <d v="2025-06-26T17:10:00" u="1"/>
        <d v="2025-06-26T14:31:42" u="1"/>
        <d v="2025-06-26T17:49:09" u="1"/>
        <d v="2025-06-26T17:49:16" u="1"/>
        <d v="2025-06-26T17:17:39" u="1"/>
        <d v="2025-06-06T17:22:02" u="1"/>
        <d v="2025-06-26T16:52:13" u="1"/>
        <d v="2025-06-13T13:06:11" u="1"/>
        <d v="2025-06-09T15:30:46" u="1"/>
        <d v="2025-06-26T14:01:43" u="1"/>
        <d v="2025-06-11T14:31:21" u="1"/>
        <d v="2025-06-25T10:47:18" u="1"/>
        <d v="2025-06-25T16:47:10" u="1"/>
        <d v="2025-06-26T12:42:41" u="1"/>
        <d v="2025-06-26T12:48:10" u="1"/>
        <d v="2025-06-26T12:33:13" u="1"/>
        <d v="2025-06-26T09:20:02" u="1"/>
        <d v="2025-06-17T19:19:26" u="1"/>
        <d v="2025-06-17T13:02:46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12T15:16:14" u="1"/>
        <d v="2025-06-18T16:16:22" u="1"/>
        <d v="2025-06-20T15:05:19" u="1"/>
        <d v="2025-06-09T11:32:07" u="1"/>
        <d v="2025-06-27T06:54:59" u="1"/>
        <d v="2025-06-27T06:56:32" u="1"/>
        <d v="2025-06-11T15:19:41" u="1"/>
        <d v="2025-06-25T18:45:23" u="1"/>
        <d v="2025-06-25T19:07:13" u="1"/>
        <d v="2025-06-18T11:16:54" u="1"/>
        <d v="2025-06-24T14:06:09" u="1"/>
        <d v="2025-06-23T17:23:29" u="1"/>
        <d v="2025-06-18T15:07:34" u="1"/>
        <d v="2025-06-25T15:07:39" u="1"/>
        <d v="2025-06-25T17:37:40" u="1"/>
        <d v="2025-06-23T08:52:17" u="1"/>
        <d v="2025-06-11T12:37:23" u="1"/>
        <d v="2025-06-09T16:48:10" u="1"/>
        <d v="2025-06-24T17:22:21" u="1"/>
        <d v="2025-06-24T17:22:22" u="1"/>
        <d v="2025-06-24T14:40:08" u="1"/>
        <d v="2025-06-24T14:40:14" u="1"/>
        <d v="2025-06-24T16:44:47" u="1"/>
        <d v="2025-06-24T16:19:53" u="1"/>
        <d v="2025-06-24T16:19:54" u="1"/>
        <d v="2025-06-24T16:20:09" u="1"/>
        <d v="2025-06-24T16:26:55" u="1"/>
        <d v="2025-06-24T16:26:56" u="1"/>
        <d v="2025-06-24T16:27:02" u="1"/>
        <d v="2025-06-24T16:27:14" u="1"/>
        <d v="2025-06-25T18:03:48" u="1"/>
        <d v="2025-06-25T14:37:03" u="1"/>
        <d v="2025-06-24T09:50:04" u="1"/>
        <d v="2025-06-25T16:01:44" u="1"/>
        <d v="2025-06-25T17:37:37" u="1"/>
        <d v="2025-06-25T19:36:01" u="1"/>
        <d v="2025-06-26T06:54:37" u="1"/>
        <d v="2025-06-25T15:06:54" u="1"/>
        <d v="2025-06-25T17:06:29" u="1"/>
        <d v="2025-06-16T17:18:10" u="1"/>
        <d v="2024-03-27T18:10:15" u="1"/>
        <d v="2025-06-25T17:07:59" u="1"/>
        <d v="2025-06-20T10:19:57" u="1"/>
        <d v="2025-06-24T19:19:52" u="1"/>
        <d v="2025-06-06T12:20:26" u="1"/>
        <d v="2025-06-20T15:05:40" u="1"/>
        <d v="2025-06-20T15:05:47" u="1"/>
        <d v="2025-06-17T10:20:33" u="1"/>
        <d v="2025-06-24T16:50:35" u="1"/>
        <d v="2025-06-25T11:17:10" u="1"/>
        <d v="2025-06-25T11:17:17" u="1"/>
        <d v="2025-06-02T09:46:15" u="1"/>
        <d v="2025-06-05T09:45:52" u="1"/>
        <d v="2025-06-09T12:31:17" u="1"/>
        <d v="2025-06-25T18:47:58" u="1"/>
        <d v="2025-06-13T12:02:09" u="1"/>
        <d v="2025-06-12T18:01:34" u="1"/>
        <d v="2025-06-13T08:31:18" u="1"/>
        <d v="2025-06-13T08:45:58" u="1"/>
        <d v="2025-06-05T08:45:43" u="1"/>
        <d v="2025-06-05T08:46:04" u="1"/>
        <d v="2025-06-05T09:45:57" u="1"/>
        <d v="2025-06-06T16:45:49" u="1"/>
        <d v="2025-06-12T18:15:54" u="1"/>
        <d v="2025-06-12T18:16:10" u="1"/>
        <d v="2025-06-10T09:46:40" u="1"/>
        <d v="2025-06-09T15:01:50" u="1"/>
        <d v="2025-06-24T18:47:02" u="1"/>
        <d v="2025-06-24T18:47:35" u="1"/>
        <d v="2025-06-24T13:46:00" u="1"/>
        <d v="2025-06-25T18:14:17" u="1"/>
        <d v="2025-06-25T18:31:56" u="1"/>
        <d v="2025-06-23T18:20:11" u="1"/>
        <d v="2025-06-13T12:50:45" u="1"/>
        <d v="2025-06-12T18:06:07" u="1"/>
        <d v="2025-06-24T19:05:32" u="1"/>
        <d v="2025-06-23T18:50:04" u="1"/>
        <d v="2025-06-13T13:06:05" u="1"/>
        <d v="2025-04-25T19:38:53" u="1"/>
        <d v="2025-06-25T08:19:56" u="1"/>
        <d v="2025-06-25T08:35:38" u="1"/>
        <d v="2025-06-24T18:52:10" u="1"/>
        <d v="2025-06-23T18:05:26" u="1"/>
        <d v="2025-06-23T18:50:10" u="1"/>
        <d v="2025-06-06T16:02:11" u="1"/>
        <d v="2025-06-26T06:54:36" u="1"/>
        <d v="2025-06-24T18:03:30" u="1"/>
        <d v="2025-06-16T09:15:40" u="1"/>
        <d v="2025-06-18T14:31:04" u="1"/>
        <d v="2025-06-12T18:19:58" u="1"/>
        <d v="2025-06-23T16:33:55" u="1"/>
        <d v="2025-06-25T18:47:24" u="1"/>
        <d v="2025-06-12T18:05:37" u="1"/>
        <d v="2025-06-23T18:20:06" u="1"/>
        <d v="2025-06-23T18:20:17" u="1"/>
        <d v="2025-06-25T08:31:14" u="1"/>
        <d v="2025-06-11T19:16:26" u="1"/>
        <d v="2025-06-25T18:03:43" u="1"/>
        <d v="2025-06-25T18:03:21" u="1"/>
        <d v="2025-06-25T15:01:28" u="1"/>
        <d v="2025-06-25T17:46:31" u="1"/>
        <d v="2025-06-25T17:52:09" u="1"/>
        <d v="2025-06-25T10:54:16" u="1"/>
        <d v="2025-06-25T10:58:22" u="1"/>
        <d v="2025-06-25T10:49:50" u="1"/>
        <d v="2025-06-13T12:03:17" u="1"/>
        <d v="2025-06-12T17:16:23" u="1"/>
        <d v="2025-06-25T18:04:08" u="1"/>
        <d v="2025-06-16T09:16:54" u="1"/>
        <d v="2025-06-16T09:15:33" u="1"/>
        <d v="2025-06-16T09:17:05" u="1"/>
        <d v="2025-06-25T18:03:36" u="1"/>
        <d v="2025-06-24T15:32:02" u="1"/>
        <d v="2025-01-17T08:36:05" u="1"/>
        <d v="2025-06-16T12:31:46" u="1"/>
        <d v="2025-06-24T19:34:58" u="1"/>
        <d v="2025-06-16T16:32:08" u="1"/>
        <d v="2025-06-09T16:48:37" u="1"/>
        <d v="2025-06-20T08:46:36" u="1"/>
        <d v="2025-06-25T17:36:57" u="1"/>
        <d v="2025-06-16T12:31:30" u="1"/>
        <d v="2025-06-16T16:32:03" u="1"/>
        <d v="2025-06-16T09:32:10" u="1"/>
        <d v="2025-06-25T13:20:27" u="1"/>
        <d v="2025-06-25T15:32:16" u="1"/>
        <d v="2025-06-24T14:00:02" u="1"/>
        <d v="2025-06-24T14:12:05" u="1"/>
        <d v="2025-06-24T14:23:00" u="1"/>
        <d v="2025-06-24T15:51:06" u="1"/>
        <d v="2025-06-23T13:52:07" u="1"/>
        <d v="2025-06-24T16:55:14" u="1"/>
        <d v="2025-06-24T13:51:00" u="1"/>
        <d v="2025-06-23T13:15:02" u="1"/>
        <d v="2025-06-23T13:17:21" u="1"/>
        <d v="2025-06-16T09:31:12" u="1"/>
        <d v="2025-06-24T14:30:15" u="1"/>
        <d v="2025-06-23T11:31:46" u="1"/>
        <d v="2025-06-23T11:03:06" u="1"/>
        <d v="2025-06-23T10:47:58" u="1"/>
        <d v="2025-06-23T12:31:23" u="1"/>
        <d v="2025-06-20T17:01:53" u="1"/>
        <d v="2025-06-20T17:17:07" u="1"/>
        <d v="2025-06-24T08:14:34" u="1"/>
        <d v="2025-06-24T18:17:35" u="1"/>
        <d v="2025-06-24T13:37:42" u="1"/>
        <d v="2025-06-24T13:29:44" u="1"/>
        <d v="2025-06-24T13:33:36" u="1"/>
        <d v="2025-06-23T20:11:23" u="1"/>
        <d v="2025-06-24T13:36:48" u="1"/>
        <d v="2025-06-10T10:32:11" u="1"/>
        <d v="2025-06-16T17:14:56" u="1"/>
        <d v="2025-06-24T00:52:57" u="1"/>
        <d v="2025-06-17T14:07:27" u="1"/>
        <d v="2025-06-24T09:54:51" u="1"/>
        <d v="2025-06-24T10:46:28" u="1"/>
        <d v="2025-06-24T10:52:02" u="1"/>
        <d v="2025-06-18T10:56:45" u="1"/>
        <d v="2025-06-17T17:31:07" u="1"/>
        <d v="2025-06-13T08:15:54" u="1"/>
        <d v="2025-06-16T17:01:05" u="1"/>
        <d v="2025-06-20T12:01:01" u="1"/>
        <d v="2025-06-23T17:16:30" u="1"/>
        <d v="2025-06-23T17:16:45" u="1"/>
        <d v="2025-06-17T17:16:34" u="1"/>
        <d v="2025-06-24T15:31:35" u="1"/>
        <d v="2025-06-24T13:01:35" u="1"/>
        <d v="2025-06-23T17:17:23" u="1"/>
        <d v="2025-06-24T12:15:40" u="1"/>
        <d v="2025-06-24T13:01:28" u="1"/>
        <d v="2025-06-24T11:01:22" u="1"/>
        <d v="2025-06-24T11:01:37" u="1"/>
        <d v="2025-06-24T17:46:20" u="1"/>
        <d v="2025-06-24T17:00:59" u="1"/>
        <d v="2025-06-24T16:45:59" u="1"/>
        <d v="2025-06-24T16:46:06" u="1"/>
        <d v="2025-06-23T12:17:21" u="1"/>
        <d v="2025-06-23T10:47:11" u="1"/>
        <d v="2025-06-24T11:16:58" u="1"/>
        <d v="2025-06-23T14:47:07" u="1"/>
        <d v="2025-06-24T17:02:28" u="1"/>
        <d v="2025-06-24T17:02:38" u="1"/>
        <d v="2025-06-24T17:01:44" u="1"/>
        <d v="2025-06-24T17:01:46" u="1"/>
        <d v="2025-06-24T18:01:32" u="1"/>
        <d v="2025-06-24T18:01:34" u="1"/>
        <d v="2025-06-24T12:02:21" u="1"/>
        <d v="2025-06-24T12:02:22" u="1"/>
        <d v="2025-06-24T12:02:23" u="1"/>
        <d v="2025-06-23T15:03:44" u="1"/>
        <d v="2025-06-24T16:01:20" u="1"/>
        <d v="2025-06-23T00:51:22" u="1"/>
        <d v="2025-06-23T00:51:23" u="1"/>
        <d v="2025-06-20T15:35:37" u="1"/>
        <d v="2025-06-23T15:03:13" u="1"/>
        <d v="2025-06-23T15:03:24" u="1"/>
        <d v="2025-06-24T16:00:54" u="1"/>
        <d v="2025-06-24T15:01:08" u="1"/>
        <d v="2025-06-24T17:02:53" u="1"/>
        <d v="2025-06-24T16:03:05" u="1"/>
        <d v="2025-06-24T22:02:20" u="1"/>
        <d v="2025-06-22T20:41:42" u="1"/>
        <d v="2025-06-23T23:31:01" u="1"/>
        <d v="2025-06-23T23:42:14" u="1"/>
        <d v="2025-06-24T13:35:01" u="1"/>
        <d v="2025-06-20T15:35:41" u="1"/>
        <d v="2025-06-24T17:06:15" u="1"/>
        <d v="2025-06-24T15:50:24" u="1"/>
        <d v="2025-06-24T14:27:34" u="1"/>
        <d v="2025-06-24T18:13:57" u="1"/>
        <d v="2025-06-24T21:31:12" u="1"/>
        <d v="2025-06-24T14:58:31" u="1"/>
        <d v="2025-06-23T14:19:21" u="1"/>
        <d v="2025-06-25T03:07:20" u="1"/>
        <d v="2025-06-25T00:21:47" u="1"/>
        <d v="2025-06-23T23:54:57" u="1"/>
        <d v="2025-06-24T12:20:45" u="1"/>
        <d v="2025-06-24T18:54:02" u="1"/>
        <d v="2025-06-24T19:30:24" u="1"/>
        <d v="2025-06-24T19:34:14" u="1"/>
        <d v="2025-06-24T19:41:38" u="1"/>
        <d v="2025-06-24T19:43:02" u="1"/>
        <d v="2025-06-25T04:24:52" u="1"/>
        <d v="2025-06-23T19:05:54" u="1"/>
        <d v="2025-06-23T19:27:04" u="1"/>
        <d v="2025-06-23T19:35:45" u="1"/>
        <d v="2025-06-23T19:51:27" u="1"/>
        <d v="2025-06-24T19:48:31" u="1"/>
        <d v="2025-06-23T20:00:37" u="1"/>
        <d v="2025-06-24T19:16:37" u="1"/>
        <d v="2025-06-24T01:32:40" u="1"/>
        <d v="2025-05-30T20:57:20" u="1"/>
        <d v="2025-05-30T21:30:13" u="1"/>
        <d v="2025-05-20T21:54:19" u="1"/>
        <d v="2025-06-04T17:50:09" u="1"/>
        <d v="2025-06-20T15:35:10" u="1"/>
        <d v="2025-06-17T14:46:04" u="1"/>
        <d v="2025-06-23T17:16:19" u="1"/>
        <d v="2025-05-30T09:49:10" u="1"/>
        <d v="2025-05-30T09:49:03" u="1"/>
        <d v="2025-05-30T09:49:17" u="1"/>
        <d v="2025-06-24T15:58:28" u="1"/>
        <d v="2025-06-24T18:49:47" u="1"/>
        <d v="2025-06-24T17:04:25" u="1"/>
        <d v="2025-06-24T20:47:22" u="1"/>
        <d v="2025-06-24T17:12:01" u="1"/>
        <d v="2025-06-24T17:15:36" u="1"/>
        <d v="2025-06-17T14:08:24" u="1"/>
        <d v="2025-06-25T00:20:06" u="1"/>
        <d v="2025-05-07T16:02:09" u="1"/>
        <d v="2025-05-19T21:24:46" u="1"/>
        <d v="2025-05-27T10:19:11" u="1"/>
        <d v="2025-05-20T08:19:30" u="1"/>
        <d v="2025-05-20T08:19:35" u="1"/>
        <d v="2025-05-20T08:19:40" u="1"/>
        <d v="2025-05-20T17:25:07" u="1"/>
        <d v="2025-05-20T08:19:25" u="1"/>
        <d v="2025-05-27T10:19:04" u="1"/>
        <d v="2025-05-27T10:23:48" u="1"/>
        <d v="2025-06-23T11:35:58" u="1"/>
        <d v="2025-05-27T10:17:28" u="1"/>
        <d v="2025-05-27T17:06:06" u="1"/>
        <d v="2025-05-27T10:17:54" u="1"/>
        <d v="2025-05-27T10:22:44" u="1"/>
        <d v="2025-05-27T10:20:56" u="1"/>
        <d v="2025-05-27T10:22:30" u="1"/>
        <d v="2025-05-20T21:40:42" u="1"/>
        <d v="2025-05-22T16:43:31" u="1"/>
        <d v="2025-06-24T16:18:03" u="1"/>
        <d v="2025-06-24T20:31:59" u="1"/>
        <d v="2025-05-20T15:21:30" u="1"/>
        <d v="2025-05-22T16:29:25" u="1"/>
        <d v="2025-05-27T18:30:51" u="1"/>
        <d v="2025-05-27T23:26:24" u="1"/>
        <d v="2025-05-27T10:21:07" u="1"/>
        <d v="2025-05-27T15:32:37" u="1"/>
        <d v="2025-05-15T18:24:02" u="1"/>
        <d v="2025-05-27T14:17:33" u="1"/>
        <d v="2025-05-23T19:34:48" u="1"/>
        <d v="2025-05-21T13:20:15" u="1"/>
        <d v="2025-05-21T17:49:34" u="1"/>
        <d v="2025-06-24T18:17:41" u="1"/>
        <d v="2025-05-27T10:24:52" u="1"/>
        <d v="2025-05-26T16:05:46" u="1"/>
        <d v="2025-05-20T20:21:47" u="1"/>
        <d v="2025-05-27T10:23:28" u="1"/>
        <d v="2025-05-28T11:02:19" u="1"/>
        <d v="2025-05-27T10:18:58" u="1"/>
        <d v="2025-05-27T20:33:09" u="1"/>
        <d v="2025-05-22T14:04:33" u="1"/>
        <d v="2025-05-13T20:47:49" u="1"/>
        <d v="2025-05-29T08:32:12" u="1"/>
        <d v="2025-05-29T00:12:40" u="1"/>
        <d v="2025-05-19T17:16:47" u="1"/>
        <d v="2025-05-15T18:21:00" u="1"/>
        <d v="2025-05-20T20:19:07" u="1"/>
        <d v="2025-05-28T15:46:27" u="1"/>
        <d v="2025-05-27T20:34:19" u="1"/>
        <d v="2025-05-22T19:49:36" u="1"/>
        <d v="2025-05-20T17:23:53" u="1"/>
        <d v="2025-05-19T17:16:38" u="1"/>
        <d v="2025-06-24T20:31:54" u="1"/>
        <d v="2025-05-20T09:45:38" u="1"/>
        <d v="2025-05-27T10:20:18" u="1"/>
        <d v="2025-05-28T13:15:57" u="1"/>
        <d v="2025-05-27T20:33:14" u="1"/>
        <d v="2025-05-27T10:19:35" u="1"/>
        <d v="2025-05-21T09:16:03" u="1"/>
        <d v="2025-05-27T16:35:52" u="1"/>
        <d v="2025-05-27T16:36:17" u="1"/>
        <d v="2025-04-29T19:02:27" u="1"/>
        <d v="2025-05-27T10:23:35" u="1"/>
        <d v="2025-05-27T10:17:22" u="1"/>
        <d v="2025-04-09T11:21:29" u="1"/>
        <d v="2025-04-13T17:33:13" u="1"/>
        <d v="2025-03-20T15:52:10" u="1"/>
        <d v="2025-05-27T10:23:41" u="1"/>
        <d v="2025-05-19T13:31:03" u="1"/>
        <d v="2025-05-29T10:32:56" u="1"/>
        <d v="2025-04-09T11:37:22" u="1"/>
        <d v="2025-05-19T13:28:47" u="1"/>
        <d v="2025-06-24T19:32:12" u="1"/>
        <d v="2025-05-27T10:22:58" u="1"/>
        <d v="2025-05-20T13:37:43" u="1"/>
        <d v="2025-05-27T10:20:31" u="1"/>
        <d v="2025-05-15T18:24:13" u="1"/>
        <d v="2025-03-05T21:24:45" u="1"/>
        <d v="2025-05-28T20:16:37" u="1"/>
        <d v="2025-03-24T19:23:49" u="1"/>
        <d v="2025-03-31T16:38:17" u="1"/>
        <d v="2025-05-20T20:22:04" u="1"/>
        <d v="2025-04-13T17:33:04" u="1"/>
        <d v="2025-05-22T18:37:59" u="1"/>
        <d v="2025-05-19T13:32:27" u="1"/>
        <d v="2025-05-22T18:38:04" u="1"/>
        <d v="2025-05-20T12:23:08" u="1"/>
        <d v="2025-05-27T10:20:24" u="1"/>
        <d v="2025-05-12T10:32:41" u="1"/>
        <d v="2025-05-12T10:32:52" u="1"/>
        <d v="2025-06-18T05:01:31" u="1"/>
        <d v="2025-05-28T19:15:07" u="1"/>
        <d v="2025-06-18T05:27:19" u="1"/>
        <d v="2025-06-19T03:56:52" u="1"/>
        <d v="2025-06-20T01:01:26" u="1"/>
        <d v="2025-06-20T03:02:14" u="1"/>
        <d v="2025-05-27T10:21:52" u="1"/>
        <d v="2025-05-19T13:22:59" u="1"/>
        <d v="2025-05-30T09:49:53" u="1"/>
        <d v="2025-05-27T12:16:19" u="1"/>
        <d v="2025-05-21T19:24:43" u="1"/>
        <d v="2025-06-24T18:17:24" u="1"/>
        <d v="2025-06-20T08:32:24" u="1"/>
        <d v="2025-05-26T09:25:10" u="1"/>
        <d v="2025-06-24T19:57:49" u="1"/>
        <d v="2025-05-30T12:11:07" u="1"/>
        <d v="2025-05-30T12:11:32" u="1"/>
        <d v="2025-06-23T14:22:02" u="1"/>
        <d v="2025-05-27T10:19:23" u="1"/>
        <d v="2025-05-20T15:53:09" u="1"/>
        <d v="2025-05-19T13:24:13" u="1"/>
        <d v="2025-06-18T18:32:39" u="1"/>
        <d v="2025-05-27T10:20:48" u="1"/>
        <d v="2025-05-20T09:45:56" u="1"/>
        <d v="2025-05-20T12:52:09" u="1"/>
        <d v="2025-05-23T19:07:50" u="1"/>
        <d v="2025-05-27T10:19:29" u="1"/>
        <d v="2025-05-20T08:19:19" u="1"/>
        <d v="2025-05-12T10:32:32" u="1"/>
        <d v="2025-05-29T18:09:05" u="1"/>
        <d v="2025-05-05T14:03:01" u="1"/>
        <d v="2025-05-29T12:33:03" u="1"/>
        <d v="2025-05-30T13:47:53" u="1"/>
        <d v="2025-05-08T12:07:54" u="1"/>
        <d v="2025-06-19T04:46:53" u="1"/>
        <d v="2025-05-22T16:29:33" u="1"/>
        <d v="2025-05-08T07:46:55" u="1"/>
        <d v="2025-06-24T17:15:37" u="1"/>
        <d v="2025-06-06T19:24:34" u="1"/>
        <d v="2025-06-16T10:25:21" u="1"/>
        <d v="2025-06-21T14:09:45" u="1"/>
        <d v="2025-05-02T13:58:42" u="1"/>
        <d v="2025-05-02T13:58:55" u="1"/>
        <d v="2025-05-19T13:31:34" u="1"/>
        <d v="2025-05-19T11:21:32" u="1"/>
        <d v="2025-05-27T10:22:25" u="1"/>
        <d v="2025-06-13T18:54:39" u="1"/>
        <d v="2025-06-24T19:39:48" u="1"/>
        <d v="2025-06-24T15:29:49" u="1"/>
        <d v="2025-06-23T09:53:20" u="1"/>
        <d v="2025-05-26T12:22:49" u="1"/>
        <d v="2025-06-17T04:22:15" u="1"/>
        <d v="2025-05-21T17:03:47" u="1"/>
        <d v="2025-06-24T17:47:15" u="1"/>
        <d v="2025-05-23T18:21:21" u="1"/>
        <d v="2025-05-19T13:30:47" u="1"/>
        <d v="2025-03-19T20:19:37" u="1"/>
        <d v="2025-05-27T10:20:03" u="1"/>
        <d v="2025-06-24T17:15:52" u="1"/>
        <d v="2025-05-19T12:08:13" u="1"/>
        <d v="2025-06-17T17:33:38" u="1"/>
        <d v="2025-03-19T20:20:53" u="1"/>
        <d v="2025-06-20T09:32:25" u="1"/>
        <d v="2025-06-24T18:17:11" u="1"/>
        <d v="2025-06-16T14:55:20" u="1"/>
        <d v="2025-06-20T11:08:14" u="1"/>
        <d v="2025-06-24T08:46:50" u="1"/>
        <d v="2025-06-24T08:46:42" u="1"/>
        <d v="2025-06-24T08:46:59" u="1"/>
        <d v="2025-06-17T18:42:06" u="1"/>
        <d v="2025-06-18T18:28:36" u="1"/>
        <d v="2025-06-04T14:21:03" u="1"/>
        <d v="2025-06-24T15:59:56" u="1"/>
        <d v="2025-06-24T17:07:34" u="1"/>
        <d v="2025-06-23T13:36:15" u="1"/>
        <d v="2025-06-23T10:56:39" u="1"/>
        <d v="2025-06-04T08:24:13" u="1"/>
        <d v="2025-06-04T08:24:14" u="1"/>
        <d v="2025-06-17T17:27:14" u="1"/>
        <d v="2025-06-17T17:36:51" u="1"/>
        <d v="2025-06-17T17:36:54" u="1"/>
        <d v="2025-06-17T17:36:56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23T09:02:07" u="1"/>
        <d v="2025-06-23T11:32:48" u="1"/>
        <d v="2025-06-22T23:40:54" u="1"/>
        <d v="2025-06-22T23:44:15" u="1"/>
        <d v="2025-06-23T09:47:10" u="1"/>
        <d v="2025-06-09T16:48:54" u="1"/>
        <d v="2025-06-23T14:35:06" u="1"/>
        <d v="2025-06-23T11:35:12" u="1"/>
        <d v="2025-06-20T16:05:54" u="1"/>
        <d v="2025-06-23T15:04:08" u="1"/>
        <d v="2025-06-20T08:21:20" u="1"/>
        <d v="2025-06-10T13:20:10" u="1"/>
        <d v="2025-06-10T13:20:22" u="1"/>
        <d v="2025-06-13T19:06:46" u="1"/>
        <d v="2025-06-23T11:16:49" u="1"/>
        <d v="2025-06-09T18:15:33" u="1"/>
        <d v="2025-06-23T02:53:04" u="1"/>
        <d v="2025-06-21T15:24:47" u="1"/>
        <d v="2025-06-20T13:46:51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08:12:04" u="1"/>
        <d v="2025-06-23T08:13:56" u="1"/>
        <d v="2025-06-21T00:48:53" u="1"/>
        <d v="2025-06-23T23:32:36" u="1"/>
        <d v="2025-06-21T00:36:21" u="1"/>
        <d v="2025-06-21T00:37:55" u="1"/>
        <d v="2025-06-22T13:46:23" u="1"/>
        <d v="2025-06-23T10:01:37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4T06:55:48" u="1"/>
        <d v="2025-06-24T06:57:05" u="1"/>
        <d v="2025-06-23T07:46:20" u="1"/>
        <d v="2025-06-23T07:46:21" u="1"/>
        <d v="2025-06-23T15:35:12" u="1"/>
        <d v="2025-06-20T09:08:42" u="1"/>
        <d v="2025-06-22T03:16:16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2T05:29:12" u="1"/>
        <d v="2025-06-20T16:57:39" u="1"/>
        <d v="2025-06-20T16:02:07" u="1"/>
        <d v="2025-06-20T15:19:31" u="1"/>
        <d v="2025-06-21T10:04:34" u="1"/>
        <d v="2025-06-21T10:04:38" u="1"/>
        <d v="2025-06-21T10:04:42" u="1"/>
        <d v="2025-06-22T10:32:32" u="1"/>
        <d v="2025-06-23T13:56:21" u="1"/>
        <d v="2025-06-23T14:39:55" u="1"/>
        <d v="2025-06-23T15:17:48" u="1"/>
        <d v="2025-06-19T16:39:04" u="1"/>
        <d v="2025-06-23T20:16:24" u="1"/>
        <d v="2025-06-20T16:19:32" u="1"/>
        <d v="2025-06-23T19:01:26" u="1"/>
        <d v="2025-06-23T18:15:31" u="1"/>
        <d v="2025-06-23T17:45:57" u="1"/>
        <d v="2025-06-23T18:00:56" u="1"/>
        <d v="2025-06-20T18:49:45" u="1"/>
        <d v="2025-06-20T16:13:07" u="1"/>
        <d v="2025-06-23T16:07:49" u="1"/>
        <d v="2025-06-21T21:34:58" u="1"/>
        <d v="2025-06-23T17:46:40" u="1"/>
        <d v="2025-06-20T14:25:16" u="1"/>
        <d v="2025-06-23T08:50:43" u="1"/>
        <d v="2025-06-23T11:17:23" u="1"/>
        <d v="2025-06-23T13:13:46" u="1"/>
        <d v="2025-06-23T13:56:31" u="1"/>
        <d v="2025-06-23T17:21:48" u="1"/>
        <d v="2025-06-23T18:05:05" u="1"/>
        <d v="2025-06-13T12:46:07" u="1"/>
        <d v="2025-06-23T23:14:27" u="1"/>
        <d v="2025-06-23T18:15:39" u="1"/>
        <d v="2025-06-05T15:17:23" u="1"/>
        <d v="2025-06-23T15:50:30" u="1"/>
        <d v="2025-06-20T16:24:56" u="1"/>
        <d v="2025-06-22T11:43:12" u="1"/>
        <d v="2025-06-23T11:57:09" u="1"/>
        <d v="2025-06-23T17:02:23" u="1"/>
        <d v="2025-06-23T12:06:29" u="1"/>
        <d v="2025-06-17T16:20:40" u="1"/>
        <d v="2025-06-23T10:36:01" u="1"/>
        <d v="2025-06-23T20:41:11" u="1"/>
        <d v="2025-06-21T06:34:38" u="1"/>
        <d v="2025-06-17T21:23:57" u="1"/>
        <d v="2025-06-21T13:24:25" u="1"/>
        <d v="2025-06-23T19:35:02" u="1"/>
        <d v="2025-06-17T11:08:28" u="1"/>
        <d v="2025-06-20T19:05:47" u="1"/>
        <d v="2025-06-21T07:06:40" u="1"/>
        <d v="2025-06-21T07:09:36" u="1"/>
        <d v="2025-06-20T14:06:01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21T21:18:06" u="1"/>
        <d v="2025-06-21T21:27:51" u="1"/>
        <d v="2025-06-20T16:22:00" u="1"/>
        <d v="2025-06-21T11:53:28" u="1"/>
        <d v="2025-06-20T19:04:43" u="1"/>
        <d v="2025-06-21T04:08:09" u="1"/>
        <d v="2025-06-20T19:16:25" u="1"/>
        <d v="2025-06-20T13:49:07" u="1"/>
        <d v="2025-06-20T19:03:46" u="1"/>
        <d v="2025-06-17T18:38:32" u="1"/>
        <d v="2025-06-20T15:45:05" u="1"/>
        <d v="2025-06-18T03:57:31" u="1"/>
        <d v="2025-06-18T04:33:55" u="1"/>
        <d v="2025-06-19T04:14:31" u="1"/>
        <d v="2025-06-19T04:18:31" u="1"/>
        <d v="2025-06-19T04:35:16" u="1"/>
        <d v="2025-06-19T04:44:27" u="1"/>
        <d v="2025-06-21T04:24:09" u="1"/>
        <d v="2025-06-20T17:16:58" u="1"/>
        <d v="2025-06-23T06:24:36" u="1"/>
        <d v="2025-06-21T16:16:17" u="1"/>
        <d v="2025-06-23T01:52:37" u="1"/>
        <d v="2025-06-23T02:44:15" u="1"/>
        <d v="2025-06-23T02:50:07" u="1"/>
        <d v="2025-06-23T02:55:51" u="1"/>
        <d v="2025-06-23T04:14:41" u="1"/>
        <d v="2025-06-20T05:19:58" u="1"/>
        <d v="2025-06-21T14:34:46" u="1"/>
        <d v="2025-06-23T01:35:40" u="1"/>
        <d v="2025-06-17T23:36:04" u="1"/>
        <d v="2025-06-20T01:37:17" u="1"/>
        <d v="2025-06-21T14:58:12" u="1"/>
        <d v="2025-06-20T04:35:46" u="1"/>
        <d v="2025-06-18T00:23:32" u="1"/>
        <d v="2025-06-18T14:46:48" u="1"/>
        <d v="2025-06-20T08:31:32" u="1"/>
        <d v="2025-06-17T17:17:19" u="1"/>
        <d v="2025-06-20T17:04:04" u="1"/>
        <d v="2025-06-18T17:02:57" u="1"/>
        <d v="2025-06-20T17:03:29" u="1"/>
        <d v="2025-06-20T19:02:44" u="1"/>
        <d v="2025-06-20T19:02:45" u="1"/>
        <d v="2025-06-20T11:02:10" u="1"/>
        <d v="2025-06-20T11:05:00" u="1"/>
        <d v="2025-06-20T11:05:02" u="1"/>
        <d v="2025-06-20T11:04:56" u="1"/>
        <d v="2025-06-20T11:04:58" u="1"/>
        <d v="2025-06-18T11:00:47" u="1"/>
        <d v="2025-06-18T11:01:26" u="1"/>
        <d v="2025-06-16T10:00:17" u="1"/>
        <d v="2025-06-22T13:18:30" u="1"/>
        <d v="2025-06-21T00:39:23" u="1"/>
        <d v="2025-06-21T00:56:46" u="1"/>
        <d v="2025-06-21T01:31:19" u="1"/>
        <d v="2025-06-21T01:37:20" u="1"/>
        <d v="2025-06-21T00:40:56" u="1"/>
        <d v="2025-06-18T00:34:41" u="1"/>
        <d v="2025-06-06T10:03:38" u="1"/>
        <d v="2025-06-10T09:01:48" u="1"/>
        <d v="2025-06-17T14:01:27" u="1"/>
        <d v="2025-06-17T14:02:32" u="1"/>
        <d v="2025-06-17T17:01:47" u="1"/>
        <d v="2025-06-17T15:01:49" u="1"/>
        <d v="2025-06-17T15:04:02" u="1"/>
        <d v="2025-06-17T15:04:13" u="1"/>
        <d v="2025-06-17T15:04:39" u="1"/>
        <d v="2025-06-18T16:02:44" u="1"/>
        <d v="2025-06-18T10:01:39" u="1"/>
        <d v="2025-06-18T14:01:04" u="1"/>
        <d v="2025-06-18T14:01:16" u="1"/>
        <d v="2025-06-20T11:02:49" u="1"/>
        <d v="2025-06-20T11:04:35" u="1"/>
        <d v="2025-06-20T11:01:27" u="1"/>
        <d v="2025-06-20T09:01:31" u="1"/>
        <d v="2025-06-20T14:01:58" u="1"/>
        <d v="2025-06-18T08:01:51" u="1"/>
        <d v="2025-06-20T16:01:52" u="1"/>
        <d v="2025-06-09T09:00:18" u="1"/>
        <d v="2025-06-03T16:01:40" u="1"/>
        <d v="2025-06-20T14:01:31" u="1"/>
        <d v="2025-06-20T16:01:26" u="1"/>
        <d v="2025-06-20T11:00:37" u="1"/>
        <d v="2025-06-20T11:01:18" u="1"/>
        <d v="2025-06-20T17:00:43" u="1"/>
        <d v="2025-06-18T18:02:05" u="1"/>
        <d v="2025-06-18T18:02:06" u="1"/>
        <d v="2025-06-17T10:20:45" u="1"/>
        <d v="2025-06-21T09:12:14" u="1"/>
        <d v="2025-06-19T15:26:26" u="1"/>
        <d v="2025-06-22T19:30:03" u="1"/>
        <d v="2025-06-22T19:56:17" u="1"/>
        <d v="2025-06-14T11:15:09" u="1"/>
        <d v="2025-06-18T15:06:24" u="1"/>
        <d v="2025-06-18T01:37:43" u="1"/>
        <d v="2025-06-20T12:24:34" u="1"/>
        <d v="2025-06-14T17:44:33" u="1"/>
        <d v="2025-06-15T21:04:53" u="1"/>
        <d v="2025-06-18T12:44:58" u="1"/>
        <d v="2025-06-22T13:29:54" u="1"/>
        <d v="2025-06-11T08:02:28" u="1"/>
        <d v="2025-06-21T18:26:20" u="1"/>
        <d v="2025-06-21T18:35:01" u="1"/>
        <d v="2025-06-21T19:21:27" u="1"/>
        <d v="2025-06-18T03:32:17" u="1"/>
        <d v="2025-06-18T03:33:06" u="1"/>
        <d v="2025-06-20T07:23:19" u="1"/>
        <d v="2025-06-20T07:40:39" u="1"/>
        <d v="2025-06-20T09:15:59" u="1"/>
        <d v="2025-06-20T10:41:31" u="1"/>
        <d v="2025-06-06T16:38:47" u="1"/>
        <d v="2025-06-06T16:38:48" u="1"/>
        <d v="2025-06-18T16:44:24" u="1"/>
        <d v="2025-06-18T17:03:02" u="1"/>
        <d v="2025-06-18T17:10:24" u="1"/>
        <d v="2025-06-18T17:00:32" u="1"/>
        <d v="2025-06-17T19:35:52" u="1"/>
        <d v="2025-06-15T14:31:22" u="1"/>
        <d v="2025-06-15T14:46:04" u="1"/>
        <d v="2025-06-17T19:51:02" u="1"/>
        <d v="2025-06-20T17:31:35" u="1"/>
        <d v="2025-06-20T17:42:51" u="1"/>
        <d v="2025-06-20T17:55:31" u="1"/>
        <d v="2025-06-20T17:57:06" u="1"/>
        <d v="2025-06-20T17:58:29" u="1"/>
        <d v="2025-06-20T15:59:19" u="1"/>
        <d v="2025-06-20T16:06:14" u="1"/>
        <d v="2025-06-20T15:38:03" u="1"/>
        <d v="2025-06-20T15:45:04" u="1"/>
        <d v="2025-06-20T15:27:16" u="1"/>
        <d v="2025-06-06T21:42:14" u="1"/>
        <d v="2025-06-19T02:17:38" u="1"/>
        <d v="2025-06-21T07:08:08" u="1"/>
        <d v="2025-06-17T07:49:57" u="1"/>
        <d v="2025-06-19T07:28:36" u="1"/>
        <d v="2025-06-06T14:39:14" u="1"/>
        <d v="2025-06-06T14:39:17" u="1"/>
        <d v="2025-06-21T14:11:14" u="1"/>
        <d v="2025-06-21T14:12:42" u="1"/>
        <d v="2025-06-21T14:14:03" u="1"/>
        <d v="2025-06-20T17:47:45" u="1"/>
        <d v="2025-06-20T17:47:49" u="1"/>
        <d v="2025-06-20T17:47:52" u="1"/>
        <d v="2025-06-20T17:47:55" u="1"/>
        <d v="2025-06-18T16:48:33" u="1"/>
        <d v="2025-06-03T15:05:50" u="1"/>
        <d v="2025-06-20T18:35:38" u="1"/>
        <d v="2025-06-20T18:34:41" u="1"/>
        <d v="2025-06-20T18:34:55" u="1"/>
        <d v="2025-06-13T05:30:12" u="1"/>
        <d v="2025-06-20T18:35:16" u="1"/>
        <d v="2025-06-18T19:03:50" u="1"/>
        <d v="2025-06-20T18:32:15" u="1"/>
        <d v="2025-06-20T18:32:59" u="1"/>
        <d v="2025-06-20T18:34:30" u="1"/>
        <d v="2025-06-18T10:32:41" u="1"/>
        <d v="2025-06-18T10:32:54" u="1"/>
        <d v="2025-06-18T10:33:04" u="1"/>
        <d v="2025-06-20T18:33:19" u="1"/>
        <d v="2025-06-20T18:32:43" u="1"/>
        <d v="2025-06-19T15:24:13" u="1"/>
        <d v="2025-06-20T16:55:47" u="1"/>
        <d v="2025-06-20T13:45:51" u="1"/>
        <d v="2025-06-20T16:27:35" u="1"/>
        <d v="2025-06-20T18:49:02" u="1"/>
        <d v="2025-06-20T18:33:33" u="1"/>
        <d v="2025-06-22T23:55:12" u="1"/>
        <d v="2025-06-18T12:49:42" u="1"/>
        <d v="2025-06-20T12:47:55" u="1"/>
        <d v="2025-06-16T09:16:12" u="1"/>
        <d v="2025-06-20T18:49:40" u="1"/>
        <d v="2025-06-18T16:21:34" u="1"/>
        <d v="2025-06-11T16:37:38" u="1"/>
        <d v="2025-06-21T12:34:17" u="1"/>
        <d v="2025-06-18T11:04:20" u="1"/>
        <d v="2025-06-10T14:38:43" u="1"/>
        <d v="2025-06-09T14:02:12" u="1"/>
        <d v="2025-06-09T14:02:15" u="1"/>
        <d v="2025-06-09T18:14:51" u="1"/>
        <d v="2025-06-04T22:02:58" u="1"/>
        <d v="2025-06-05T18:02:36" u="1"/>
        <d v="2025-06-06T22:13:48" u="1"/>
        <d v="2025-06-06T22:13:55" u="1"/>
        <d v="2025-06-05T20:12:17" u="1"/>
        <d v="2025-06-06T15:29:46" u="1"/>
        <d v="2025-06-02T19:55:05" u="1"/>
        <d v="2025-06-02T19:56:00" u="1"/>
        <d v="2025-06-06T16:38:01" u="1"/>
        <d v="2025-06-18T04:42:45" u="1"/>
        <d v="2025-06-18T04:44:23" u="1"/>
        <d v="2025-06-18T04:50:49" u="1"/>
        <d v="2025-06-18T13:01:31" u="1"/>
        <d v="2025-06-12T11:11:39" u="1"/>
        <d v="2025-06-12T11:11:47" u="1"/>
        <d v="2025-06-12T11:11:54" u="1"/>
        <d v="2025-06-12T11:12:09" u="1"/>
        <d v="2025-06-12T11:12:18" u="1"/>
        <d v="2025-06-13T04:57:35" u="1"/>
        <d v="2025-06-17T01:24:56" u="1"/>
        <d v="2025-06-16T10:16:18" u="1"/>
        <d v="2025-06-17T14:46:24" u="1"/>
        <d v="2025-06-17T10:46:03" u="1"/>
        <d v="2025-06-17T10:46:08" u="1"/>
        <d v="2025-06-17T18:16:03" u="1"/>
        <d v="2025-06-17T17:31:52" u="1"/>
        <d v="2025-06-18T09:31:48" u="1"/>
        <d v="2025-06-18T12:01:18" u="1"/>
        <d v="2025-06-18T10:45:51" u="1"/>
        <d v="2025-06-18T10:45:57" u="1"/>
        <d v="2025-06-13T06:18:16" u="1"/>
        <d v="2025-06-13T06:19:02" u="1"/>
        <d v="2025-06-13T06:19:03" u="1"/>
        <d v="2025-06-18T12:03:55" u="1"/>
        <d v="2025-06-18T09:32:49" u="1"/>
        <d v="2025-06-16T17:48:37" u="1"/>
        <d v="2025-06-13T06:01:41" u="1"/>
        <d v="2025-06-11T16:20:38" u="1"/>
        <d v="2025-06-12T16:38:12" u="1"/>
        <d v="2025-06-12T18:12:13" u="1"/>
        <d v="2025-06-15T02:13:05" u="1"/>
        <d v="2025-06-13T15:31:39" u="1"/>
        <d v="2025-06-17T09:44:02" u="1"/>
        <d v="2025-06-17T09:29:47" u="1"/>
        <d v="2025-06-17T09:29:48" u="1"/>
        <d v="2025-06-13T05:28:25" u="1"/>
        <d v="2025-06-16T17:42:53" u="1"/>
        <d v="2025-06-16T18:15:51" u="1"/>
        <d v="2025-06-19T21:23:54" u="1"/>
        <d v="2025-06-17T11:46:22" u="1"/>
        <d v="2025-06-17T21:18:16" u="1"/>
        <d v="2025-06-17T21:19:22" u="1"/>
        <d v="2025-06-17T21:19:57" u="1"/>
        <d v="2025-06-17T21:21:35" u="1"/>
        <d v="2025-06-17T21:25:09" u="1"/>
        <d v="2025-06-13T15:47:00" u="1"/>
        <d v="2025-06-17T14:26:31" u="1"/>
        <d v="2025-06-15T05:48:00" u="1"/>
        <d v="2025-06-14T11:54:31" u="1"/>
        <d v="2025-06-18T19:15:40" u="1"/>
        <d v="2025-06-18T19:34:05" u="1"/>
        <d v="2025-06-18T19:38:20" u="1"/>
        <d v="2025-06-18T17:50:01" u="1"/>
        <d v="2025-06-18T17:50:12" u="1"/>
        <d v="2025-06-18T15:35:54" u="1"/>
        <d v="2025-06-18T14:36:22" u="1"/>
        <d v="2025-06-18T20:13:54" u="1"/>
        <d v="2025-06-18T16:17:03" u="1"/>
        <d v="2025-06-18T17:45:34" u="1"/>
        <d v="2025-06-18T14:15:56" u="1"/>
        <d v="2025-06-18T16:03:25" u="1"/>
        <d v="2025-06-18T16:03:32" u="1"/>
        <d v="2025-06-18T17:04:25" u="1"/>
        <d v="2025-06-18T19:03:44" u="1"/>
        <d v="2025-06-19T08:34:43" u="1"/>
        <d v="2025-06-18T13:02:41" u="1"/>
        <d v="2025-06-18T14:37:32" u="1"/>
        <d v="2025-06-18T15:13:27" u="1"/>
        <d v="2025-06-18T14:33:04" u="1"/>
        <d v="2025-06-19T05:19:20" u="1"/>
        <d v="2025-06-19T05:40:33" u="1"/>
        <d v="2025-06-19T01:37:31" u="1"/>
        <d v="2025-06-19T01:39:06" u="1"/>
        <d v="2025-06-18T16:16:28" u="1"/>
        <d v="2025-06-18T16:16:29" u="1"/>
        <d v="2025-06-18T16:16:30" u="1"/>
        <d v="2025-06-18T16:05:54" u="1"/>
        <d v="2025-06-18T16:05:55" u="1"/>
        <d v="2025-06-18T16:05:56" u="1"/>
        <d v="2025-06-18T17:36:32" u="1"/>
        <d v="2025-06-18T18:06:47" u="1"/>
        <d v="2025-06-18T17:50:26" u="1"/>
        <d v="2025-06-19T06:51:20" u="1"/>
        <d v="2025-06-19T06:28:13" u="1"/>
        <d v="2025-06-19T22:37:10" u="1"/>
        <d v="2025-06-19T22:39:51" u="1"/>
        <d v="2025-06-19T21:26:46" u="1"/>
        <d v="2025-06-18T22:31:15" u="1"/>
        <d v="2025-06-18T16:26:58" u="1"/>
        <d v="2025-06-18T21:20:02" u="1"/>
        <d v="2025-06-18T16:04:52" u="1"/>
        <d v="2025-06-18T16:16:16" u="1"/>
        <d v="2025-06-18T18:03:31" u="1"/>
        <d v="2025-06-18T19:02:36" u="1"/>
        <d v="2025-06-18T19:01:06" u="1"/>
        <d v="2025-06-18T19:01:16" u="1"/>
        <d v="2025-06-18T16:32:00" u="1"/>
        <d v="2025-06-18T13:53:50" u="1"/>
        <d v="2025-06-18T17:14:09" u="1"/>
        <d v="2025-06-18T18:30:00" u="1"/>
        <d v="2025-06-18T18:02:30" u="1"/>
        <d v="2025-06-18T23:42:59" u="1"/>
        <d v="2025-06-18T13:30:54" u="1"/>
        <d v="2025-06-18T19:16:40" u="1"/>
        <d v="2025-06-18T18:32:28" u="1"/>
        <d v="2025-06-18T18:34:07" u="1"/>
        <d v="2025-06-18T16:16:08" u="1"/>
        <d v="2025-06-18T18:03:36" u="1"/>
        <d v="2025-06-18T15:50:01" u="1"/>
        <d v="2025-06-18T18:35:20" u="1"/>
        <d v="2025-06-18T19:02:44" u="1"/>
        <d v="2025-06-18T18:03:22" u="1"/>
        <d v="2025-05-13T20:54:32" u="1"/>
        <d v="2025-05-20T13:24:08" u="1"/>
        <d v="2025-06-06T19:16:47" u="1"/>
        <d v="2025-06-06T19:16:50" u="1"/>
        <d v="2025-06-05T15:53:08" u="1"/>
        <d v="2025-06-04T19:49:47" u="1"/>
        <d v="2025-06-04T19:49:55" u="1"/>
        <d v="2025-06-04T19:51:14" u="1"/>
        <d v="2025-06-04T13:46:12" u="1"/>
        <d v="2025-06-04T13:47:17" u="1"/>
        <d v="2025-06-09T11:51:26" u="1"/>
        <d v="2025-06-06T16:04:35" u="1"/>
        <d v="2025-06-06T17:12:26" u="1"/>
        <d v="2025-06-05T20:59:11" u="1"/>
        <d v="2025-06-02T19:05:49" u="1"/>
        <d v="2025-06-13T04:32:47" u="1"/>
        <d v="2025-06-13T15:32:01" u="1"/>
        <d v="2025-06-13T15:46:23" u="1"/>
        <d v="2025-06-12T15:07:21" u="1"/>
        <d v="2025-06-11T11:16:45" u="1"/>
        <d v="2025-06-11T11:17:09" u="1"/>
        <d v="2025-06-17T06:48:53" u="1"/>
        <d v="2025-06-16T16:46:07" u="1"/>
        <d v="2025-06-13T19:01:47" u="1"/>
        <d v="2025-06-18T00:40:53" u="1"/>
        <d v="2025-06-16T17:00:49" u="1"/>
        <d v="2025-06-16T17:01:22" u="1"/>
        <d v="2025-06-16T17:01:23" u="1"/>
        <d v="2025-06-16T17:01:34" u="1"/>
        <d v="2025-06-16T17:01:36" u="1"/>
        <d v="2025-06-16T13:01:23" u="1"/>
        <d v="2025-06-16T16:01:45" u="1"/>
        <d v="2025-06-16T08:46:39" u="1"/>
        <d v="2025-06-10T17:18:31" u="1"/>
        <d v="2025-06-11T13:33:42" u="1"/>
        <d v="2025-06-16T16:33:06" u="1"/>
        <d v="2025-06-12T16:04:50" u="1"/>
        <d v="2025-06-17T08:01:42" u="1"/>
        <d v="2025-06-16T17:01:40" u="1"/>
        <d v="2025-06-11T16:01:11" u="1"/>
        <d v="2025-06-16T18:24:29" u="1"/>
        <d v="2025-06-16T16:43:08" u="1"/>
        <d v="2025-06-13T09:46:38" u="1"/>
        <d v="2025-06-16T05:03:53" u="1"/>
        <d v="2025-06-16T05:03:54" u="1"/>
        <d v="2025-06-13T18:50:03" u="1"/>
        <d v="2025-06-10T11:43:57" u="1"/>
        <d v="2025-06-10T11:44:02" u="1"/>
        <d v="2025-06-10T11:44:08" u="1"/>
        <d v="2025-06-10T13:06:44" u="1"/>
        <d v="2025-06-10T13:06:51" u="1"/>
        <d v="2025-06-09T18:06:30" u="1"/>
        <d v="2025-06-10T08:50:10" u="1"/>
        <d v="2025-06-10T17:06:54" u="1"/>
        <d v="2025-06-11T08:34:43" u="1"/>
        <d v="2025-06-11T08:50:22" u="1"/>
        <d v="2025-06-11T09:05:14" u="1"/>
        <d v="2025-06-11T16:20:42" u="1"/>
        <d v="2025-06-11T16:20:46" u="1"/>
        <d v="2025-06-11T16:35:41" u="1"/>
        <d v="2025-06-11T15:49:47" u="1"/>
        <d v="2025-06-11T17:07:15" u="1"/>
        <d v="2025-06-11T17:07:23" u="1"/>
        <d v="2025-06-11T17:07:27" u="1"/>
        <d v="2025-06-11T17:20:24" u="1"/>
        <d v="2025-06-11T17:20:28" u="1"/>
        <d v="2025-06-11T17:35:23" u="1"/>
        <d v="2025-06-12T09:05:23" u="1"/>
        <d v="2025-06-12T11:21:32" u="1"/>
        <d v="2025-06-12T11:21:36" u="1"/>
        <d v="2025-06-16T09:06:15" u="1"/>
        <d v="2025-06-13T15:36:17" u="1"/>
        <d v="2025-06-13T15:50:18" u="1"/>
        <d v="2025-06-13T17:36:43" u="1"/>
        <d v="2025-06-16T17:06:43" u="1"/>
        <d v="2025-06-13T19:06:04" u="1"/>
        <d v="2025-06-16T15:20:01" u="1"/>
        <d v="2025-06-13T15:16:07" u="1"/>
        <d v="2025-06-16T19:54:07" u="1"/>
        <d v="2025-06-15T02:14:16" u="1"/>
        <d v="2025-06-14T05:53:04" u="1"/>
        <d v="2025-06-14T05:59:59" u="1"/>
        <d v="2025-06-13T05:30:25" u="1"/>
        <d v="2025-06-13T15:21:07" u="1"/>
        <d v="2025-06-12T12:00:48" u="1"/>
        <d v="2025-06-13T17:50:19" u="1"/>
        <d v="2025-06-16T17:06:31" u="1"/>
        <d v="2025-06-16T17:06:37" u="1"/>
        <d v="2025-06-13T19:06:13" u="1"/>
        <d v="2025-06-17T08:05:08" u="1"/>
        <d v="2025-06-16T08:25:15" u="1"/>
        <d v="2025-06-17T14:06:52" u="1"/>
        <d v="2025-06-17T14:19:57" u="1"/>
        <d v="2025-06-17T17:32:32" u="1"/>
        <d v="2025-06-17T19:26:58" u="1"/>
        <d v="2025-06-18T00:20:13" u="1"/>
        <d v="2025-06-17T17:33:56" u="1"/>
        <d v="2025-06-17T10:17:55" u="1"/>
        <d v="2025-06-17T18:00:59" u="1"/>
        <d v="2025-06-17T18:01:01" u="1"/>
        <d v="2025-06-17T18:01:02" u="1"/>
        <d v="2025-06-17T18:01:04" u="1"/>
        <d v="2025-06-17T16:02:22" u="1"/>
        <d v="2025-06-17T10:02:27" u="1"/>
        <d v="2025-06-17T10:02:31" u="1"/>
        <d v="2025-06-17T11:03:07" u="1"/>
        <d v="2025-06-17T13:02:47" u="1"/>
        <d v="2025-06-17T11:17:59" u="1"/>
        <d v="2025-06-17T11:18:00" u="1"/>
        <d v="2025-06-18T00:58:30" u="1"/>
        <d v="2025-06-17T13:45:44" u="1"/>
        <d v="2025-06-17T13:55:55" u="1"/>
        <d v="2025-06-17T14:46:40" u="1"/>
        <d v="2025-06-17T14:26:29" u="1"/>
        <d v="2025-06-17T16:50:41" u="1"/>
        <d v="2025-06-17T17:37:33" u="1"/>
        <d v="2025-06-18T04:53:30" u="1"/>
        <d v="2025-06-17T17:57:55" u="1"/>
        <d v="2025-06-17T19:22:23" u="1"/>
        <d v="2025-06-17T23:40:27" u="1"/>
        <d v="2025-06-17T18:22:04" u="1"/>
        <d v="2025-06-17T17:37:17" u="1"/>
        <d v="2025-06-17T19:37:09" u="1"/>
        <d v="2025-06-17T12:32:06" u="1"/>
        <d v="2025-06-17T19:21:58" u="1"/>
        <d v="2025-06-17T19:20:46" u="1"/>
        <d v="2025-06-17T18:00:56" u="1"/>
        <d v="2025-06-17T16:32:04" u="1"/>
        <d v="2025-06-17T19:31:24" u="1"/>
        <d v="2025-06-17T20:01:25" u="1"/>
        <d v="2025-06-17T18:31:12" u="1"/>
        <d v="2025-06-17T19:21:02" u="1"/>
        <d v="2025-06-17T19:21:24" u="1"/>
        <d v="2025-06-17T19:22:39" u="1"/>
        <d v="2025-06-17T19:20:56" u="1"/>
        <d v="2025-06-17T19:19:49" u="1"/>
        <d v="2025-06-17T19:20:07" u="1"/>
        <d v="2025-06-17T17:03:21" u="1"/>
        <d v="2025-06-17T17:03:44" u="1"/>
        <d v="2025-06-17T22:56:20" u="1"/>
        <d v="2025-06-17T20:02:04" u="1"/>
        <d v="2025-06-18T00:54:20" u="1"/>
        <d v="2025-06-17T17:03:13" u="1"/>
        <d v="2025-06-17T17:18:43" u="1"/>
        <d v="2025-06-17T17:33:00" u="1"/>
        <d v="2025-06-17T12:10:12" u="1"/>
        <d v="2025-06-17T19:22:31" u="1"/>
        <d v="2025-06-17T19:22:45" u="1"/>
        <d v="2025-06-17T17:09:29" u="1"/>
        <d v="2025-06-17T17:20:58" u="1"/>
        <d v="2025-06-02T13:37:00" u="1"/>
        <d v="2025-06-06T15:55:59" u="1"/>
        <d v="2025-06-05T14:43:52" u="1"/>
        <d v="2025-06-05T20:14:14" u="1"/>
        <d v="2025-06-05T21:40:21" u="1"/>
        <d v="2025-06-09T10:10:06" u="1"/>
        <d v="2025-06-09T10:09:57" u="1"/>
        <d v="2025-06-15T18:45:21" u="1"/>
        <d v="2025-06-15T03:08:04" u="1"/>
        <d v="2025-06-15T03:12:17" u="1"/>
        <d v="2025-06-14T05:32:20" u="1"/>
        <d v="2025-06-14T05:43:44" u="1"/>
        <d v="2025-06-14T06:20:20" u="1"/>
        <d v="2025-06-14T06:48:52" u="1"/>
        <d v="2025-06-14T06:50:56" u="1"/>
        <d v="2025-06-14T06:55:06" u="1"/>
        <d v="2025-06-13T16:02:20" u="1"/>
        <d v="2025-06-14T04:33:49" u="1"/>
        <d v="2025-06-14T04:37:39" u="1"/>
        <d v="2025-06-14T05:38:54" u="1"/>
        <d v="2025-06-12T16:41:00" u="1"/>
        <d v="2025-06-12T16:46:00" u="1"/>
        <d v="2025-06-12T16:46:49" u="1"/>
        <d v="2025-06-15T08:22:07" u="1"/>
        <d v="2025-06-15T09:30:21" u="1"/>
        <d v="2025-06-15T09:58:09" u="1"/>
        <d v="2025-06-13T16:01:08" u="1"/>
        <d v="2025-06-13T18:31:20" u="1"/>
        <d v="2025-06-13T15:01:53" u="1"/>
        <d v="2025-06-15T06:25:23" u="1"/>
        <d v="2025-06-15T06:27:00" u="1"/>
        <d v="2025-06-15T06:33:05" u="1"/>
        <d v="2025-06-12T10:47:42" u="1"/>
        <d v="2025-06-12T10:55:14" u="1"/>
        <d v="2025-06-12T10:55:25" u="1"/>
        <d v="2025-06-13T08:02:40" u="1"/>
        <d v="2025-06-12T11:03:42" u="1"/>
        <d v="2025-06-11T16:03:25" u="1"/>
        <d v="2025-06-11T10:01:46" u="1"/>
        <d v="2025-06-11T10:02:26" u="1"/>
        <d v="2025-06-14T09:33:18" u="1"/>
        <d v="2025-06-14T09:39:30" u="1"/>
        <d v="2025-06-14T11:28:49" u="1"/>
        <d v="2025-06-12T04:19:58" u="1"/>
        <d v="2025-06-13T04:38:04" u="1"/>
        <d v="2025-06-14T00:21:17" u="1"/>
        <d v="2025-06-15T10:39:17" u="1"/>
        <d v="2025-06-15T11:36:44" u="1"/>
        <d v="2025-06-12T04:48:33" u="1"/>
        <d v="2025-06-11T09:16:14" u="1"/>
        <d v="2025-06-14T10:05:17" u="1"/>
        <d v="2025-06-13T19:06:24" u="1"/>
        <d v="2025-06-12T13:23:52" u="1"/>
        <d v="2025-06-12T12:00:37" u="1"/>
        <d v="2025-06-13T18:31:57" u="1"/>
        <d v="2025-06-13T18:49:44" u="1"/>
        <d v="2025-06-13T18:49:48" u="1"/>
        <d v="2025-06-12T09:20:17" u="1"/>
        <d v="2025-06-12T09:20:23" u="1"/>
        <d v="2025-06-13T19:06:34" u="1"/>
        <d v="2025-06-13T17:32:53" u="1"/>
        <d v="2025-06-16T05:13:28" u="1"/>
        <d v="2025-06-16T05:15:23" u="1"/>
        <d v="2025-06-16T05:43:09" u="1"/>
        <d v="2025-06-16T05:46:29" u="1"/>
        <d v="2025-06-16T05:48:11" u="1"/>
        <d v="2025-06-16T05:53:01" u="1"/>
        <d v="2025-06-16T05:56:38" u="1"/>
        <d v="2025-06-16T06:05:51" u="1"/>
        <d v="2025-06-16T06:39:31" u="1"/>
        <d v="2025-06-16T06:48:25" u="1"/>
        <d v="2025-06-16T07:02:11" u="1"/>
        <d v="2025-06-16T10:31:22" u="1"/>
        <d v="2025-06-12T04:49:52" u="1"/>
        <d v="2025-06-15T14:04:57" u="1"/>
        <d v="2025-06-14T06:55:17" u="1"/>
        <d v="2025-06-14T06:31:35" u="1"/>
        <d v="2025-06-17T00:50:53" u="1"/>
        <d v="2025-06-17T01:09:19" u="1"/>
        <d v="2025-06-17T00:42:20" u="1"/>
        <d v="2025-06-16T17:30:46" u="1"/>
        <d v="2025-06-16T17:16:57" u="1"/>
        <d v="2025-06-16T16:45:57" u="1"/>
        <d v="2025-06-16T11:31:13" u="1"/>
        <d v="2025-06-16T14:46:26" u="1"/>
        <d v="2025-06-16T14:46:30" u="1"/>
        <d v="2025-06-16T09:31:01" u="1"/>
        <d v="2025-06-16T10:45:47" u="1"/>
        <d v="2025-06-16T10:45:52" u="1"/>
        <d v="2025-06-17T06:32:08" u="1"/>
        <d v="2025-06-17T06:38:31" u="1"/>
        <d v="2025-06-16T13:01:02" u="1"/>
        <d v="2025-06-16T13:01:04" u="1"/>
        <d v="2025-06-16T10:00:50" u="1"/>
        <d v="2025-06-16T10:00:54" u="1"/>
        <d v="2025-06-16T17:00:47" u="1"/>
        <d v="2025-06-16T02:03:23" u="1"/>
        <d v="2025-06-16T02:33:02" u="1"/>
        <d v="2025-06-16T02:37:12" u="1"/>
        <d v="2025-06-16T02:44:19" u="1"/>
        <d v="2025-06-16T02:50:48" u="1"/>
        <d v="2025-06-16T02:55:32" u="1"/>
        <d v="2025-06-16T03:03:03" u="1"/>
        <d v="2025-06-16T03:22:43" u="1"/>
        <d v="2025-06-16T18:01:45" u="1"/>
        <d v="2025-06-16T18:01:51" u="1"/>
        <d v="2025-06-16T17:01:52" u="1"/>
        <d v="2025-06-16T17:01:26" u="1"/>
        <d v="2025-06-16T23:02:52" u="1"/>
        <d v="2025-06-15T19:01:37" u="1"/>
        <d v="2025-06-16T12:00:43" u="1"/>
        <d v="2025-06-16T12:00:47" u="1"/>
        <d v="2025-06-16T16:33:00" u="1"/>
        <d v="2025-06-16T16:15:03" u="1"/>
        <d v="2025-06-16T08:28:08" u="1"/>
        <d v="2025-06-17T01:07:42" u="1"/>
        <d v="2025-06-17T03:25:50" u="1"/>
        <d v="2025-06-17T03:28:32" u="1"/>
        <d v="2025-06-17T03:37:35" u="1"/>
        <d v="2025-06-17T03:12:56" u="1"/>
        <d v="2025-06-17T03:14:47" u="1"/>
        <d v="2025-06-16T20:06:50" u="1"/>
        <d v="2025-06-16T20:15:22" u="1"/>
        <d v="2025-06-16T20:28:43" u="1"/>
        <d v="2025-06-16T20:29:57" u="1"/>
        <d v="2025-06-16T20:38:29" u="1"/>
        <d v="2025-06-16T20:42:03" u="1"/>
        <d v="2025-06-15T14:06:49" u="1"/>
        <d v="2025-06-15T14:13:53" u="1"/>
        <d v="2025-06-15T14:15:06" u="1"/>
        <d v="2025-06-15T14:27:25" u="1"/>
        <d v="2025-06-15T14:37:55" u="1"/>
        <d v="2025-06-15T14:39:09" u="1"/>
        <d v="2025-06-15T14:57:44" u="1"/>
        <d v="2025-06-15T15:06:53" u="1"/>
        <d v="2025-06-16T18:44:37" u="1"/>
        <d v="2025-06-16T08:31:21" u="1"/>
        <d v="2025-06-16T13:25:53" u="1"/>
        <d v="2025-06-16T11:16:01" u="1"/>
        <d v="2025-06-16T13:20:07" u="1"/>
        <d v="2025-06-16T16:45:17" u="1"/>
        <d v="2025-06-16T16:37:30" u="1"/>
        <d v="2025-06-16T11:53:48" u="1"/>
        <d v="2025-06-16T17:54:51" u="1"/>
        <d v="2025-06-16T19:25:02" u="1"/>
        <d v="2025-06-16T21:13:51" u="1"/>
        <d v="2025-06-16T19:32:59" u="1"/>
        <d v="2025-06-16T19:33:45" u="1"/>
        <d v="2025-06-16T17:31:37" u="1"/>
        <d v="2025-06-16T19:33:28" u="1"/>
        <d v="2025-06-16T18:58:50" u="1"/>
        <d v="2025-06-16T16:31:26" u="1"/>
        <d v="2025-06-15T02:04:12" u="1"/>
        <d v="2025-06-16T15:46:48" u="1"/>
        <d v="2025-06-16T10:39:59" u="1"/>
        <d v="2025-06-16T15:58:02" u="1"/>
        <d v="2025-06-16T14:01:56" u="1"/>
        <d v="2025-05-13T04:58:14" u="1"/>
        <d v="2025-05-20T01:05:17" u="1"/>
        <d v="2025-05-21T19:30:43" u="1"/>
        <d v="2025-05-21T19:30:44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1T01:13:19" u="1"/>
        <d v="2025-05-22T03:39:18" u="1"/>
        <d v="2025-05-21T19:30:32" u="1"/>
        <d v="2025-05-21T19:31:02" u="1"/>
        <d v="2025-05-29T01:06:12" u="1"/>
        <d v="2025-06-03T01:18:12" u="1"/>
        <d v="2025-06-01T04:48:18" u="1"/>
        <d v="2025-05-29T03:47:24" u="1"/>
        <d v="2025-05-31T01:01:23" u="1"/>
        <d v="2025-05-30T04:33:38" u="1"/>
        <d v="2025-05-23T02:21:20" u="1"/>
        <d v="2025-06-02T03:01:20" u="1"/>
        <d v="2025-05-30T01:03:33" u="1"/>
        <d v="2025-06-03T05:38:17" u="1"/>
        <d v="2025-05-30T04:59:25" u="1"/>
        <d v="2025-05-27T10:23:10" u="1"/>
        <d v="2025-06-01T07:30:15" u="1"/>
        <d v="2025-05-30T05:44:19" u="1"/>
        <d v="2025-05-31T02:51:22" u="1"/>
        <d v="2025-06-02T07:26:12" u="1"/>
        <d v="2025-05-24T03:17:24" u="1"/>
        <d v="2025-05-24T04:03:26" u="1"/>
        <d v="2025-05-27T04:04:38" u="1"/>
        <d v="2025-05-28T04:11:18" u="1"/>
        <d v="2025-06-02T05:01:20" u="1"/>
        <d v="2025-06-01T01:01:15" u="1"/>
        <d v="2025-06-03T02:23:24" u="1"/>
        <d v="2025-06-12T13:35:20" u="1"/>
        <d v="2025-06-12T11:16:31" u="1"/>
        <d v="2025-06-13T06:43:48" u="1"/>
        <d v="2025-06-12T10:40:05" u="1"/>
        <d v="2025-06-12T15:01:53" u="1"/>
        <d v="2025-06-12T16:04:30" u="1"/>
        <d v="2025-06-12T12:19:41" u="1"/>
        <d v="2025-06-11T09:27:17" u="1"/>
        <d v="2025-06-06T21:41:30" u="1"/>
        <d v="2025-06-12T04:14:34" u="1"/>
        <d v="2025-06-09T20:32:23" u="1"/>
        <d v="2025-06-11T01:01:21" u="1"/>
        <d v="2025-06-05T14:15:59" u="1"/>
        <d v="2025-06-11T04:08:11" u="1"/>
        <d v="2025-06-12T15:06:07" u="1"/>
        <d v="2025-06-12T12:04:08" u="1"/>
        <d v="2025-06-06T14:24:21" u="1"/>
        <d v="2025-06-08T07:06:16" u="1"/>
        <d v="2025-06-09T05:01:44" u="1"/>
        <d v="2025-06-10T10:22:24" u="1"/>
        <d v="2025-06-05T14:15:58" u="1"/>
        <d v="2025-06-11T05:16:20" u="1"/>
        <d v="2025-06-10T10:47:49" u="1"/>
        <d v="2025-06-10T10:47:53" u="1"/>
        <d v="2025-06-14T03:44:41" u="1"/>
        <d v="2025-06-15T19:02:24" u="1"/>
        <d v="2025-06-14T05:48:18" u="1"/>
        <d v="2025-06-14T06:59:15" u="1"/>
        <d v="2025-06-14T07:03:42" u="1"/>
        <d v="2025-06-13T15:35:43" u="1"/>
        <d v="2025-06-13T15:20:20" u="1"/>
        <d v="2025-06-13T15:20:25" u="1"/>
        <d v="2025-06-13T14:19:42" u="1"/>
        <d v="2025-06-13T08:57:04" u="1"/>
        <d v="2025-06-13T09:31:37" u="1"/>
        <d v="2025-06-13T10:31:34" u="1"/>
        <d v="2025-06-13T17:01:05" u="1"/>
        <d v="2025-06-13T16:01:40" u="1"/>
        <d v="2025-06-13T17:46:05" u="1"/>
        <d v="2025-06-13T16:17:25" u="1"/>
        <d v="2025-06-15T06:42:40" u="1"/>
        <d v="2025-06-15T06:45:04" u="1"/>
        <d v="2025-06-16T02:12:22" u="1"/>
        <d v="2025-06-16T02:14:35" u="1"/>
        <d v="2025-06-16T02:34:58" u="1"/>
        <d v="2025-06-16T03:00:22" u="1"/>
        <d v="2025-06-16T03:14:33" u="1"/>
        <d v="2025-06-16T04:33:25" u="1"/>
        <d v="2025-06-13T10:01:57" u="1"/>
        <d v="2025-06-13T14:01:14" u="1"/>
        <d v="2025-06-13T14:01:21" u="1"/>
        <d v="2025-06-12T17:05:35" u="1"/>
        <d v="2025-06-14T14:02:44" u="1"/>
        <d v="2025-06-14T19:14:32" u="1"/>
        <d v="2025-06-13T13:27:44" u="1"/>
        <d v="2025-06-13T16:47:12" u="1"/>
        <d v="2025-06-15T01:47:36" u="1"/>
        <d v="2025-06-14T08:56:00" u="1"/>
        <d v="2025-06-13T15:01:44" u="1"/>
        <d v="2025-06-13T16:02:31" u="1"/>
        <d v="2025-06-12T17:16:17" u="1"/>
        <d v="2025-06-13T20:32:34" u="1"/>
        <d v="2025-06-13T18:31:07" u="1"/>
        <d v="2025-06-13T05:37:16" u="1"/>
        <d v="2025-06-15T13:46:43" u="1"/>
        <d v="2025-06-13T17:32:09" u="1"/>
        <d v="2025-06-13T17:36:09" u="1"/>
        <d v="2025-06-13T10:39:50" u="1"/>
        <d v="2025-06-13T11:47:31" u="1"/>
        <d v="2025-06-12T20:43:04" u="1"/>
        <d v="2025-06-13T18:32:43" u="1"/>
        <d v="2025-06-13T10:57:55" u="1"/>
        <d v="2025-06-13T18:32:48" u="1"/>
        <d v="2025-06-13T18:35:45" u="1"/>
        <d v="2025-06-13T20:31:48" u="1"/>
        <d v="2025-06-13T14:38:00" u="1"/>
        <d v="2025-06-13T14:38:02" u="1"/>
        <d v="2025-06-16T03:48:15" u="1"/>
        <d v="2025-06-13T01:01:22" u="1"/>
        <d v="2025-06-13T04:48:30" u="1"/>
        <d v="2025-06-13T11:12:07" u="1"/>
        <d v="2025-06-14T03:01:20" u="1"/>
        <d v="2025-06-14T22:24:25" u="1"/>
        <d v="2025-06-13T08:27:05" u="1"/>
        <d v="2025-06-13T20:32:06" u="1"/>
        <d v="2025-06-14T12:21:16" u="1"/>
        <d v="2024-12-19T09:58:36" u="1"/>
        <d v="2025-03-12T17:05:21" u="1"/>
        <d v="2025-05-20T19:55:42" u="1"/>
        <d v="2025-05-21T18:05:05" u="1"/>
        <d v="2025-05-30T16:25:59" u="1"/>
        <d v="2025-05-25T10:22:35" u="1"/>
        <d v="2025-05-22T16:39:43" u="1"/>
        <d v="2025-05-30T20:23:33" u="1"/>
        <d v="2025-05-27T10:03:13" u="1"/>
        <d v="2025-05-22T18:14:46" u="1"/>
        <d v="2025-05-22T18:24:45" u="1"/>
        <d v="2025-05-30T15:49:04" u="1"/>
        <d v="2025-05-26T10:59:57" u="1"/>
        <d v="2025-06-02T13:23:27" u="1"/>
        <d v="2025-06-11T15:55:12" u="1"/>
        <d v="2025-06-11T08:15:32" u="1"/>
        <d v="2025-06-11T07:06:30" u="1"/>
        <d v="2025-06-03T17:25:17" u="1"/>
        <d v="2025-06-12T16:35:14" u="1"/>
        <d v="2025-06-12T16:37:23" u="1"/>
        <d v="2025-06-11T10:03:10" u="1"/>
        <d v="2025-06-11T06:28:34" u="1"/>
        <d v="2025-06-11T06:53:08" u="1"/>
        <d v="2025-06-11T07:13:35" u="1"/>
        <d v="2025-06-11T07:13:41" u="1"/>
        <d v="2025-06-11T07:13:48" u="1"/>
        <d v="2025-06-11T07:13:54" u="1"/>
        <d v="2025-06-11T08:04:39" u="1"/>
        <d v="2025-06-11T08:05:20" u="1"/>
        <d v="2025-06-11T07:55:36" u="1"/>
        <d v="2025-06-11T07:55:42" u="1"/>
        <d v="2025-06-11T07:59:13" u="1"/>
        <d v="2025-06-11T08:01:26" u="1"/>
        <d v="2025-06-11T08:01:41" u="1"/>
        <d v="2025-06-11T08:01:49" u="1"/>
        <d v="2025-06-04T12:46:33" u="1"/>
        <d v="2025-06-11T04:36:48" u="1"/>
        <d v="2025-06-11T04:37:14" u="1"/>
        <d v="2025-06-11T04:37:26" u="1"/>
        <d v="2025-06-11T06:17:25" u="1"/>
        <d v="2025-06-11T06:15:38" u="1"/>
        <d v="2025-06-11T06:16:24" u="1"/>
        <d v="2025-06-11T06:20:11" u="1"/>
        <d v="2025-06-11T09:21:29" u="1"/>
        <d v="2025-06-09T11:31:59" u="1"/>
        <d v="2025-06-04T20:07:19" u="1"/>
        <d v="2025-06-09T11:47:40" u="1"/>
        <d v="2025-06-11T09:26:34" u="1"/>
        <d v="2025-06-04T10:06:42" u="1"/>
        <d v="2025-06-04T10:17:13" u="1"/>
        <d v="2025-06-04T12:11:12" u="1"/>
        <d v="2025-06-11T11:18:17" u="1"/>
        <d v="2025-06-03T10:18:35" u="1"/>
        <d v="2025-06-11T14:39:13" u="1"/>
        <d v="2025-06-10T17:14:12" u="1"/>
        <d v="2025-06-10T15:31:28" u="1"/>
        <d v="2025-06-06T12:45:10" u="1"/>
        <d v="2025-06-09T16:25:29" u="1"/>
        <d v="2025-06-09T15:21:00" u="1"/>
        <d v="2025-06-12T16:05:13" u="1"/>
        <d v="2025-06-12T11:13:52" u="1"/>
        <d v="2025-06-12T11:14:03" u="1"/>
        <d v="2025-06-12T11:14:16" u="1"/>
        <d v="2025-06-12T11:14:47" u="1"/>
        <d v="2025-06-11T16:05:21" u="1"/>
        <d v="2025-06-11T16:05:35" u="1"/>
        <d v="2025-06-11T16:05:53" u="1"/>
        <d v="2025-06-13T05:41:04" u="1"/>
        <d v="2025-06-12T11:22:17" u="1"/>
        <d v="2025-06-12T11:21:17" u="1"/>
        <d v="2025-06-12T14:24:32" u="1"/>
        <d v="2025-06-12T14:46:14" u="1"/>
        <d v="2025-06-12T16:54:18" u="1"/>
        <d v="2025-06-12T16:54:29" u="1"/>
        <d v="2025-06-12T16:49:23" u="1"/>
        <d v="2025-06-12T16:49:28" u="1"/>
        <d v="2025-06-12T15:31:40" u="1"/>
        <d v="2025-06-12T17:30:50" u="1"/>
        <d v="2025-06-12T17:01:03" u="1"/>
        <d v="2025-06-12T15:14:34" u="1"/>
        <d v="2025-06-12T15:14:49" u="1"/>
        <d v="2025-06-12T10:40:30" u="1"/>
        <d v="2025-06-12T10:43:49" u="1"/>
        <d v="2025-06-12T18:02:08" u="1"/>
        <d v="2025-06-12T18:02:10" u="1"/>
        <d v="2025-06-12T17:02:00" u="1"/>
        <d v="2025-06-12T17:02:01" u="1"/>
        <d v="2025-06-12T17:02:53" u="1"/>
        <d v="2025-06-12T17:02:56" u="1"/>
        <d v="2025-06-12T14:05:25" u="1"/>
        <d v="2025-06-12T23:02:53" u="1"/>
        <d v="2025-06-12T18:03:07" u="1"/>
        <d v="2025-06-13T05:24:58" u="1"/>
        <d v="2025-06-13T05:25:54" u="1"/>
        <d v="2025-06-13T05:26:09" u="1"/>
        <d v="2025-06-12T18:16:20" u="1"/>
        <d v="2025-06-12T16:29:24" u="1"/>
        <d v="2025-06-12T16:29:25" u="1"/>
        <d v="2025-06-12T15:17:59" u="1"/>
        <d v="2025-06-12T10:53:11" u="1"/>
        <d v="2025-06-11T17:02:44" u="1"/>
        <d v="2025-06-12T17:09:34" u="1"/>
        <d v="2025-06-12T17:10:43" u="1"/>
        <d v="2025-06-12T17:11:30" u="1"/>
        <d v="2025-06-12T17:12:01" u="1"/>
        <d v="2025-06-12T17:12:15" u="1"/>
        <d v="2025-06-12T17:14:46" u="1"/>
        <d v="2025-06-12T19:14:49" u="1"/>
        <d v="2025-06-12T14:36:43" u="1"/>
        <d v="2025-06-12T14:37:28" u="1"/>
        <d v="2025-06-12T14:39:08" u="1"/>
        <d v="2025-06-12T14:39:52" u="1"/>
        <d v="2025-06-12T14:39:57" u="1"/>
        <d v="2025-06-12T04:47:47" u="1"/>
        <d v="2025-06-13T05:33:13" u="1"/>
        <d v="2025-06-12T15:05:25" u="1"/>
        <d v="2025-06-12T18:15:13" u="1"/>
        <d v="2025-06-12T18:15:35" u="1"/>
        <d v="2025-06-12T16:55:46" u="1"/>
        <d v="2025-06-12T17:52:05" u="1"/>
        <d v="2025-06-12T18:13:53" u="1"/>
        <d v="2025-06-12T09:43:50" u="1"/>
        <d v="2025-06-12T20:16:59" u="1"/>
        <d v="2025-06-12T20:00:49" u="1"/>
        <d v="2025-06-12T19:35:49" u="1"/>
        <d v="2025-06-12T19:32:17" u="1"/>
        <d v="2025-06-12T19:05:27" u="1"/>
        <d v="2025-06-12T18:03:53" u="1"/>
        <d v="2025-06-12T19:31:52" u="1"/>
        <d v="2025-06-12T19:42:17" u="1"/>
        <d v="2025-06-12T20:15:59" u="1"/>
        <d v="2025-06-12T19:32:02" u="1"/>
        <d v="2025-06-12T11:47:19" u="1"/>
        <d v="2025-06-12T20:16:17" u="1"/>
        <d v="2025-06-12T15:01:48" u="1"/>
        <d v="2025-06-12T18:33:59" u="1"/>
        <d v="2025-06-12T15:21:08" u="1"/>
        <d v="2025-06-12T15:20:25" u="1"/>
        <d v="2025-06-12T15:20:56" u="1"/>
        <d v="2025-06-12T10:07:49" u="1"/>
        <d v="2025-06-12T15:20:20" u="1"/>
        <d v="2025-06-12T15:20:30" u="1"/>
        <d v="2025-06-12T15:20:36" u="1"/>
        <d v="2025-06-12T15:51:39" u="1"/>
        <d v="2025-06-12T15:20:42" u="1"/>
        <d v="2025-06-12T15:20:49" u="1"/>
        <d v="2025-06-12T13:15:54" u="1"/>
        <d v="2025-06-12T14:48:23" u="1"/>
        <d v="2025-06-12T14:52:06" u="1"/>
        <d v="2025-06-12T18:46:32" u="1"/>
        <d v="2025-06-12T15:05:28" u="1"/>
        <d v="2025-06-12T19:31:38" u="1"/>
        <d v="2025-06-12T04:54:24" u="1"/>
        <d v="2025-06-12T04:58:27" u="1"/>
        <d v="2025-06-12T04:59:11" u="1"/>
        <d v="2025-06-12T11:29:20" u="1"/>
        <d v="2025-06-13T06:19:54" u="1"/>
        <d v="2025-06-13T05:41:11" u="1"/>
        <d v="2025-06-13T06:28:34" u="1"/>
        <d v="2025-06-13T06:19:17" u="1"/>
        <d v="2025-06-13T06:02:18" u="1"/>
        <d v="2025-06-13T06:11:18" u="1"/>
        <d v="2025-06-13T06:23:51" u="1"/>
        <d v="2025-06-13T05:45:48" u="1"/>
        <d v="2025-02-13T12:13:26" u="1"/>
        <d v="2025-06-06T16:21:32" u="1"/>
        <d v="2025-06-11T08:16:34" u="1"/>
        <d v="2025-06-09T12:31:48" u="1"/>
        <d v="2025-06-10T16:02:33" u="1"/>
        <d v="2025-06-10T16:02:44" u="1"/>
        <d v="2025-06-10T16:02:46" u="1"/>
        <d v="2025-06-10T16:02:48" u="1"/>
        <d v="2025-06-10T16:02:58" u="1"/>
        <d v="2025-06-10T12:04:57" u="1"/>
        <d v="2025-06-10T12:05:03" u="1"/>
        <d v="2025-06-06T17:04:35" u="1"/>
        <d v="2025-06-06T17:04:39" u="1"/>
        <d v="2025-06-06T17:04:40" u="1"/>
        <d v="2025-06-06T11:03:33" u="1"/>
        <d v="2025-06-06T11:03:34" u="1"/>
        <d v="2025-06-10T17:45:29" u="1"/>
        <d v="2025-06-09T18:20:07" u="1"/>
        <d v="2025-06-10T17:21:28" u="1"/>
        <d v="2025-06-10T10:13:02" u="1"/>
        <d v="2025-06-09T10:31:59" u="1"/>
        <d v="2025-06-09T10:10:44" u="1"/>
        <d v="2025-06-10T12:22:47" u="1"/>
        <d v="2025-06-09T18:20:01" u="1"/>
        <d v="2025-06-10T17:06:48" u="1"/>
        <d v="2025-06-10T11:44:16" u="1"/>
        <d v="2025-06-06T10:16:46" u="1"/>
        <d v="2025-06-06T13:46:26" u="1"/>
        <d v="2025-06-06T15:29:13" u="1"/>
        <d v="2025-06-09T10:10:29" u="1"/>
        <d v="2025-06-09T10:10:36" u="1"/>
        <d v="2025-06-10T10:12:51" u="1"/>
        <d v="2025-06-10T10:13:12" u="1"/>
        <d v="2025-06-10T12:22:55" u="1"/>
        <d v="2025-06-10T12:37:26" u="1"/>
        <d v="2025-06-10T12:37:33" u="1"/>
        <d v="2025-06-04T20:29:32" u="1"/>
        <d v="2025-06-10T11:51:35" u="1"/>
        <d v="2025-06-10T12:08:01" u="1"/>
        <d v="2025-06-10T12:08:12" u="1"/>
        <d v="2025-06-10T17:35:14" u="1"/>
        <d v="2025-06-10T08:50:03" u="1"/>
        <d v="2025-06-06T16:37:56" u="1"/>
        <d v="2025-06-09T15:17:05" u="1"/>
        <d v="2025-06-10T10:32:54" u="1"/>
        <d v="2025-06-09T18:19:54" u="1"/>
        <d v="2025-06-10T18:16:40" u="1"/>
        <d v="2025-06-09T15:16:56" u="1"/>
        <d v="2025-06-10T12:37:40" u="1"/>
        <d v="2025-06-10T10:51:45" u="1"/>
        <d v="2025-06-06T15:51:51" u="1"/>
        <d v="2025-06-10T18:34:57" u="1"/>
        <d v="2025-06-10T18:49:35" u="1"/>
        <d v="2025-06-10T16:50:00" u="1"/>
        <d v="2025-06-09T17:50:32" u="1"/>
        <d v="2025-06-09T18:34:56" u="1"/>
        <d v="2025-06-09T17:50:38" u="1"/>
        <d v="2025-06-10T09:06:28" u="1"/>
        <d v="2025-06-10T12:39:08" u="1"/>
        <d v="2025-06-11T08:19:07" u="1"/>
        <d v="2025-06-11T08:22:03" u="1"/>
        <d v="2025-06-11T08:12:03" u="1"/>
        <d v="2025-06-11T08:13:09" u="1"/>
        <d v="2025-06-11T18:14:50" u="1"/>
        <d v="2025-06-11T17:34:35" u="1"/>
        <d v="2025-06-11T17:20:06" u="1"/>
        <d v="2025-06-11T16:06:02" u="1"/>
        <d v="2025-06-11T06:10:14" u="1"/>
        <d v="2025-06-11T18:46:24" u="1"/>
        <d v="2025-06-11T16:31:18" u="1"/>
        <d v="2025-06-11T18:32:05" u="1"/>
        <d v="2025-06-11T17:02:01" u="1"/>
        <d v="2025-06-11T23:24:25" u="1"/>
        <d v="2025-06-12T04:33:38" u="1"/>
        <d v="2025-06-11T08:11:41" u="1"/>
        <d v="2025-06-11T14:02:49" u="1"/>
        <d v="2025-06-11T14:32:14" u="1"/>
        <d v="2025-06-11T11:22:12" u="1"/>
        <d v="2025-06-11T06:20:26" u="1"/>
        <d v="2025-06-11T17:03:47" u="1"/>
        <d v="2025-06-11T18:15:50" u="1"/>
        <d v="2025-06-11T16:20:08" u="1"/>
        <d v="2025-06-11T16:15:57" u="1"/>
        <d v="2025-06-11T17:24:59" u="1"/>
        <d v="2025-06-11T12:50:13" u="1"/>
        <d v="2025-06-11T10:26:04" u="1"/>
        <d v="2025-06-04T14:35:51" u="1"/>
        <d v="2025-06-04T14:35:52" u="1"/>
        <d v="2025-06-11T18:22:29" u="1"/>
        <d v="2025-06-11T20:49:49" u="1"/>
        <d v="2025-06-11T10:20:03" u="1"/>
        <d v="2025-06-11T18:14:56" u="1"/>
        <d v="2025-06-11T18:35:31" u="1"/>
        <d v="2025-06-11T09:05:08" u="1"/>
        <d v="2025-06-11T11:17:55" u="1"/>
        <d v="2025-06-12T05:00:16" u="1"/>
        <d v="2025-06-11T17:57:09" u="1"/>
        <d v="2025-06-11T17:46:24" u="1"/>
        <d v="2025-06-11T17:52:24" u="1"/>
        <d v="2025-06-11T11:17:49" u="1"/>
        <d v="2025-06-11T17:54:49" u="1"/>
        <d v="2025-06-11T16:15:59" u="1"/>
        <d v="2025-06-11T16:20:09" u="1"/>
        <d v="2025-06-11T16:49:14" u="1"/>
        <d v="2025-06-11T07:38:27" u="1"/>
        <d v="2025-06-11T08:34:38" u="1"/>
        <d v="2025-06-11T09:05:20" u="1"/>
        <d v="2025-06-11T08:50:27" u="1"/>
        <d v="2025-03-31T12:05:45" u="1"/>
        <d v="2025-03-31T17:04:48" u="1"/>
        <d v="2025-05-30T18:09:49" u="1"/>
        <d v="2025-05-30T18:09:50" u="1"/>
        <d v="2025-05-22T17:44:38" u="1"/>
        <d v="2025-05-22T10:14:48" u="1"/>
        <d v="2025-05-22T16:07:51" u="1"/>
        <d v="2025-05-23T18:35:16" u="1"/>
        <d v="2025-05-30T09:31:41" u="1"/>
        <d v="2025-06-06T17:16:16" u="1"/>
        <d v="2025-06-06T17:16:17" u="1"/>
        <d v="2025-06-06T20:29:16" u="1"/>
        <d v="2025-06-06T22:22:56" u="1"/>
        <d v="2025-06-06T12:04:10" u="1"/>
        <d v="2025-06-06T12:04:13" u="1"/>
        <d v="2025-06-06T12:04:22" u="1"/>
        <d v="2025-06-06T15:07:35" u="1"/>
        <d v="2025-06-06T15:07:42" u="1"/>
        <d v="2025-06-09T18:15:11" u="1"/>
        <d v="2025-06-09T15:02:52" u="1"/>
        <d v="2025-06-05T10:05:43" u="1"/>
        <d v="2025-06-06T14:00:47" u="1"/>
        <d v="2025-06-06T16:00:55" u="1"/>
        <d v="2025-06-09T15:55:14" u="1"/>
        <d v="2025-06-09T03:11:26" u="1"/>
        <d v="2025-06-06T22:13:21" u="1"/>
        <d v="2025-06-06T22:13:28" u="1"/>
        <d v="2025-06-06T22:15:06" u="1"/>
        <d v="2025-06-09T14:59:19" u="1"/>
        <d v="2025-06-09T13:56:27" u="1"/>
        <d v="2025-06-07T16:24:42" u="1"/>
        <d v="2025-06-08T08:29:41" u="1"/>
        <d v="2025-06-08T08:29:48" u="1"/>
        <d v="2025-06-08T09:07:40" u="1"/>
        <d v="2025-06-06T17:35:55" u="1"/>
        <d v="2025-06-09T17:44:47" u="1"/>
        <d v="2025-06-08T15:03:08" u="1"/>
        <d v="2025-06-04T20:42:32" u="1"/>
        <d v="2025-06-05T20:47:27" u="1"/>
        <d v="2025-06-05T20:47:28" u="1"/>
        <d v="2025-06-09T15:52:20" u="1"/>
        <d v="2025-06-06T14:27:26" u="1"/>
        <d v="2025-06-04T15:48:02" u="1"/>
        <d v="2025-06-06T15:48:08" u="1"/>
        <d v="2025-06-09T14:07:53" u="1"/>
        <d v="2025-06-09T16:52:30" u="1"/>
        <d v="2025-06-05T17:02:51" u="1"/>
        <d v="2025-06-05T11:32:39" u="1"/>
        <d v="2025-06-05T16:53:48" u="1"/>
        <d v="2025-06-09T09:50:44" u="1"/>
        <d v="2025-06-03T12:50:50" u="1"/>
        <d v="2025-06-09T15:34:14" u="1"/>
        <d v="2025-06-09T17:04:40" u="1"/>
        <d v="2025-06-09T16:44:19" u="1"/>
        <d v="2025-06-10T17:47:26" u="1"/>
        <d v="2025-06-10T17:47:28" u="1"/>
        <d v="2025-06-10T17:37:42" u="1"/>
        <d v="2025-06-10T17:37:43" u="1"/>
        <d v="2025-06-10T17:37:45" u="1"/>
        <d v="2025-06-10T17:37:47" u="1"/>
        <d v="2025-06-10T16:25:29" u="1"/>
        <d v="2025-06-11T04:05:55" u="1"/>
        <d v="2025-06-11T03:52:24" u="1"/>
        <d v="2025-06-10T17:46:34" u="1"/>
        <d v="2025-06-09T23:09:20" u="1"/>
        <d v="2025-06-10T18:30:49" u="1"/>
        <d v="2025-06-10T10:07:10" u="1"/>
        <d v="2025-06-09T20:02:09" u="1"/>
        <d v="2025-06-09T20:02:18" u="1"/>
        <d v="2025-06-10T13:03:27" u="1"/>
        <d v="2025-06-10T17:02:48" u="1"/>
        <d v="2025-06-11T06:29:38" u="1"/>
        <d v="2025-06-11T06:35:18" u="1"/>
        <d v="2025-06-10T03:39:11" u="1"/>
        <d v="2025-06-11T03:58:30" u="1"/>
        <d v="2025-06-10T14:32:46" u="1"/>
        <d v="2025-06-10T18:02:51" u="1"/>
        <d v="2025-06-10T17:11:50" u="1"/>
        <d v="2025-06-10T10:54:01" u="1"/>
        <d v="2025-06-10T10:56:02" u="1"/>
        <d v="2025-06-10T16:28:18" u="1"/>
        <d v="2025-06-10T19:46:32" u="1"/>
        <d v="2025-06-10T20:31:52" u="1"/>
        <d v="2025-06-10T21:34:48" u="1"/>
        <d v="2025-06-11T05:46:21" u="1"/>
        <d v="2025-06-11T05:46:22" u="1"/>
        <d v="2025-06-10T12:17:31" u="1"/>
        <d v="2025-06-10T16:45:19" u="1"/>
        <d v="2025-06-10T17:02:50" u="1"/>
        <d v="2025-06-10T16:32:46" u="1"/>
        <d v="2025-06-10T17:37:54" u="1"/>
        <d v="2025-06-10T18:32:44" u="1"/>
        <d v="2025-06-10T11:04:38" u="1"/>
        <d v="2025-06-10T17:31:17" u="1"/>
        <d v="2025-06-10T16:25:41" u="1"/>
        <d v="2025-06-10T12:26:56" u="1"/>
        <d v="2025-06-10T16:36:17" u="1"/>
        <d v="2025-05-02T17:15:06" u="1"/>
        <d v="2025-05-28T17:44:34" u="1"/>
        <d v="2025-05-30T13:08:53" u="1"/>
        <d v="2025-05-28T15:11:50" u="1"/>
        <d v="2025-06-09T18:41:17" u="1"/>
        <d v="2025-06-02T17:50:09" u="1"/>
        <d v="2025-06-04T16:33:18" u="1"/>
        <d v="2025-06-06T11:36:44" u="1"/>
        <d v="2025-06-06T10:36:13" u="1"/>
        <d v="2025-06-06T22:17:06" u="1"/>
        <d v="2025-06-06T22:19:37" u="1"/>
        <d v="2025-06-06T18:16:32" u="1"/>
        <d v="2025-06-06T19:16:01" u="1"/>
        <d v="2025-06-06T17:16:53" u="1"/>
        <d v="2025-06-06T17:01:46" u="1"/>
        <d v="2025-06-06T17:02:58" u="1"/>
        <d v="2025-06-06T17:46:12" u="1"/>
        <d v="2025-06-06T10:47:30" u="1"/>
        <d v="2025-06-06T14:38:23" u="1"/>
        <d v="2025-06-06T18:16:13" u="1"/>
        <d v="2025-06-06T10:47:26" u="1"/>
        <d v="2025-06-06T11:19:30" u="1"/>
        <d v="2025-06-06T10:08:28" u="1"/>
        <d v="2025-06-06T10:08:34" u="1"/>
        <d v="2025-06-05T14:15:23" u="1"/>
        <d v="2025-06-06T18:14:40" u="1"/>
        <d v="2025-06-05T11:35:27" u="1"/>
        <d v="2025-06-06T16:21:19" u="1"/>
        <d v="2025-06-06T15:21:07" u="1"/>
        <d v="2025-06-06T18:37:03" u="1"/>
        <d v="2025-06-06T18:21:47" u="1"/>
        <d v="2025-06-03T16:20:14" u="1"/>
        <d v="2025-06-06T10:12:07" u="1"/>
        <d v="2025-06-06T10:12:12" u="1"/>
        <d v="2025-06-06T15:53:51" u="1"/>
        <d v="2025-06-05T17:02:14" u="1"/>
        <d v="2025-06-05T17:02:30" u="1"/>
        <d v="2025-06-05T17:16:31" u="1"/>
        <d v="2025-06-03T17:01:18" u="1"/>
        <d v="2025-06-04T17:01:43" u="1"/>
        <d v="2025-06-05T20:52:46" u="1"/>
        <d v="2025-06-06T18:48:28" u="1"/>
        <d v="2025-06-06T18:48:35" u="1"/>
        <d v="2025-06-09T18:26:23" u="1"/>
        <d v="2025-06-06T15:51:47" u="1"/>
        <d v="2025-06-04T17:50:36" u="1"/>
        <d v="2025-06-06T17:23:15" u="1"/>
        <d v="2025-06-06T18:26:11" u="1"/>
        <d v="2025-06-05T20:50:19" u="1"/>
        <d v="2025-06-05T17:50:18" u="1"/>
        <d v="2025-06-05T13:53:56" u="1"/>
        <d v="2025-06-06T10:12:18" u="1"/>
        <d v="2025-06-06T10:12:22" u="1"/>
        <d v="2025-06-05T10:36:38" u="1"/>
        <d v="2025-06-03T08:19:45" u="1"/>
        <d v="2025-06-06T17:12:30" u="1"/>
        <d v="2025-06-06T17:12:34" u="1"/>
        <d v="2025-06-06T17:12:39" u="1"/>
        <d v="2025-06-06T10:12:03" u="1"/>
        <d v="2025-06-06T12:09:02" u="1"/>
        <d v="2025-06-03T16:35:51" u="1"/>
        <d v="2025-06-04T18:06:07" u="1"/>
        <d v="2025-06-04T18:06:11" u="1"/>
        <d v="2025-06-06T21:37:55" u="1"/>
        <d v="2025-06-04T10:21:51" u="1"/>
        <d v="2025-06-04T14:36:14" u="1"/>
        <d v="2025-06-04T14:50:29" u="1"/>
        <d v="2025-06-04T16:19:36" u="1"/>
        <d v="2025-06-06T09:05:30" u="1"/>
        <d v="2025-06-06T17:23:20" u="1"/>
        <d v="2025-06-06T12:21:29" u="1"/>
        <d v="2025-06-09T16:33:55" u="1"/>
        <d v="2025-06-09T18:43:13" u="1"/>
        <d v="2025-06-09T18:45:32" u="1"/>
        <d v="2025-06-09T18:46:48" u="1"/>
        <d v="2025-06-09T18:51:31" u="1"/>
        <d v="2025-06-09T18:52:51" u="1"/>
        <d v="2025-06-10T03:43:39" u="1"/>
        <d v="2025-06-06T22:54:47" u="1"/>
        <d v="2025-06-06T22:55:02" u="1"/>
        <d v="2025-06-09T09:42:03" u="1"/>
        <d v="2025-06-09T18:06:43" u="1"/>
        <d v="2025-06-06T22:04:16" u="1"/>
        <d v="2025-06-09T21:26:27" u="1"/>
        <d v="2025-06-06T20:25:55" u="1"/>
        <d v="2025-06-09T09:01:12" u="1"/>
        <d v="2025-06-09T11:52:23" u="1"/>
        <d v="2025-06-09T09:36:36" u="1"/>
        <d v="2025-06-09T09:36:57" u="1"/>
        <d v="2025-06-09T09:37:38" u="1"/>
        <d v="2025-06-09T22:20:56" u="1"/>
        <d v="2025-06-09T22:20:35" u="1"/>
        <d v="2025-06-09T17:42:16" u="1"/>
        <d v="2025-06-09T17:44:13" u="1"/>
        <d v="2025-06-09T23:01:45" u="1"/>
        <d v="2025-06-09T15:32:54" u="1"/>
        <d v="2025-06-09T12:31:32" u="1"/>
        <d v="2025-06-09T13:32:37" u="1"/>
        <d v="2025-06-09T18:16:14" u="1"/>
        <d v="2025-06-09T14:46:47" u="1"/>
        <d v="2025-06-09T15:02:25" u="1"/>
        <d v="2025-06-09T15:02:37" u="1"/>
        <d v="2025-06-09T16:01:43" u="1"/>
        <d v="2025-06-09T10:01:55" u="1"/>
        <d v="2025-06-09T18:02:13" u="1"/>
        <d v="2025-06-09T18:02:14" u="1"/>
        <d v="2025-06-09T13:02:00" u="1"/>
        <d v="2025-06-09T12:03:12" u="1"/>
        <d v="2025-06-09T12:04:18" u="1"/>
        <d v="2025-06-09T22:09:21" u="1"/>
        <d v="2025-06-09T22:11:32" u="1"/>
        <d v="2025-06-09T09:31:45" u="1"/>
        <d v="2025-06-06T21:29:02" u="1"/>
        <d v="2025-06-09T11:31:08" u="1"/>
        <d v="2025-06-09T11:46:13" u="1"/>
        <d v="2025-06-09T11:46:24" u="1"/>
        <d v="2025-06-09T11:46:29" u="1"/>
        <d v="2025-06-09T11:46:39" u="1"/>
        <d v="2025-06-09T11:46:49" u="1"/>
        <d v="2025-06-09T09:36:02" u="1"/>
        <d v="2025-06-06T21:52:45" u="1"/>
        <d v="2025-06-09T17:37:43" u="1"/>
        <d v="2025-06-09T13:33:25" u="1"/>
        <d v="2025-06-06T20:27:55" u="1"/>
        <d v="2025-06-06T20:28:06" u="1"/>
        <d v="2025-06-06T22:47:45" u="1"/>
        <d v="2025-06-09T18:30:04" u="1"/>
        <d v="2025-06-09T18:31:32" u="1"/>
        <d v="2025-06-09T18:31:57" u="1"/>
        <d v="2025-06-09T18:32:08" u="1"/>
        <d v="2025-06-09T23:20:12" u="1"/>
        <d v="2025-06-09T23:20:19" u="1"/>
        <d v="2025-06-09T23:20:40" u="1"/>
        <d v="2025-06-09T17:46:00" u="1"/>
        <d v="2025-06-09T13:35:09" u="1"/>
        <d v="2025-06-09T17:17:55" u="1"/>
        <d v="2025-06-06T21:46:35" u="1"/>
        <d v="2025-06-08T15:04:18" u="1"/>
        <d v="2025-06-09T09:35:19" u="1"/>
        <d v="2025-06-09T22:23:21" u="1"/>
        <d v="2025-06-09T22:35:08" u="1"/>
        <d v="2025-06-09T18:02:22" u="1"/>
        <d v="2025-06-09T11:28:26" u="1"/>
        <d v="2025-06-09T13:48:07" u="1"/>
        <d v="2025-06-09T15:55:57" u="1"/>
        <d v="2025-06-09T15:49:56" u="1"/>
        <d v="2025-06-09T16:51:58" u="1"/>
        <d v="2025-06-09T18:10:40" u="1"/>
        <d v="2025-06-09T22:05:56" u="1"/>
        <d v="2025-06-09T18:46:54" u="1"/>
        <d v="2025-06-09T16:50:46" u="1"/>
        <d v="2025-06-09T16:34:17" u="1"/>
        <d v="2025-06-06T21:29:50" u="1"/>
        <d v="2025-06-06T21:29:51" u="1"/>
        <d v="2025-06-09T10:26:15" u="1"/>
        <d v="2025-06-06T21:33:49" u="1"/>
        <d v="2025-06-09T17:24:26" u="1"/>
        <d v="2025-06-06T20:26:00" u="1"/>
        <d v="2025-06-09T17:16:41" u="1"/>
        <d v="2025-06-09T09:16:09" u="1"/>
        <d v="2025-06-09T18:46:59" u="1"/>
        <d v="2025-06-09T10:17:22" u="1"/>
        <d v="2025-05-22T17:12:06" u="1"/>
        <d v="2025-05-06T10:35:35" u="1"/>
        <d v="2025-04-01T09:25:36" u="1"/>
        <d v="2025-04-01T09:35:14" u="1"/>
        <d v="2025-05-29T17:03:17" u="1"/>
        <d v="2025-05-27T20:34:42" u="1"/>
        <d v="2025-06-04T18:02:01" u="1"/>
        <d v="2025-06-02T12:46:30" u="1"/>
        <d v="2025-06-05T11:46:35" u="1"/>
        <d v="2025-06-06T15:13:59" u="1"/>
        <d v="2025-06-06T09:46:38" u="1"/>
        <d v="2025-06-04T18:35:15" u="1"/>
        <d v="2025-06-06T10:35:44" u="1"/>
        <d v="2025-06-06T10:35:59" u="1"/>
        <d v="2025-06-05T15:02:51" u="1"/>
        <d v="2025-06-03T17:46:51" u="1"/>
        <d v="2025-06-05T21:27:21" u="1"/>
        <d v="2025-06-06T12:04:24" u="1"/>
        <d v="2025-06-06T12:04:28" u="1"/>
        <d v="2025-06-05T14:03:21" u="1"/>
        <d v="2025-06-06T16:04:09" u="1"/>
        <d v="2025-06-06T10:15:34" u="1"/>
        <d v="2025-06-06T15:37:18" u="1"/>
        <d v="2025-06-04T13:52:39" u="1"/>
        <d v="2025-06-05T20:39:48" u="1"/>
        <d v="2025-06-06T08:42:02" u="1"/>
        <d v="2025-06-05T15:37:50" u="1"/>
        <d v="2025-06-05T15:46:41" u="1"/>
        <d v="2025-06-05T20:44:00" u="1"/>
        <d v="2025-06-06T14:36:58" u="1"/>
        <d v="2025-06-06T14:23:14" u="1"/>
        <d v="2025-06-06T04:18:51" u="1"/>
        <d v="2025-06-05T14:04:18" u="1"/>
        <d v="2025-06-03T17:49:20" u="1"/>
        <d v="2025-06-06T17:04:15" u="1"/>
        <d v="2025-06-04T08:51:05" u="1"/>
        <d v="2025-06-06T14:53:45" u="1"/>
        <d v="2025-06-06T14:54:40" u="1"/>
        <d v="2025-06-06T18:33:24" u="1"/>
        <d v="2025-06-06T21:22:14" u="1"/>
        <d v="2025-06-06T18:02:21" u="1"/>
        <d v="2025-06-06T18:02:23" u="1"/>
        <d v="2025-06-06T21:58:33" u="1"/>
        <d v="2025-06-06T17:06:51" u="1"/>
        <d v="2025-06-06T18:53:57" u="1"/>
        <d v="2025-06-06T18:57:57" u="1"/>
        <d v="2025-06-06T18:41:59" u="1"/>
        <d v="2025-06-06T18:48:05" u="1"/>
        <d v="2025-06-06T20:02:28" u="1"/>
        <d v="2025-06-06T17:17:56" u="1"/>
        <d v="2025-06-06T19:16:09" u="1"/>
        <d v="2025-06-06T18:02:40" u="1"/>
        <d v="2025-06-06T17:22:11" u="1"/>
        <d v="2025-06-06T17:05:01" u="1"/>
        <d v="2025-06-06T20:00:00" u="1"/>
        <d v="2025-06-06T19:32:05" u="1"/>
        <d v="2025-06-06T17:16:56" u="1"/>
        <d v="2025-06-06T18:48:40" u="1"/>
        <d v="2025-06-06T17:51:07" u="1"/>
        <d v="2025-06-06T18:15:37" u="1"/>
        <d v="2025-05-14T17:00:54" u="1"/>
        <d v="2025-05-13T18:04:47" u="1"/>
        <d v="2025-05-08T20:06:16" u="1"/>
        <d v="2025-05-07T15:33:34" u="1"/>
        <d v="2025-05-15T18:28:07" u="1"/>
        <d v="2025-05-12T10:33:37" u="1"/>
        <d v="2025-05-12T09:57:50" u="1"/>
        <d v="2025-05-12T09:54:19" u="1"/>
        <d v="2025-05-14T19:33:51" u="1"/>
        <d v="2025-05-08T20:06:01" u="1"/>
        <d v="2025-04-29T17:23:47" u="1"/>
        <d v="2025-05-12T10:34:07" u="1"/>
        <d v="2025-05-21T17:06:31" u="1"/>
        <d v="2025-05-21T17:49:20" u="1"/>
        <d v="2025-05-20T09:01:57" u="1"/>
        <d v="2025-05-20T17:22:27" u="1"/>
        <d v="2025-05-19T13:33:53" u="1"/>
        <d v="2025-05-21T16:49:37" u="1"/>
        <d v="2025-06-02T15:50:19" u="1"/>
        <d v="2025-06-02T18:07:17" u="1"/>
        <d v="2025-06-02T16:32:37" u="1"/>
        <d v="2025-06-02T18:01:10" u="1"/>
        <d v="2025-05-29T18:06:38" u="1"/>
        <d v="2025-05-26T18:06:14" u="1"/>
        <d v="2025-05-22T21:04:29" u="1"/>
        <d v="2025-05-27T10:23:03" u="1"/>
        <d v="2025-05-28T19:05:02" u="1"/>
        <d v="2025-05-27T20:32:37" u="1"/>
        <d v="2025-05-27T20:34:47" u="1"/>
        <d v="2025-05-27T16:36:39" u="1"/>
        <d v="2025-05-27T16:35:47" u="1"/>
        <d v="2025-05-27T10:21:13" u="1"/>
        <d v="2025-05-28T19:02:56" u="1"/>
        <d v="2025-05-29T14:48:06" u="1"/>
        <d v="2025-05-29T18:47:33" u="1"/>
        <d v="2025-05-27T16:35:37" u="1"/>
        <d v="2025-05-28T11:47:38" u="1"/>
        <d v="2025-05-22T08:37:24" u="1"/>
        <d v="2025-06-02T13:21:21" u="1"/>
        <d v="2025-06-05T15:57:33" u="1"/>
        <d v="2025-06-05T16:03:42" u="1"/>
        <d v="2025-06-05T15:53:19" u="1"/>
        <d v="2025-06-05T15:53:25" u="1"/>
        <d v="2025-06-05T15:53:31" u="1"/>
        <d v="2025-06-04T17:46:47" u="1"/>
        <d v="2025-06-05T10:17:56" u="1"/>
        <d v="2025-06-05T20:06:23" u="1"/>
        <d v="2025-06-05T20:06:40" u="1"/>
        <d v="2025-06-05T20:07:29" u="1"/>
        <d v="2025-06-05T20:07:56" u="1"/>
        <d v="2025-06-05T20:11:17" u="1"/>
        <d v="2025-06-03T19:28:31" u="1"/>
        <d v="2025-06-05T11:06:46" u="1"/>
        <d v="2025-06-05T13:21:19" u="1"/>
        <d v="2025-06-05T10:36:05" u="1"/>
        <d v="2025-06-03T19:06:14" u="1"/>
        <d v="2025-06-04T18:49:16" u="1"/>
        <d v="2025-06-05T21:20:28" u="1"/>
        <d v="2025-06-05T15:42:59" u="1"/>
        <d v="2025-06-05T15:30:31" u="1"/>
        <d v="2025-06-05T17:18:14" u="1"/>
        <d v="2025-06-05T17:33:16" u="1"/>
        <d v="2025-06-05T16:05:44" u="1"/>
        <d v="2025-06-05T16:05:45" u="1"/>
        <d v="2025-06-05T19:03:35" u="1"/>
        <d v="2025-06-05T14:35:03" u="1"/>
        <d v="2025-06-05T14:35:08" u="1"/>
        <d v="2025-06-05T20:47:16" u="1"/>
        <d v="2025-06-04T07:16:39" u="1"/>
        <d v="2025-06-05T14:45:35" u="1"/>
        <d v="2025-06-05T10:05:50" u="1"/>
        <d v="2025-06-05T17:06:02" u="1"/>
        <d v="2025-06-05T20:02:51" u="1"/>
        <d v="2025-06-03T20:19:48" u="1"/>
        <d v="2025-06-05T21:09:55" u="1"/>
        <d v="2025-06-05T11:26:24" u="1"/>
        <d v="2025-06-04T13:58:42" u="1"/>
        <d v="2025-06-05T21:19:32" u="1"/>
        <d v="2025-06-05T14:02:16" u="1"/>
        <d v="2025-06-05T14:54:08" u="1"/>
        <d v="2025-06-05T14:46:26" u="1"/>
        <d v="2025-06-05T21:44:27" u="1"/>
        <d v="2025-06-05T13:17:29" u="1"/>
        <d v="2025-06-05T13:17:30" u="1"/>
        <d v="2025-06-05T13:17:32" u="1"/>
        <d v="2025-06-05T17:45:59" u="1"/>
        <d v="2025-06-05T12:02:29" u="1"/>
        <d v="2025-06-04T19:34:36" u="1"/>
        <d v="2025-06-05T20:56:17" u="1"/>
        <d v="2025-06-05T14:55:09" u="1"/>
        <d v="2025-06-05T20:56:49" u="1"/>
        <d v="2025-06-05T21:00:34" u="1"/>
        <d v="2025-06-05T21:00:54" u="1"/>
        <d v="2025-06-05T20:58:42" u="1"/>
        <d v="2025-06-04T12:51:03" u="1"/>
        <d v="2025-06-05T21:08:06" u="1"/>
        <d v="2025-06-05T18:57:53" u="1"/>
        <d v="2025-06-05T17:07:59" u="1"/>
        <d v="2025-06-05T20:54:17" u="1"/>
        <d v="2025-06-05T20:54:18" u="1"/>
        <d v="2025-06-06T00:06:34" u="1"/>
        <d v="2025-06-06T00:06:35" u="1"/>
        <d v="2025-06-04T15:01:36" u="1"/>
        <d v="2025-06-05T19:35:36" u="1"/>
        <d v="2025-06-04T11:31:59" u="1"/>
        <d v="2025-06-05T16:56:20" u="1"/>
        <d v="2025-06-04T19:34:31" u="1"/>
        <d v="2025-06-05T09:31:31" u="1"/>
        <d v="2025-06-05T09:46:39" u="1"/>
        <d v="2025-06-03T15:21:47" u="1"/>
        <d v="2025-06-05T17:02:00" u="1"/>
        <d v="2025-06-05T17:50:06" u="1"/>
        <d v="2025-06-05T17:45:08" u="1"/>
        <d v="2025-06-05T18:45:53" u="1"/>
        <d v="2025-06-05T15:33:58" u="1"/>
        <d v="2025-06-04T12:19:48" u="1"/>
        <d v="2025-06-05T10:49:11" u="1"/>
        <d v="2025-06-04T09:34:53" u="1"/>
        <d v="2025-06-05T14:55:56" u="1"/>
        <d v="2025-05-21T18:49:55" u="1"/>
        <d v="2025-06-02T13:03:03" u="1"/>
        <d v="2025-06-02T13:04:02" u="1"/>
        <d v="2025-06-02T13:04:14" u="1"/>
        <d v="2025-06-02T13:04:31" u="1"/>
        <d v="2025-05-28T16:36:05" u="1"/>
        <d v="2025-05-30T18:15:44" u="1"/>
        <d v="2025-05-30T15:05:34" u="1"/>
        <d v="2025-05-30T15:16:20" u="1"/>
        <d v="2025-05-30T19:01:10" u="1"/>
        <d v="2025-05-27T10:25:33" u="1"/>
        <d v="2025-06-02T17:32:52" u="1"/>
        <d v="2025-06-02T09:31:05" u="1"/>
        <d v="2025-06-02T13:31:30" u="1"/>
        <d v="2025-06-02T13:31:37" u="1"/>
        <d v="2025-06-02T15:17:32" u="1"/>
        <d v="2025-06-02T15:45:49" u="1"/>
        <d v="2025-06-02T17:35:26" u="1"/>
        <d v="2025-06-02T17:35:32" u="1"/>
        <d v="2025-06-02T12:01:26" u="1"/>
        <d v="2025-05-30T19:10:49" u="1"/>
        <d v="2025-06-02T17:46:58" u="1"/>
        <d v="2025-05-27T11:07:52" u="1"/>
        <d v="2025-05-23T10:23:38" u="1"/>
        <d v="2025-05-23T09:03:17" u="1"/>
        <d v="2025-05-27T19:34:09" u="1"/>
        <d v="2025-06-02T17:07:40" u="1"/>
        <d v="2025-05-28T14:54:05" u="1"/>
        <d v="2025-06-02T10:20:53" u="1"/>
        <d v="2025-05-28T11:55:20" u="1"/>
        <d v="2025-06-03T16:44:46" u="1"/>
        <d v="2025-06-04T09:54:48" u="1"/>
        <d v="2025-06-04T15:07:21" u="1"/>
        <d v="2025-06-04T14:56:39" u="1"/>
        <d v="2025-06-04T17:05:23" u="1"/>
        <d v="2025-06-04T21:08:08" u="1"/>
        <d v="2025-06-04T21:08:55" u="1"/>
        <d v="2025-06-04T21:09:43" u="1"/>
        <d v="2025-06-04T21:09:56" u="1"/>
        <d v="2025-06-02T20:25:04" u="1"/>
        <d v="2025-06-02T20:26:55" u="1"/>
        <d v="2025-06-02T20:27:01" u="1"/>
        <d v="2025-06-02T20:27:17" u="1"/>
        <d v="2025-06-03T20:36:21" u="1"/>
        <d v="2025-06-03T20:36:52" u="1"/>
        <d v="2025-06-04T17:24:14" u="1"/>
        <d v="2025-06-04T17:24:15" u="1"/>
        <d v="2025-06-04T17:14:40" u="1"/>
        <d v="2025-06-04T14:31:00" u="1"/>
        <d v="2025-06-04T14:31:15" u="1"/>
        <d v="2025-06-03T13:27:58" u="1"/>
        <d v="2025-06-03T19:27:44" u="1"/>
        <d v="2025-06-03T19:28:23" u="1"/>
        <d v="2025-06-04T13:44:35" u="1"/>
        <d v="2025-06-04T13:47:42" u="1"/>
        <d v="2025-06-02T19:38:13" u="1"/>
        <d v="2025-06-03T19:52:35" u="1"/>
        <d v="2025-06-03T17:52:51" u="1"/>
        <d v="2025-06-03T20:07:15" u="1"/>
        <d v="2025-06-03T14:07:13" u="1"/>
        <d v="2025-06-03T14:09:09" u="1"/>
        <d v="2025-06-03T20:07:29" u="1"/>
        <d v="2025-06-03T17:45:46" u="1"/>
        <d v="2025-06-04T10:16:22" u="1"/>
        <d v="2025-06-03T16:01:05" u="1"/>
        <d v="2025-06-03T10:45:46" u="1"/>
        <d v="2025-06-03T09:31:31" u="1"/>
        <d v="2025-06-03T09:46:25" u="1"/>
        <d v="2025-06-03T09:46:30" u="1"/>
        <d v="2025-06-03T09:46:35" u="1"/>
        <d v="2025-06-03T09:46:47" u="1"/>
        <d v="2025-06-03T10:16:06" u="1"/>
        <d v="2025-06-02T19:01:12" u="1"/>
        <d v="2025-06-04T17:16:20" u="1"/>
        <d v="2025-06-04T17:17:13" u="1"/>
        <d v="2025-06-04T18:01:15" u="1"/>
        <d v="2025-06-04T18:01:22" u="1"/>
        <d v="2025-06-04T16:31:24" u="1"/>
        <d v="2025-06-04T16:31:49" u="1"/>
        <d v="2025-06-03T09:33:13" u="1"/>
        <d v="2025-06-02T20:48:01" u="1"/>
        <d v="2025-06-03T01:33:01" u="1"/>
        <d v="2025-06-03T14:40:54" u="1"/>
        <d v="2025-06-03T14:41:51" u="1"/>
        <d v="2025-06-03T14:43:42" u="1"/>
        <d v="2025-06-03T14:44:13" u="1"/>
        <d v="2025-06-03T20:42:06" u="1"/>
        <d v="2025-06-03T16:15:42" u="1"/>
        <d v="2025-06-03T12:02:55" u="1"/>
        <d v="2025-06-03T12:02:57" u="1"/>
        <d v="2025-06-04T10:01:47" u="1"/>
        <d v="2025-06-04T10:01:50" u="1"/>
        <d v="2025-06-04T19:03:01" u="1"/>
        <d v="2025-06-04T18:02:56" u="1"/>
        <d v="2025-06-04T18:02:57" u="1"/>
        <d v="2025-06-04T18:02:59" u="1"/>
        <d v="2025-06-04T18:03:00" u="1"/>
        <d v="2025-06-04T18:03:01" u="1"/>
        <d v="2025-06-04T16:05:24" u="1"/>
        <d v="2025-06-04T13:06:15" u="1"/>
        <d v="2025-06-02T18:06:51" u="1"/>
        <d v="2025-06-03T19:56:28" u="1"/>
        <d v="2025-06-02T19:41:02" u="1"/>
        <d v="2025-06-03T13:56:43" u="1"/>
        <d v="2025-06-04T15:05:48" u="1"/>
        <d v="2025-06-04T15:06:08" u="1"/>
        <d v="2025-06-04T16:06:00" u="1"/>
        <d v="2025-06-04T16:06:02" u="1"/>
        <d v="2025-06-04T16:01:40" u="1"/>
        <d v="2025-06-04T16:02:10" u="1"/>
        <d v="2025-06-04T16:04:43" u="1"/>
        <d v="2025-06-03T13:00:57" u="1"/>
        <d v="2025-06-04T12:02:16" u="1"/>
        <d v="2025-06-04T12:03:48" u="1"/>
        <d v="2025-06-04T11:01:17" u="1"/>
        <d v="2025-06-04T11:02:07" u="1"/>
        <d v="2025-06-02T20:20:40" u="1"/>
        <d v="2025-06-03T14:23:55" u="1"/>
        <d v="2025-06-04T20:36:53" u="1"/>
        <d v="2025-06-04T20:38:05" u="1"/>
        <d v="2025-06-04T14:45:28" u="1"/>
        <d v="2025-06-04T01:36:44" u="1"/>
        <d v="2025-06-02T18:36:01" u="1"/>
        <d v="2025-06-03T14:14:46" u="1"/>
        <d v="2025-06-03T13:58:24" u="1"/>
        <d v="2025-06-03T01:23:18" u="1"/>
        <d v="2025-06-03T19:57:40" u="1"/>
        <d v="2025-06-03T19:57:48" u="1"/>
        <d v="2025-06-03T19:58:59" u="1"/>
        <d v="2025-06-04T20:18:45" u="1"/>
        <d v="2025-06-04T20:59:51" u="1"/>
        <d v="2025-06-04T21:00:49" u="1"/>
        <d v="2025-06-04T21:00:55" u="1"/>
        <d v="2025-06-04T21:01:05" u="1"/>
        <d v="2025-06-04T21:04:28" u="1"/>
        <d v="2025-06-04T15:20:57" u="1"/>
        <d v="2025-06-04T15:21:07" u="1"/>
        <d v="2025-06-04T15:21:40" u="1"/>
        <d v="2025-06-04T15:25:55" u="1"/>
        <d v="2025-06-03T20:58:49" u="1"/>
        <d v="2025-06-02T20:55:34" u="1"/>
        <d v="2025-06-02T20:55:48" u="1"/>
        <d v="2025-06-03T14:49:08" u="1"/>
        <d v="2025-06-04T13:47:07" u="1"/>
        <d v="2025-06-04T20:40:08" u="1"/>
        <d v="2025-06-04T10:49:59" u="1"/>
        <d v="2025-06-04T20:24:23" u="1"/>
        <d v="2025-06-04T14:36:39" u="1"/>
        <d v="2025-06-04T01:37:43" u="1"/>
        <d v="2025-06-03T20:10:40" u="1"/>
        <d v="2025-06-03T20:10:46" u="1"/>
        <d v="2025-06-02T19:55:34" u="1"/>
        <d v="2025-06-03T14:12:32" u="1"/>
        <d v="2025-06-03T14:14:10" u="1"/>
        <d v="2025-06-03T20:12:36" u="1"/>
        <d v="2025-06-03T20:11:26" u="1"/>
        <d v="2025-06-03T14:11:47" u="1"/>
        <d v="2025-06-04T20:26:54" u="1"/>
        <d v="2025-06-04T20:27:04" u="1"/>
        <d v="2025-06-05T01:57:47" u="1"/>
        <d v="2025-06-03T17:17:20" u="1"/>
        <d v="2025-06-04T18:54:31" u="1"/>
        <d v="2025-06-04T18:06:09" u="1"/>
        <d v="2025-06-03T18:44:20" u="1"/>
        <d v="2025-06-04T17:03:49" u="1"/>
        <d v="2025-06-04T08:53:51" u="1"/>
        <d v="2025-06-04T16:48:43" u="1"/>
        <d v="2025-06-04T19:41:50" u="1"/>
        <d v="2025-06-04T13:54:22" u="1"/>
        <d v="2025-06-03T18:54:29" u="1"/>
        <d v="2025-06-04T19:16:39" u="1"/>
        <d v="2025-06-03T19:34:52" u="1"/>
        <d v="2025-06-04T20:29:44" u="1"/>
        <d v="2025-06-04T16:22:23" u="1"/>
        <d v="2025-06-04T11:46:00" u="1"/>
        <d v="2025-06-04T19:13:56" u="1"/>
        <d v="2025-06-04T20:02:39" u="1"/>
        <d v="2025-06-04T20:02:43" u="1"/>
        <d v="2025-06-04T20:03:40" u="1"/>
        <d v="2025-06-04T20:02:22" u="1"/>
        <d v="2025-06-04T18:16:35" u="1"/>
        <d v="2025-06-04T20:02:08" u="1"/>
        <d v="2025-06-03T10:29:30" u="1"/>
        <d v="2025-06-04T18:16:55" u="1"/>
        <d v="2025-06-04T20:03:57" u="1"/>
        <d v="2025-06-04T17:47:30" u="1"/>
        <d v="2025-06-04T20:02:31" u="1"/>
        <d v="2025-06-04T08:32:07" u="1"/>
        <d v="2025-06-04T20:20:44" u="1"/>
        <d v="2025-06-04T15:16:02" u="1"/>
        <d v="2025-06-04T17:01:54" u="1"/>
        <d v="2025-06-03T17:02:20" u="1"/>
        <d v="2025-06-04T23:02:44" u="1"/>
        <d v="2025-06-05T01:53:16" u="1"/>
        <d v="2025-06-05T01:51:26" u="1"/>
        <d v="2025-02-09T11:04:01" u="1"/>
        <d v="2025-03-22T13:16:28" u="1"/>
        <d v="2025-03-27T17:02:05" u="1"/>
        <d v="2025-05-19T16:46:44" u="1"/>
        <d v="2025-05-09T11:56:32" u="1"/>
        <d v="2025-05-14T19:49:46" u="1"/>
        <d v="2025-05-20T22:10:39" u="1"/>
        <d v="2025-05-20T21:36:25" u="1"/>
        <d v="2025-05-20T20:19:41" u="1"/>
        <d v="2025-05-20T11:54:22" u="1"/>
        <d v="2025-05-20T15:10:53" u="1"/>
        <d v="2025-05-20T20:20:20" u="1"/>
        <d v="2025-05-20T17:28:07" u="1"/>
        <d v="2025-05-21T17:49:39" u="1"/>
        <d v="2025-05-20T15:10:30" u="1"/>
        <d v="2025-05-20T15:26:44" u="1"/>
        <d v="2025-05-27T23:58:27" u="1"/>
        <d v="2025-05-30T19:58:58" u="1"/>
        <d v="2025-05-27T10:18:51" u="1"/>
        <d v="2025-05-27T10:23:22" u="1"/>
        <d v="2025-05-27T10:19:17" u="1"/>
        <d v="2025-05-26T16:07:21" u="1"/>
        <d v="2025-05-27T10:21:58" u="1"/>
        <d v="2025-05-30T14:03:18" u="1"/>
        <d v="2025-05-27T20:32:42" u="1"/>
        <d v="2025-05-27T10:18:45" u="1"/>
        <d v="2025-05-27T10:22:40" u="1"/>
        <d v="2025-05-27T14:20:52" u="1"/>
        <d v="2025-05-21T21:44:02" u="1"/>
        <d v="2025-05-30T12:07:27" u="1"/>
        <d v="2025-05-30T12:07:37" u="1"/>
      </sharedItems>
      <fieldGroup par="47"/>
    </cacheField>
    <cacheField name="Data Alteração" numFmtId="0">
      <sharedItems containsNonDate="0" containsDate="1" containsString="0" containsBlank="1" minDate="2025-07-03T11:42:19" maxDate="2025-08-13T06:15:33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4576274" maxValue="1545065602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10-24T15:31:00" maxDate="2025-08-13T00:44:00" count="8000">
        <d v="2025-08-12T00:00:00"/>
        <d v="2025-08-11T14:53:00"/>
        <d v="2025-08-12T10:11:00"/>
        <d v="2025-08-12T10:07:00"/>
        <d v="2025-08-12T09:19:00"/>
        <d v="2025-08-12T08:53:00"/>
        <d v="2025-08-04T19:04:00"/>
        <d v="2025-08-11T13:10:00"/>
        <d v="2025-08-12T09:44:00"/>
        <d v="2025-08-12T14:38:00"/>
        <d v="2025-08-13T00:41:00"/>
        <d v="2025-08-13T00:44:00"/>
        <d v="2025-08-12T22:43:00"/>
        <d v="2025-06-26T20:26:00"/>
        <d v="2025-08-05T22:38:00"/>
        <d v="2025-05-27T00:00:00"/>
        <d v="2025-08-12T06:38:00"/>
        <d v="2025-08-01T07:05:00"/>
        <d v="2025-08-01T07:16:00"/>
        <d v="2025-08-12T08:23:00"/>
        <d v="2025-08-08T10:14:00"/>
        <d v="2025-08-11T09:36:00"/>
        <d v="2025-08-12T07:01:00"/>
        <d v="2025-08-04T13:13:00"/>
        <d v="2025-08-01T13:24:00"/>
        <d v="2025-08-05T20:28:00"/>
        <d v="2025-08-11T14:13:00"/>
        <d v="2025-08-11T14:36:00"/>
        <d v="2025-08-11T14:41:00"/>
        <d v="2025-08-07T06:19:00"/>
        <d v="2025-08-11T14:06:00"/>
        <d v="2025-06-26T13:39:00"/>
        <d v="2025-07-31T15:41:00"/>
        <d v="2025-08-12T05:42:00"/>
        <d v="2025-08-12T06:43:00"/>
        <d v="2025-08-12T02:53:00"/>
        <d v="2025-08-12T06:04:00"/>
        <d v="2025-08-12T08:34:00"/>
        <d v="2025-07-29T06:27:00"/>
        <d v="2025-08-05T03:39:00"/>
        <d v="2025-07-31T01:10:00"/>
        <d v="2025-08-06T01:45:00"/>
        <d v="2025-08-06T12:51:00"/>
        <d v="2025-08-07T11:48:00"/>
        <d v="2025-08-07T12:23:00"/>
        <d v="2025-08-07T12:40:00"/>
        <d v="2025-08-12T03:33:00"/>
        <d v="2025-08-12T01:59:00"/>
        <d v="2025-08-12T03:58:00"/>
        <d v="2025-08-12T11:47:00"/>
        <d v="2025-08-12T11:36:00"/>
        <d v="2025-08-12T12:00:00"/>
        <d v="2025-08-12T12:57:00"/>
        <d v="2025-08-12T05:37:00"/>
        <d v="2025-08-12T05:44:00"/>
        <d v="2025-08-12T05:31:00"/>
        <d v="2025-08-12T07:06:00"/>
        <d v="2025-08-12T06:53:00"/>
        <d v="2025-08-12T07:00:00"/>
        <d v="2025-08-12T03:14:00"/>
        <d v="2025-08-12T08:06:00"/>
        <d v="2025-08-12T08:40:00"/>
        <d v="2025-08-12T02:57:00"/>
        <d v="2025-08-12T01:35:00"/>
        <d v="2025-08-12T01:58:00"/>
        <d v="2025-08-12T02:11:00"/>
        <d v="2025-08-12T09:55:00"/>
        <d v="2025-08-11T11:43:00"/>
        <d v="2025-08-12T12:03:00"/>
        <d v="2025-08-12T06:25:00"/>
        <d v="2025-08-11T11:52:00"/>
        <d v="2025-08-12T07:34:00"/>
        <d v="2025-08-12T07:38:00"/>
        <d v="2025-08-12T07:45:00"/>
        <d v="2025-08-07T00:00:00"/>
        <d v="2025-07-31T07:29:00"/>
        <d v="2025-08-12T16:49:00"/>
        <d v="2025-08-01T16:47:00"/>
        <d v="2025-07-29T07:28:00"/>
        <d v="2025-07-03T09:37:00"/>
        <d v="2025-07-31T14:56:00"/>
        <d v="2025-08-11T17:17:00"/>
        <d v="2025-08-01T11:07:00"/>
        <d v="2025-08-07T11:57:00"/>
        <d v="2025-08-05T07:34:00"/>
        <d v="2025-08-10T17:44:00"/>
        <d v="2025-08-01T08:54:00"/>
        <d v="2025-05-02T18:32:00"/>
        <d v="2025-08-08T17:36:00"/>
        <d v="2025-08-11T10:32:00"/>
        <d v="2025-08-12T11:20:00"/>
        <d v="2025-08-12T10:06:00"/>
        <d v="2025-08-12T09:17:00"/>
        <d v="2025-08-12T16:58:00"/>
        <d v="2025-08-12T16:59:00"/>
        <d v="2025-08-12T13:25:00"/>
        <d v="2025-08-11T16:59:00"/>
        <d v="2025-08-11T16:49:00"/>
        <d v="2025-08-11T00:00:00"/>
        <d v="2025-08-12T14:31:00"/>
        <d v="2025-08-11T14:03:00"/>
        <d v="2025-08-11T14:04:00"/>
        <d v="2025-08-12T17:33:00"/>
        <d v="2025-08-12T17:37:00"/>
        <d v="2025-08-12T17:40:00"/>
        <d v="2025-08-12T17:43:00"/>
        <d v="2025-08-12T17:45:00"/>
        <d v="2025-08-08T00:00:00"/>
        <d v="2025-08-05T17:26:00"/>
        <d v="2025-07-30T00:00:00"/>
        <d v="2025-07-24T00:00:00"/>
        <d v="2025-07-16T00:00:00"/>
        <d v="2025-08-11T18:21:00"/>
        <d v="2025-02-17T14:51:00"/>
        <d v="2025-08-12T16:34:00"/>
        <d v="2025-08-04T17:32:00"/>
        <d v="2025-08-11T16:47:00"/>
        <d v="2025-08-12T11:27:00"/>
        <d v="2025-08-12T18:56:00"/>
        <d v="2025-08-05T13:02:00"/>
        <d v="2025-08-12T18:23:00"/>
        <d v="2025-08-11T21:34:00"/>
        <d v="2025-08-12T15:03:00"/>
        <d v="2025-08-11T18:03:00"/>
        <d v="2025-08-11T17:29:00"/>
        <d v="2025-08-07T14:14:00"/>
        <d v="2025-08-07T14:00:00"/>
        <d v="2025-08-11T08:41:00"/>
        <d v="2025-08-01T17:32:00"/>
        <d v="2025-07-23T14:28:00"/>
        <d v="2025-08-05T18:53:00"/>
        <d v="2025-08-05T18:02:00"/>
        <d v="2025-08-10T19:54:00"/>
        <d v="2025-08-11T17:52:00"/>
        <d v="2025-08-12T16:21:00"/>
        <d v="2025-08-05T11:21:00"/>
        <d v="2025-07-30T11:39:00"/>
        <d v="2025-08-07T12:14:00"/>
        <d v="2025-08-07T14:45:00"/>
        <d v="2025-08-06T18:39:00"/>
        <d v="2025-08-05T18:54:00"/>
        <d v="2025-08-06T14:04:00"/>
        <d v="2025-08-08T08:43:00"/>
        <d v="2025-08-12T16:50:00"/>
        <d v="2025-08-12T13:20:00"/>
        <d v="2025-07-24T17:41:00"/>
        <d v="2025-07-24T17:45:00"/>
        <d v="2025-08-12T17:39:00"/>
        <d v="2025-08-04T14:32:00"/>
        <d v="2025-07-28T13:52:00"/>
        <d v="2025-07-31T11:06:00"/>
        <d v="2025-08-12T18:03:00"/>
        <d v="2025-08-12T14:09:00"/>
        <d v="2025-08-12T14:12:00"/>
        <d v="2025-08-12T14:15:00"/>
        <d v="2025-08-12T14:19:00"/>
        <d v="2025-08-11T14:59:00"/>
        <d v="2025-08-11T15:01:00"/>
        <d v="2025-08-11T14:55:00"/>
        <d v="2025-08-06T12:26:00"/>
        <d v="2025-08-06T14:48:00"/>
        <d v="2025-08-06T14:44:00"/>
        <d v="2025-08-11T16:36:00"/>
        <d v="2025-08-11T16:27:00"/>
        <d v="2025-08-05T16:10:00"/>
        <d v="2025-08-11T17:05:00"/>
        <d v="2025-08-07T17:04:00"/>
        <d v="2025-08-07T16:04:00"/>
        <d v="2025-08-01T10:39:00"/>
        <d v="2025-08-12T14:42:00"/>
        <d v="2025-08-12T15:45:00"/>
        <d v="2025-08-12T19:59:00"/>
        <d v="2025-07-16T12:18:00"/>
        <d v="2025-08-11T12:37:00"/>
        <d v="2025-08-04T19:31:00"/>
        <d v="2025-08-06T08:03:00"/>
        <d v="2025-08-06T09:34:00"/>
        <d v="2025-08-07T07:59:00"/>
        <d v="2025-08-08T10:23:00"/>
        <d v="2025-08-08T08:22:00"/>
        <d v="2025-08-08T08:29:00"/>
        <d v="2025-08-08T12:32:00"/>
        <d v="2025-08-08T10:28:00"/>
        <d v="2025-08-07T06:10:00"/>
        <d v="2025-08-06T00:00:00"/>
        <d v="2025-08-08T13:12:00"/>
        <d v="2025-08-05T13:22:00"/>
        <d v="2025-08-07T17:10:00"/>
        <d v="2025-08-04T10:00:00"/>
        <d v="2025-08-11T06:29:00"/>
        <d v="2025-08-06T12:57:00"/>
        <d v="2025-08-07T08:00:00"/>
        <d v="2025-08-07T11:41:00"/>
        <d v="2025-08-08T08:30:00"/>
        <d v="2025-08-07T15:17:00"/>
        <d v="2025-08-07T13:27:00"/>
        <d v="2025-08-07T13:17:00"/>
        <d v="2025-08-06T13:00:00"/>
        <d v="2025-08-07T11:00:00"/>
        <d v="2025-08-07T10:39:00"/>
        <d v="2025-08-06T11:24:00"/>
        <d v="2025-08-06T05:18:00"/>
        <d v="2025-08-06T11:42:00"/>
        <d v="2025-08-06T09:29:00"/>
        <d v="2025-08-12T15:43:00"/>
        <d v="2025-08-12T15:56:00"/>
        <d v="2025-08-12T16:11:00"/>
        <d v="2025-08-12T16:19:00"/>
        <d v="2025-08-11T13:55:00"/>
        <d v="2025-08-08T16:16:00"/>
        <d v="2025-08-05T00:00:00"/>
        <d v="2025-08-12T08:59:00"/>
        <d v="2025-07-29T09:08:00"/>
        <d v="2025-07-28T19:00:00"/>
        <d v="2025-07-15T12:50:00"/>
        <d v="2025-08-01T18:00:00"/>
        <d v="2025-08-04T15:59:00"/>
        <d v="2025-07-15T11:00:00"/>
        <d v="2025-07-16T18:39:00"/>
        <d v="2025-08-05T15:25:00"/>
        <d v="2025-08-05T15:21:00"/>
        <d v="2025-08-05T15:09:00"/>
        <d v="2025-08-05T15:04:00"/>
        <d v="2025-08-12T14:59:00"/>
        <d v="2025-08-08T18:55:00"/>
        <d v="2025-08-12T15:16:00"/>
        <d v="2025-08-12T16:01:00"/>
        <d v="2025-08-12T15:08:00"/>
        <d v="2025-08-12T10:25:00"/>
        <d v="2025-08-07T08:37:00"/>
        <d v="2025-08-07T08:33:00"/>
        <d v="2025-08-12T15:10:00"/>
        <d v="2025-08-12T17:18:00"/>
        <d v="2025-08-12T17:14:00"/>
        <d v="2025-08-12T17:11:00"/>
        <d v="2025-08-07T13:45:00"/>
        <d v="2025-08-08T18:30:00"/>
        <d v="2025-08-04T17:58:00"/>
        <d v="2025-07-16T16:53:00"/>
        <d v="2025-07-17T19:29:00"/>
        <d v="2025-08-12T10:02:00"/>
        <d v="2025-08-04T18:00:00"/>
        <d v="2025-08-04T19:00:00"/>
        <d v="2025-08-12T15:55:00"/>
        <d v="2025-03-06T12:11:00"/>
        <d v="2025-08-12T13:45:00"/>
        <d v="2025-08-12T12:45:00"/>
        <d v="2025-08-12T13:15:00"/>
        <d v="2025-08-12T07:36:00"/>
        <d v="2025-08-12T06:40:00"/>
        <d v="2025-08-11T18:31:00"/>
        <d v="2025-08-08T10:52:00"/>
        <d v="2025-08-11T11:42:00"/>
        <d v="2025-08-11T11:46:00"/>
        <d v="2025-07-17T14:28:00"/>
        <d v="2025-07-21T14:05:00"/>
        <d v="2025-07-17T14:33:00"/>
        <d v="2025-07-17T14:31:00"/>
        <d v="2025-07-16T15:08:00"/>
        <d v="2025-07-16T15:25:00"/>
        <d v="2025-07-16T15:11:00"/>
        <d v="2025-07-16T15:18:00"/>
        <d v="2025-07-16T15:27:00"/>
        <d v="2025-07-16T15:10:00"/>
        <d v="2025-07-28T11:12:00"/>
        <d v="2025-07-16T15:15:00"/>
        <d v="2025-07-16T15:23:00"/>
        <d v="2025-07-16T15:24:00"/>
        <d v="2025-07-21T14:06:00"/>
        <d v="2025-07-17T14:40:00"/>
        <d v="2025-07-17T14:39:00"/>
        <d v="2025-07-17T14:30:00"/>
        <d v="2025-07-17T14:27:00"/>
        <d v="2025-07-17T14:25:00"/>
        <d v="2025-07-01T10:14:00"/>
        <d v="2025-07-16T14:23:00"/>
        <d v="2025-07-17T16:11:00"/>
        <d v="2025-07-17T16:10:00"/>
        <d v="2025-07-17T14:52:00"/>
        <d v="2025-07-17T14:53:00"/>
        <d v="2025-07-17T14:11:00"/>
        <d v="2025-07-17T14:49:00"/>
        <d v="2025-07-17T14:51:00"/>
        <d v="2025-07-15T11:10:00"/>
        <d v="2025-07-16T15:20:00"/>
        <d v="2025-07-16T15:21:00"/>
        <d v="2025-07-15T11:07:00"/>
        <d v="2025-08-07T17:42:00"/>
        <d v="2025-08-07T17:14:00"/>
        <d v="2025-08-04T00:00:00"/>
        <d v="2025-07-31T00:00:00"/>
        <d v="2025-07-07T00:00:00"/>
        <d v="2025-07-08T00:00:00"/>
        <d v="2025-08-11T17:08:00"/>
        <d v="2025-08-12T11:34:00"/>
        <d v="2025-08-05T12:44:00"/>
        <d v="2025-08-05T14:02:00"/>
        <d v="2025-07-31T19:34:00"/>
        <d v="2025-08-12T19:22:00"/>
        <d v="2025-08-12T19:23:00"/>
        <d v="2025-08-11T15:59:00"/>
        <d v="2025-08-12T16:02:00"/>
        <d v="2025-08-12T13:09:00"/>
        <d v="2025-07-15T13:34:00"/>
        <d v="2025-08-04T11:30:00"/>
        <d v="2025-08-08T10:30:00"/>
        <d v="2025-08-08T15:25:00"/>
        <d v="2025-08-11T16:20:00"/>
        <d v="2025-08-11T08:43:00"/>
        <d v="2025-07-24T16:02:00"/>
        <d v="2025-07-25T11:02:00"/>
        <d v="2025-07-18T06:24:00"/>
        <d v="2025-08-06T12:11:00"/>
        <d v="2025-08-06T12:28:00"/>
        <d v="2025-08-06T12:37:00"/>
        <d v="2025-08-06T12:40:00"/>
        <d v="2025-08-06T09:28:00"/>
        <d v="2025-08-05T12:40:00"/>
        <d v="2025-08-11T11:41:00"/>
        <d v="2025-08-11T12:10:00"/>
        <d v="2025-08-11T07:07:00"/>
        <d v="2025-08-07T15:28:00"/>
        <d v="2025-08-12T13:46:00"/>
        <d v="2025-08-12T15:46:00"/>
        <d v="2025-08-12T11:41:00"/>
        <d v="2025-08-07T13:15:00"/>
        <d v="2025-08-08T07:31:00"/>
        <d v="2025-08-11T15:04:00"/>
        <d v="2025-08-08T12:00:00"/>
        <d v="2025-08-08T12:12:00"/>
        <d v="2025-08-08T12:23:00"/>
        <d v="2025-08-07T12:07:00"/>
        <d v="2025-08-11T21:56:00"/>
        <d v="2025-08-11T21:44:00"/>
        <d v="2025-08-08T10:00:00"/>
        <d v="2025-07-17T10:07:00"/>
        <d v="2025-08-12T09:33:00"/>
        <d v="2025-08-12T10:30:00"/>
        <d v="2025-08-04T12:07:00"/>
        <d v="2025-08-11T09:39:00"/>
        <d v="2025-08-01T09:37:00"/>
        <d v="2025-08-06T11:39:00"/>
        <d v="2025-08-06T11:44:00"/>
        <d v="2025-08-06T11:36:00"/>
        <d v="2025-08-04T09:31:00"/>
        <d v="2025-08-04T09:14:00"/>
        <d v="2025-08-12T08:14:00"/>
        <d v="2025-08-12T08:28:00"/>
        <d v="2025-08-12T09:35:00"/>
        <d v="2025-08-12T07:33:00"/>
        <d v="2025-08-12T16:17:00"/>
        <d v="2025-08-08T08:57:00"/>
        <d v="2025-08-08T10:57:00"/>
        <d v="2025-08-07T13:53:00"/>
        <d v="2025-08-05T09:59:00"/>
        <d v="2025-08-08T11:13:00"/>
        <d v="2025-08-08T06:59:00"/>
        <d v="2025-08-08T14:30:00"/>
        <d v="2025-08-11T06:57:00"/>
        <d v="2025-07-28T12:31:00"/>
        <d v="2025-07-25T09:45:00"/>
        <d v="2025-07-25T09:43:00"/>
        <d v="2025-08-07T12:59:00"/>
        <d v="2025-08-04T09:24:00"/>
        <d v="2025-08-04T09:30:00"/>
        <d v="2025-08-12T14:53:00"/>
        <d v="2025-08-07T13:25:00"/>
        <d v="2025-07-28T13:35:00"/>
        <d v="2025-08-07T16:00:00"/>
        <d v="2025-08-06T21:56:00"/>
        <d v="2025-08-01T14:29:00"/>
        <d v="2025-07-31T17:06:00"/>
        <d v="2025-08-12T18:01:00"/>
        <d v="2025-07-29T14:00:00"/>
        <d v="2025-07-29T14:10:00"/>
        <d v="2025-08-12T12:36:00"/>
        <d v="2025-08-04T14:36:00"/>
        <d v="2025-08-07T13:44:00"/>
        <d v="2025-08-07T17:40:00"/>
        <d v="2025-08-11T11:18:00"/>
        <d v="2025-08-11T17:16:00"/>
        <d v="2025-08-06T14:59:00"/>
        <d v="2025-08-07T15:05:00"/>
        <d v="2025-08-05T15:46:00"/>
        <d v="2025-08-08T11:28:00"/>
        <d v="2025-08-12T19:07:00"/>
        <d v="2025-08-11T21:40:00"/>
        <d v="2025-08-05T13:42:00"/>
        <d v="2025-08-12T18:18:00"/>
        <d v="2025-08-11T20:27:00"/>
        <d v="2025-08-11T20:12:00"/>
        <d v="2025-08-11T19:46:00"/>
        <d v="2025-08-04T18:53:00"/>
        <d v="2025-08-05T18:39:00"/>
        <d v="2025-08-06T17:19:00"/>
        <d v="2025-08-11T18:23:00"/>
        <d v="2025-08-12T09:02:00"/>
        <d v="2025-08-12T18:41:00"/>
        <d v="2025-07-18T12:05:00"/>
        <d v="2025-07-10T09:35:00"/>
        <d v="2025-08-11T15:46:00"/>
        <d v="2025-07-29T18:11:00"/>
        <d v="2025-07-29T15:02:00"/>
        <d v="2025-07-25T17:51:00"/>
        <d v="2025-08-12T14:07:00"/>
        <d v="2025-08-08T09:26:00"/>
        <d v="2025-08-05T13:45:00"/>
        <d v="2025-07-25T15:33:00"/>
        <d v="2025-08-11T16:10:00"/>
        <d v="2025-08-11T14:14:00"/>
        <d v="2025-08-11T13:22:00"/>
        <d v="2025-08-08T14:07:00"/>
        <d v="2025-08-08T11:52:00"/>
        <d v="2025-08-08T12:08:00"/>
        <d v="2025-08-11T11:19:00"/>
        <d v="2025-08-07T14:57:00"/>
        <d v="2025-08-07T07:12:00"/>
        <d v="2025-08-07T10:41:00"/>
        <d v="2025-08-06T13:25:00"/>
        <d v="2025-07-30T11:11:00"/>
        <d v="2025-07-29T08:53:00"/>
        <d v="2025-08-12T15:37:00"/>
        <d v="2025-08-12T15:22:00"/>
        <d v="2025-08-12T15:28:00"/>
        <d v="2025-08-12T15:11:00"/>
        <d v="2025-08-11T10:57:00"/>
        <d v="2025-08-12T15:52:00"/>
        <d v="2025-08-12T11:31:00"/>
        <d v="2025-08-12T10:57:00"/>
        <d v="2025-08-12T07:39:00"/>
        <d v="2025-08-12T09:24:00"/>
        <d v="2025-08-11T11:03:00"/>
        <d v="2025-08-12T13:40:00"/>
        <d v="2025-08-12T11:37:00"/>
        <d v="2025-08-07T10:19:00"/>
        <d v="2025-08-04T11:07:00"/>
        <d v="2025-08-06T09:45:00"/>
        <d v="2025-08-11T18:29:00"/>
        <d v="2025-08-12T17:29:00"/>
        <d v="2025-08-12T19:58:00"/>
        <d v="2025-08-12T20:00:00"/>
        <d v="2025-08-12T10:20:00"/>
        <d v="2025-08-06T08:53:00"/>
        <d v="2025-08-06T08:51:00"/>
        <d v="2025-08-12T12:14:00"/>
        <d v="2025-08-07T13:57:00"/>
        <m/>
        <d v="2025-08-06T08:52:00" u="1"/>
        <d v="2025-08-05T17:07:00" u="1"/>
        <d v="2025-08-11T08:30:00" u="1"/>
        <d v="2025-08-04T15:48:00" u="1"/>
        <d v="2025-08-11T17:15:00" u="1"/>
        <d v="2025-08-08T11:25:00" u="1"/>
        <d v="2025-08-08T00:59:00" u="1"/>
        <d v="2025-08-09T04:26:00" u="1"/>
        <d v="2025-08-11T03:55:00" u="1"/>
        <d v="2025-08-11T04:49:00" u="1"/>
        <d v="2025-08-08T12:31:00" u="1"/>
        <d v="2025-08-08T11:12:00" u="1"/>
        <d v="2025-08-11T22:54:00" u="1"/>
        <d v="2025-08-11T15:34:00" u="1"/>
        <d v="2025-08-07T08:29:00" u="1"/>
        <d v="2025-08-11T10:43:00" u="1"/>
        <d v="2025-08-06T05:57:00" u="1"/>
        <d v="2025-08-01T15:31:00" u="1"/>
        <d v="2025-08-07T02:58:00" u="1"/>
        <d v="2025-08-08T12:41:00" u="1"/>
        <d v="2025-08-08T11:17:24" u="1"/>
        <d v="2025-08-08T05:54:00" u="1"/>
        <d v="2025-08-08T03:19:00" u="1"/>
        <d v="2025-08-08T03:22:00" u="1"/>
        <d v="2025-08-08T05:32:00" u="1"/>
        <d v="2025-08-08T08:47:00" u="1"/>
        <d v="2025-08-09T11:34:00" u="1"/>
        <d v="2025-08-09T03:52:00" u="1"/>
        <d v="2025-08-10T03:55:00" u="1"/>
        <d v="2025-08-11T11:08:00" u="1"/>
        <d v="2025-08-11T11:45:00" u="1"/>
        <d v="2025-08-10T09:01:00" u="1"/>
        <d v="2025-08-10T09:12:00" u="1"/>
        <d v="2025-08-11T09:01:00" u="1"/>
        <d v="2025-08-11T09:16:00" u="1"/>
        <d v="2025-08-10T09:16:00" u="1"/>
        <d v="2025-08-10T09:25:00" u="1"/>
        <d v="2025-08-11T08:55:00" u="1"/>
        <d v="2025-08-11T09:11:00" u="1"/>
        <d v="2025-08-11T02:44:00" u="1"/>
        <d v="2025-08-11T03:03:00" u="1"/>
        <d v="2025-08-11T05:01:00" u="1"/>
        <d v="2025-08-11T04:11:00" u="1"/>
        <d v="2025-08-11T01:00:00" u="1"/>
        <d v="2025-08-11T03:07:00" u="1"/>
        <d v="2025-08-11T01:50:00" u="1"/>
        <d v="2025-08-11T05:20:00" u="1"/>
        <d v="2025-08-11T08:24:00" u="1"/>
        <d v="2025-08-11T12:46:00" u="1"/>
        <d v="2025-08-11T11:49:00" u="1"/>
        <d v="2025-08-11T06:45:00" u="1"/>
        <d v="2025-08-08T13:37:00" u="1"/>
        <d v="2025-08-07T15:56:00" u="1"/>
        <d v="2025-08-08T16:09:00" u="1"/>
        <d v="2025-08-08T06:44:00" u="1"/>
        <d v="2025-08-08T06:49:00" u="1"/>
        <d v="2025-08-10T22:42:00" u="1"/>
        <d v="2025-08-11T06:00:00" u="1"/>
        <d v="2025-08-08T17:39:00" u="1"/>
        <d v="2025-08-11T17:42:00" u="1"/>
        <d v="2025-08-11T15:29:00" u="1"/>
        <d v="2025-08-07T14:54:00" u="1"/>
        <d v="2025-08-08T11:07:00" u="1"/>
        <d v="2025-08-07T13:07:00" u="1"/>
        <d v="2025-08-11T14:30:00" u="1"/>
        <d v="2025-08-11T14:32:00" u="1"/>
        <d v="2025-08-11T09:58:00" u="1"/>
        <d v="2025-08-04T14:38:00" u="1"/>
        <d v="2025-08-07T16:48:00" u="1"/>
        <d v="2025-08-08T13:46:00" u="1"/>
        <d v="2025-08-11T11:56:00" u="1"/>
        <d v="2025-08-09T07:39:00" u="1"/>
        <d v="2025-08-11T21:54:00" u="1"/>
        <d v="2025-08-07T17:24:00" u="1"/>
        <d v="2025-08-11T13:52:00" u="1"/>
        <d v="2025-08-07T14:47:00" u="1"/>
        <d v="2025-08-07T16:20:00" u="1"/>
        <d v="2025-08-07T16:05:00" u="1"/>
        <d v="2025-08-07T18:33:00" u="1"/>
        <d v="2025-08-11T10:41:00" u="1"/>
        <d v="2025-08-11T15:37:00" u="1"/>
        <d v="2025-08-11T10:44:00" u="1"/>
        <d v="2025-08-11T10:50:00" u="1"/>
        <d v="2025-08-08T13:45:00" u="1"/>
        <d v="2025-08-08T13:57:00" u="1"/>
        <d v="2025-08-08T11:00:00" u="1"/>
        <d v="2025-08-06T13:08:00" u="1"/>
        <d v="2025-08-11T10:08:00" u="1"/>
        <d v="2025-08-11T16:01:00" u="1"/>
        <d v="2025-08-11T14:49:00" u="1"/>
        <d v="2025-08-08T11:08:00" u="1"/>
        <d v="2025-08-08T09:25:00" u="1"/>
        <d v="2025-08-06T16:21:00" u="1"/>
        <d v="2025-08-08T09:35:00" u="1"/>
        <d v="2025-08-11T16:02:00" u="1"/>
        <d v="2025-08-08T17:56:00" u="1"/>
        <d v="2025-08-11T13:23:00" u="1"/>
        <d v="2025-08-11T09:37:00" u="1"/>
        <d v="2025-08-08T17:19:00" u="1"/>
        <d v="2025-08-11T13:08:00" u="1"/>
        <d v="2025-07-16T13:14:00" u="1"/>
        <d v="2025-08-08T08:38:00" u="1"/>
        <d v="2025-08-11T12:48:00" u="1"/>
        <d v="2025-08-07T15:22:00" u="1"/>
        <d v="2025-08-07T15:31:00" u="1"/>
        <d v="2025-08-08T08:31:00" u="1"/>
        <d v="2025-08-07T09:52:00" u="1"/>
        <d v="2025-08-11T10:02:00" u="1"/>
        <d v="2025-08-08T13:29:00" u="1"/>
        <d v="2025-08-01T10:12:00" u="1"/>
        <d v="2025-05-29T10:06:00" u="1"/>
        <d v="2025-08-10T00:00:00" u="1"/>
        <d v="2025-08-07T14:53:00" u="1"/>
        <d v="2025-08-08T10:40:00" u="1"/>
        <d v="2025-08-11T10:27:00" u="1"/>
        <d v="2025-08-11T10:29:00" u="1"/>
        <d v="2025-08-08T17:40:00" u="1"/>
        <d v="2025-08-11T14:15:00" u="1"/>
        <d v="2025-08-11T15:43:00" u="1"/>
        <d v="2025-08-11T15:23:00" u="1"/>
        <d v="2025-08-11T15:27:00" u="1"/>
        <d v="2025-08-08T09:30:00" u="1"/>
        <d v="2025-08-11T12:51:00" u="1"/>
        <d v="2025-08-07T15:16:00" u="1"/>
        <d v="2025-08-11T14:45:00" u="1"/>
        <d v="2025-08-11T09:17:00" u="1"/>
        <d v="2025-08-11T09:32:00" u="1"/>
        <d v="2025-08-11T11:16:00" u="1"/>
        <d v="2025-06-17T07:47:00" u="1"/>
        <d v="2025-08-08T12:15:00" u="1"/>
        <d v="2025-08-11T13:48:00" u="1"/>
        <d v="2025-08-11T15:08:00" u="1"/>
        <d v="2025-08-11T12:17:00" u="1"/>
        <d v="2025-08-08T12:05:00" u="1"/>
        <d v="2025-08-08T17:25:00" u="1"/>
        <d v="2025-08-08T17:29:00" u="1"/>
        <d v="2025-07-17T14:35:00" u="1"/>
        <d v="2025-08-11T19:15:00" u="1"/>
        <d v="2025-08-11T15:12:00" u="1"/>
        <d v="2025-08-08T08:48:00" u="1"/>
        <d v="2025-08-04T13:29:00" u="1"/>
        <d v="2025-08-08T16:50:00" u="1"/>
        <d v="2025-08-07T15:33:00" u="1"/>
        <d v="2025-08-07T15:54:00" u="1"/>
        <d v="2025-08-07T17:07:00" u="1"/>
        <d v="2025-08-11T13:38:00" u="1"/>
        <d v="2025-02-28T16:28:00" u="1"/>
        <d v="2025-08-07T18:43:00" u="1"/>
        <d v="2025-08-07T18:12:00" u="1"/>
        <d v="2025-08-08T14:20:00" u="1"/>
        <d v="2025-08-11T17:02:00" u="1"/>
        <d v="2025-08-11T14:27:00" u="1"/>
        <d v="2025-08-08T10:05:00" u="1"/>
        <d v="2025-08-11T17:57:00" u="1"/>
        <d v="2025-08-04T15:45:00" u="1"/>
        <d v="2025-08-04T08:13:00" u="1"/>
        <d v="2025-08-05T15:00:00" u="1"/>
        <d v="2025-08-11T14:18:00" u="1"/>
        <d v="2025-08-11T19:31:00" u="1"/>
        <d v="2025-08-07T12:44:00" u="1"/>
        <d v="2025-08-08T15:04:00" u="1"/>
        <d v="2025-08-08T16:27:00" u="1"/>
        <d v="2025-08-07T17:51:00" u="1"/>
        <d v="2025-08-07T17:49:00" u="1"/>
        <d v="2025-08-07T17:48:00" u="1"/>
        <d v="2025-08-11T09:57:00" u="1"/>
        <d v="2025-08-08T16:28:00" u="1"/>
        <d v="2025-08-08T07:40:00" u="1"/>
        <d v="2025-08-07T17:52:00" u="1"/>
        <d v="2025-08-07T17:50:00" u="1"/>
        <d v="2025-08-05T06:44:00" u="1"/>
        <d v="2025-08-09T03:16:00" u="1"/>
        <d v="2025-08-08T03:07:00" u="1"/>
        <d v="2025-08-09T01:36:00" u="1"/>
        <d v="2025-08-09T17:20:00" u="1"/>
        <d v="2025-08-08T19:59:00" u="1"/>
        <d v="2025-08-09T10:06:00" u="1"/>
        <d v="2025-08-08T03:14:00" u="1"/>
        <d v="2025-08-08T09:58:00" u="1"/>
        <d v="2025-08-08T09:51:00" u="1"/>
        <d v="2025-08-08T18:46:00" u="1"/>
        <d v="2025-08-08T20:45:00" u="1"/>
        <d v="2025-08-08T13:32:00" u="1"/>
        <d v="2025-08-08T22:50:00" u="1"/>
        <d v="2025-08-08T09:43:00" u="1"/>
        <d v="2025-08-08T09:31:00" u="1"/>
        <d v="2025-08-08T09:21:00" u="1"/>
        <d v="2025-08-08T08:47:55" u="1"/>
        <d v="2025-08-08T14:52:00" u="1"/>
        <d v="2025-08-08T14:39:00" u="1"/>
        <d v="2025-08-08T16:01:00" u="1"/>
        <d v="2025-08-08T14:09:00" u="1"/>
        <d v="2025-08-08T13:14:00" u="1"/>
        <d v="2025-08-08T20:18:00" u="1"/>
        <d v="2025-08-08T02:57:00" u="1"/>
        <d v="2025-08-08T19:11:00" u="1"/>
        <d v="2025-08-08T19:05:00" u="1"/>
        <d v="2025-08-08T16:49:00" u="1"/>
        <d v="2025-08-08T16:43:00" u="1"/>
        <d v="2025-07-02T14:49:00" u="1"/>
        <d v="2025-08-08T13:38:00" u="1"/>
        <d v="2025-08-08T14:13:00" u="1"/>
        <d v="2025-08-08T14:22:00" u="1"/>
        <d v="2025-08-08T13:19:00" u="1"/>
        <d v="2025-08-08T09:32:00" u="1"/>
        <d v="2025-08-08T14:05:00" u="1"/>
        <d v="2025-08-08T15:32:00" u="1"/>
        <d v="2025-08-08T15:47:00" u="1"/>
        <d v="2025-08-08T13:03:00" u="1"/>
        <d v="2025-08-08T16:51:00" u="1"/>
        <d v="2025-08-08T15:36:00" u="1"/>
        <d v="2025-08-08T15:55:00" u="1"/>
        <d v="2025-08-08T04:53:00" u="1"/>
        <d v="2025-08-07T18:23:00" u="1"/>
        <d v="2025-08-07T18:16:00" u="1"/>
        <d v="2025-08-08T04:00:00" u="1"/>
        <d v="2025-08-08T14:37:00" u="1"/>
        <d v="2025-08-07T18:04:00" u="1"/>
        <d v="2025-08-08T16:54:00" u="1"/>
        <d v="2025-08-08T16:32:00" u="1"/>
        <d v="2025-08-08T13:55:00" u="1"/>
        <d v="2025-08-08T03:33:00" u="1"/>
        <d v="2025-08-07T17:59:00" u="1"/>
        <d v="2025-08-07T17:54:00" u="1"/>
        <d v="2025-08-08T08:46:00" u="1"/>
        <d v="2025-08-08T14:53:00" u="1"/>
        <d v="2025-08-08T12:01:00" u="1"/>
        <d v="2025-08-08T17:10:00" u="1"/>
        <d v="2025-08-07T18:38:00" u="1"/>
        <d v="2025-08-08T03:04:00" u="1"/>
        <d v="2025-08-08T02:29:00" u="1"/>
        <d v="2025-08-08T03:00:00" u="1"/>
        <d v="2025-08-08T12:57:00" u="1"/>
        <d v="2025-08-08T02:50:00" u="1"/>
        <d v="2025-08-08T03:52:00" u="1"/>
        <d v="2025-08-08T11:43:00" u="1"/>
        <d v="2025-07-28T18:19:00" u="1"/>
        <d v="2025-08-08T15:26:00" u="1"/>
        <d v="2025-08-08T13:42:00" u="1"/>
        <d v="2025-08-07T05:37:21" u="1"/>
        <d v="2025-08-07T05:08:00" u="1"/>
        <d v="2025-08-07T05:25:00" u="1"/>
        <d v="2025-08-08T06:05:00" u="1"/>
        <d v="2025-08-08T09:37:00" u="1"/>
        <d v="2025-08-08T02:09:00" u="1"/>
        <d v="2025-08-08T13:49:00" u="1"/>
        <d v="2025-08-08T13:40:00" u="1"/>
        <d v="2025-08-08T08:51:00" u="1"/>
        <d v="2025-08-08T10:01:00" u="1"/>
        <d v="2025-08-08T11:51:00" u="1"/>
        <d v="2025-08-08T10:31:00" u="1"/>
        <d v="2025-08-07T10:48:00" u="1"/>
        <d v="2025-08-08T10:13:00" u="1"/>
        <d v="2025-08-08T09:29:00" u="1"/>
        <d v="2025-08-08T09:59:00" u="1"/>
        <d v="2025-08-07T02:23:00" u="1"/>
        <d v="2025-08-07T11:10:00" u="1"/>
        <d v="2025-08-07T10:15:00" u="1"/>
        <d v="2025-08-08T07:57:00" u="1"/>
        <d v="2025-08-08T10:32:00" u="1"/>
        <d v="2025-08-08T08:17:00" u="1"/>
        <d v="2025-08-08T07:47:00" u="1"/>
        <d v="2025-08-08T08:25:00" u="1"/>
        <d v="2025-08-07T13:06:00" u="1"/>
        <d v="2025-08-07T19:01:00" u="1"/>
        <d v="2025-08-06T11:04:00" u="1"/>
        <d v="2025-08-07T14:46:00" u="1"/>
        <d v="2025-08-07T14:43:00" u="1"/>
        <d v="2025-08-07T13:47:00" u="1"/>
        <d v="2025-08-07T14:15:00" u="1"/>
        <d v="2025-08-07T11:21:00" u="1"/>
        <d v="2025-08-07T11:11:00" u="1"/>
        <d v="2025-08-07T14:48:00" u="1"/>
        <d v="2025-06-10T00:00:00" u="1"/>
        <d v="2025-08-07T09:20:00" u="1"/>
        <d v="2025-08-07T09:34:00" u="1"/>
        <d v="2025-08-07T09:13:00" u="1"/>
        <d v="2025-08-07T06:59:00" u="1"/>
        <d v="2025-08-07T08:20:00" u="1"/>
        <d v="2025-08-05T15:44:00" u="1"/>
        <d v="2025-08-06T15:41:00" u="1"/>
        <d v="2025-08-04T16:23:00" u="1"/>
        <d v="2025-08-06T14:27:00" u="1"/>
        <d v="2025-08-06T12:08:00" u="1"/>
        <d v="2025-08-05T17:18:00" u="1"/>
        <d v="2025-08-06T11:55:00" u="1"/>
        <d v="2025-08-05T11:00:00" u="1"/>
        <d v="2025-08-04T17:39:00" u="1"/>
        <d v="2025-08-04T15:22:00" u="1"/>
        <d v="2025-08-04T10:05:00" u="1"/>
        <d v="2025-08-04T10:58:00" u="1"/>
        <d v="2025-08-04T10:34:00" u="1"/>
        <d v="2025-08-07T11:40:00" u="1"/>
        <d v="2025-08-07T11:53:00" u="1"/>
        <d v="2025-08-06T09:08:00" u="1"/>
        <d v="2025-07-29T00:00:00" u="1"/>
        <d v="2025-08-06T15:38:00" u="1"/>
        <d v="2025-08-07T12:58:00" u="1"/>
        <d v="2025-08-07T12:41:00" u="1"/>
        <d v="2025-08-07T05:26:00" u="1"/>
        <d v="2025-08-07T05:45:00" u="1"/>
        <d v="2025-08-07T05:54:00" u="1"/>
        <d v="2025-08-07T08:57:00" u="1"/>
        <d v="2025-08-07T06:25:00" u="1"/>
        <d v="2025-08-07T05:47:00" u="1"/>
        <d v="2025-08-07T05:43:00" u="1"/>
        <d v="2025-08-07T12:31:00" u="1"/>
        <d v="2025-08-06T07:23:00" u="1"/>
        <d v="2025-08-06T05:46:00" u="1"/>
        <d v="2025-08-07T10:30:00" u="1"/>
        <d v="2025-08-07T11:26:00" u="1"/>
        <d v="2025-08-06T05:41:00" u="1"/>
        <d v="2025-08-06T05:56:00" u="1"/>
        <d v="2025-08-06T15:53:00" u="1"/>
        <d v="2025-08-06T02:58:00" u="1"/>
        <d v="2025-08-07T05:46:00" u="1"/>
        <d v="2025-08-07T01:02:00" u="1"/>
        <d v="2025-08-07T02:11:00" u="1"/>
        <d v="2025-08-07T03:08:00" u="1"/>
        <d v="2025-08-07T10:08:00" u="1"/>
        <d v="2025-08-07T01:47:00" u="1"/>
        <d v="2025-08-07T04:25:00" u="1"/>
        <d v="2025-08-07T01:22:00" u="1"/>
        <d v="2025-08-06T17:23:00" u="1"/>
        <d v="2025-07-29T11:49:00" u="1"/>
        <d v="2025-08-06T09:47:00" u="1"/>
        <d v="2025-08-05T18:01:00" u="1"/>
        <d v="2025-08-07T15:46:00" u="1"/>
        <d v="2025-08-07T11:18:00" u="1"/>
        <d v="2025-08-06T16:03:00" u="1"/>
        <d v="2025-08-04T17:31:00" u="1"/>
        <d v="2025-08-06T17:43:00" u="1"/>
        <d v="2025-08-06T13:31:00" u="1"/>
        <d v="2025-08-07T09:32:00" u="1"/>
        <d v="2025-08-06T16:06:00" u="1"/>
        <d v="2025-08-07T14:20:00" u="1"/>
        <d v="2025-08-07T09:39:00" u="1"/>
        <d v="2025-08-06T09:23:00" u="1"/>
        <d v="2025-08-04T11:48:00" u="1"/>
        <d v="2025-08-07T08:58:00" u="1"/>
        <d v="2025-08-06T16:57:00" u="1"/>
        <d v="2025-07-31T09:19:00" u="1"/>
        <d v="2025-08-07T09:44:00" u="1"/>
        <d v="2025-01-17T11:03:00" u="1"/>
        <d v="2025-08-06T13:48:00" u="1"/>
        <d v="2025-08-04T14:19:00" u="1"/>
        <d v="2025-08-07T14:30:00" u="1"/>
        <d v="2025-08-06T11:33:00" u="1"/>
        <d v="2025-08-07T19:00:00" u="1"/>
        <d v="2025-08-07T15:03:00" u="1"/>
        <d v="2025-08-07T12:53:00" u="1"/>
        <d v="2025-08-05T13:03:00" u="1"/>
        <d v="2025-08-07T06:18:00" u="1"/>
        <d v="2025-08-07T06:13:00" u="1"/>
        <d v="2025-08-06T17:08:00" u="1"/>
        <d v="2025-08-06T10:50:00" u="1"/>
        <d v="2025-08-07T18:28:00" u="1"/>
        <d v="2025-08-07T18:57:00" u="1"/>
        <d v="2025-08-04T11:57:00" u="1"/>
        <d v="2025-08-04T19:14:00" u="1"/>
        <d v="2025-08-04T09:54:00" u="1"/>
        <d v="2025-08-07T15:59:00" u="1"/>
        <d v="2025-08-06T10:57:00" u="1"/>
        <d v="2025-08-06T13:46:00" u="1"/>
        <d v="2025-08-01T12:47:00" u="1"/>
        <d v="2025-08-07T15:13:00" u="1"/>
        <d v="2025-08-05T10:21:00" u="1"/>
        <d v="2025-08-06T14:58:00" u="1"/>
        <d v="2025-08-06T07:14:00" u="1"/>
        <d v="2025-08-07T00:59:00" u="1"/>
        <d v="2025-08-07T03:03:00" u="1"/>
        <d v="2025-08-07T03:59:00" u="1"/>
        <d v="2025-08-05T12:20:00" u="1"/>
        <d v="2025-08-06T15:25:00" u="1"/>
        <d v="2025-08-05T13:47:00" u="1"/>
        <d v="2025-08-06T13:35:00" u="1"/>
        <d v="2025-08-04T06:46:00" u="1"/>
        <d v="2025-08-06T10:09:00" u="1"/>
        <d v="2025-08-06T05:08:00" u="1"/>
        <d v="2025-08-05T06:37:00" u="1"/>
        <d v="2025-08-05T06:47:00" u="1"/>
        <d v="2025-08-06T05:39:00" u="1"/>
        <d v="2025-08-06T11:30:00" u="1"/>
        <d v="2025-08-06T05:58:00" u="1"/>
        <d v="2025-08-06T04:42:00" u="1"/>
        <d v="2025-08-06T02:43:00" u="1"/>
        <d v="2025-08-06T04:09:00" u="1"/>
        <d v="2025-08-06T02:20:00" u="1"/>
        <d v="2025-08-06T03:15:00" u="1"/>
        <d v="2025-08-06T03:16:00" u="1"/>
        <d v="2025-08-06T06:55:00" u="1"/>
        <d v="2025-08-06T06:50:00" u="1"/>
        <d v="2025-08-06T06:17:00" u="1"/>
        <d v="2025-08-06T06:45:00" u="1"/>
        <d v="2025-08-06T06:23:00" u="1"/>
        <d v="2025-08-06T10:41:00" u="1"/>
        <d v="2025-08-05T07:26:00" u="1"/>
        <d v="2025-08-06T08:54:00" u="1"/>
        <d v="2025-08-06T09:38:00" u="1"/>
        <d v="2025-08-05T03:40:00" u="1"/>
        <d v="2025-08-05T04:47:00" u="1"/>
        <d v="2025-08-06T05:43:00" u="1"/>
        <d v="2025-08-06T04:29:00" u="1"/>
        <d v="2025-08-06T08:01:00" u="1"/>
        <d v="2025-08-06T11:59:00" u="1"/>
        <d v="2025-08-06T12:03:00" u="1"/>
        <d v="2025-08-06T09:18:00" u="1"/>
        <d v="2025-08-06T09:03:00" u="1"/>
        <d v="2025-08-05T18:34:00" u="1"/>
        <d v="2025-08-06T06:00:00" u="1"/>
        <d v="2025-08-05T17:10:00" u="1"/>
        <d v="2025-08-06T08:14:00" u="1"/>
        <d v="2025-08-06T12:56:00" u="1"/>
        <d v="2025-08-05T18:25:00" u="1"/>
        <d v="2025-08-06T18:52:00" u="1"/>
        <d v="2025-07-10T08:32:00" u="1"/>
        <d v="2025-08-06T11:48:00" u="1"/>
        <d v="2025-08-05T17:42:00" u="1"/>
        <d v="2025-08-05T17:04:00" u="1"/>
        <d v="2025-08-05T14:21:00" u="1"/>
        <d v="2025-08-06T10:04:00" u="1"/>
        <d v="2025-08-06T09:04:00" u="1"/>
        <d v="2025-08-05T15:51:00" u="1"/>
        <d v="2025-08-05T13:29:00" u="1"/>
        <d v="2025-08-06T09:25:00" u="1"/>
        <d v="2025-08-05T19:08:00" u="1"/>
        <d v="2025-08-06T09:56:00" u="1"/>
        <d v="2025-08-05T17:56:00" u="1"/>
        <d v="2025-08-06T13:23:00" u="1"/>
        <d v="2025-08-06T14:35:00" u="1"/>
        <d v="2025-06-13T00:00:00" u="1"/>
        <d v="2025-08-06T15:05:00" u="1"/>
        <d v="2025-08-06T15:33:00" u="1"/>
        <d v="2025-08-05T14:51:00" u="1"/>
        <d v="2025-08-05T18:19:00" u="1"/>
        <d v="2025-08-05T18:17:00" u="1"/>
        <d v="2025-08-05T16:51:00" u="1"/>
        <d v="2025-08-06T17:01:00" u="1"/>
        <d v="2025-08-06T10:05:00" u="1"/>
        <d v="2025-08-06T09:05:00" u="1"/>
        <d v="2025-08-05T18:10:00" u="1"/>
        <d v="2025-08-05T17:24:00" u="1"/>
        <d v="2025-08-06T09:53:00" u="1"/>
        <d v="2025-08-06T11:37:00" u="1"/>
        <d v="2025-08-06T12:01:00" u="1"/>
        <d v="2025-08-06T12:16:00" u="1"/>
        <d v="2025-08-06T10:07:00" u="1"/>
        <d v="2025-08-04T18:28:00" u="1"/>
        <d v="2025-08-06T12:23:00" u="1"/>
        <d v="2025-08-05T13:35:00" u="1"/>
        <d v="2025-08-06T16:04:00" u="1"/>
        <d v="2025-08-06T16:05:00" u="1"/>
        <d v="2025-08-06T18:33:00" u="1"/>
        <d v="2025-08-04T15:18:00" u="1"/>
        <d v="2025-07-01T08:49:00" u="1"/>
        <d v="2025-08-06T09:42:00" u="1"/>
        <d v="2025-08-06T10:11:00" u="1"/>
        <d v="2025-08-06T07:21:00" u="1"/>
        <d v="2025-08-04T11:40:00" u="1"/>
        <d v="2025-08-05T08:39:00" u="1"/>
        <d v="2025-08-04T17:28:00" u="1"/>
        <d v="2025-08-06T10:42:00" u="1"/>
        <d v="2025-08-06T10:51:00" u="1"/>
        <d v="2025-08-06T07:47:00" u="1"/>
        <d v="2025-08-05T15:12:00" u="1"/>
        <d v="2025-08-06T09:33:00" u="1"/>
        <d v="2025-08-06T13:56:00" u="1"/>
        <d v="2025-08-05T13:17:00" u="1"/>
        <d v="2025-08-06T12:48:00" u="1"/>
        <d v="2025-08-05T15:17:00" u="1"/>
        <d v="2025-08-05T18:56:00" u="1"/>
        <d v="2025-08-05T16:28:00" u="1"/>
        <d v="2025-08-06T10:00:00" u="1"/>
        <d v="2025-08-05T15:01:00" u="1"/>
        <d v="2025-08-05T13:40:00" u="1"/>
        <d v="2025-08-05T13:43:00" u="1"/>
        <d v="2025-08-06T13:44:00" u="1"/>
        <d v="2025-08-04T10:38:00" u="1"/>
        <d v="2025-07-30T16:12:00" u="1"/>
        <d v="2025-07-30T14:27:00" u="1"/>
        <d v="2025-07-31T13:00:00" u="1"/>
        <d v="2025-07-29T13:14:00" u="1"/>
        <d v="2025-07-25T14:42:00" u="1"/>
        <d v="2025-07-24T09:59:00" u="1"/>
        <d v="2025-07-24T10:31:00" u="1"/>
        <d v="2025-08-05T14:00:00" u="1"/>
        <d v="2025-08-05T13:50:00" u="1"/>
        <d v="2025-08-06T08:07:00" u="1"/>
        <d v="2025-08-05T17:40:00" u="1"/>
        <d v="2025-08-05T19:19:00" u="1"/>
        <d v="2025-08-05T19:21:00" u="1"/>
        <d v="2025-08-05T19:20:00" u="1"/>
        <d v="2025-08-06T14:08:00" u="1"/>
        <d v="2025-08-05T15:56:00" u="1"/>
        <d v="2025-08-05T19:26:00" u="1"/>
        <d v="2025-08-06T00:16:00" u="1"/>
        <d v="2025-08-06T00:15:00" u="1"/>
        <d v="2025-08-05T18:52:00" u="1"/>
        <d v="2025-08-05T08:03:00" u="1"/>
        <d v="2025-08-05T12:48:00" u="1"/>
        <d v="2025-08-05T06:05:00" u="1"/>
        <d v="2025-08-05T03:50:00" u="1"/>
        <d v="2025-08-05T06:08:00" u="1"/>
        <d v="2025-08-05T18:55:00" u="1"/>
        <d v="2025-08-05T05:42:00" u="1"/>
        <d v="2025-08-05T05:44:00" u="1"/>
        <d v="2025-08-05T16:20:00" u="1"/>
        <d v="2025-08-05T06:00:00" u="1"/>
        <d v="2025-08-05T10:33:00" u="1"/>
        <d v="2025-08-05T11:58:00" u="1"/>
        <d v="2025-08-05T13:27:00" u="1"/>
        <d v="2025-08-05T12:59:00" u="1"/>
        <d v="2025-08-05T11:27:00" u="1"/>
        <d v="2025-08-05T10:20:00" u="1"/>
        <d v="2025-08-05T13:04:00" u="1"/>
        <d v="2025-08-05T15:35:00" u="1"/>
        <d v="2025-08-05T15:30:00" u="1"/>
        <d v="2025-08-05T12:47:00" u="1"/>
        <d v="2025-08-05T14:05:00" u="1"/>
        <d v="2025-08-04T03:53:00" u="1"/>
        <d v="2025-08-04T14:41:00" u="1"/>
        <d v="2025-08-04T14:30:00" u="1"/>
        <d v="2025-08-05T14:07:00" u="1"/>
        <d v="2025-08-05T04:24:00" u="1"/>
        <d v="2025-08-05T16:00:00" u="1"/>
        <d v="2025-08-05T09:55:00" u="1"/>
        <d v="2025-07-31T05:03:00" u="1"/>
        <d v="2025-07-29T07:40:00" u="1"/>
        <d v="2025-08-01T14:09:00" u="1"/>
        <d v="2025-07-31T20:05:00" u="1"/>
        <d v="2025-08-05T12:51:00" u="1"/>
        <d v="2025-08-05T14:40:00" u="1"/>
        <d v="2025-08-05T12:34:00" u="1"/>
        <d v="2025-08-05T12:22:00" u="1"/>
        <d v="2025-08-05T07:49:00" u="1"/>
        <d v="2025-08-05T11:52:00" u="1"/>
        <d v="2025-08-05T11:48:00" u="1"/>
        <d v="2025-08-05T09:39:00" u="1"/>
        <d v="2025-08-01T14:11:00" u="1"/>
        <d v="2025-08-04T08:22:00" u="1"/>
        <d v="2025-08-04T16:27:00" u="1"/>
        <d v="2025-08-05T13:12:00" u="1"/>
        <d v="2025-08-04T10:26:00" u="1"/>
        <d v="2025-08-05T08:48:00" u="1"/>
        <d v="2025-08-04T19:32:00" u="1"/>
        <d v="2025-08-04T18:55:00" u="1"/>
        <d v="2025-08-04T13:10:00" u="1"/>
        <d v="2025-08-04T09:12:00" u="1"/>
        <d v="2025-08-04T15:56:00" u="1"/>
        <d v="2025-08-04T13:12:00" u="1"/>
        <d v="2025-08-05T08:52:00" u="1"/>
        <d v="2025-08-04T15:02:00" u="1"/>
        <d v="2025-08-04T15:09:00" u="1"/>
        <d v="2025-08-04T13:51:00" u="1"/>
        <d v="2025-08-04T13:45:00" u="1"/>
        <d v="2025-08-04T11:55:00" u="1"/>
        <d v="2025-07-31T11:34:00" u="1"/>
        <d v="2025-08-05T06:43:00" u="1"/>
        <d v="2025-08-04T19:42:00" u="1"/>
        <d v="2025-08-01T15:56:00" u="1"/>
        <d v="2025-08-01T16:56:00" u="1"/>
        <d v="2025-08-01T16:53:00" u="1"/>
        <d v="2025-08-01T16:49:00" u="1"/>
        <d v="2025-08-01T15:54:00" u="1"/>
        <d v="2025-08-01T15:53:00" u="1"/>
        <d v="2025-08-04T12:47:00" u="1"/>
        <d v="2025-07-31T14:26:00" u="1"/>
        <d v="2025-05-29T15:45:00" u="1"/>
        <d v="2025-07-30T15:50:00" u="1"/>
        <d v="2025-07-30T16:20:00" u="1"/>
        <d v="2025-08-04T09:10:00" u="1"/>
        <d v="2025-08-04T09:44:00" u="1"/>
        <d v="2025-07-30T09:28:00" u="1"/>
        <d v="2025-07-28T16:51:00" u="1"/>
        <d v="2025-07-28T16:33:00" u="1"/>
        <d v="2025-04-07T07:38:00" u="1"/>
        <d v="2025-07-25T08:47:00" u="1"/>
        <d v="2025-07-25T15:09:00" u="1"/>
        <d v="2025-07-25T09:00:00" u="1"/>
        <d v="2025-07-25T10:36:00" u="1"/>
        <d v="2025-07-24T16:49:00" u="1"/>
        <d v="2025-07-23T16:37:00" u="1"/>
        <d v="2025-07-24T10:17:00" u="1"/>
        <d v="2025-07-17T17:03:00" u="1"/>
        <d v="2025-07-17T10:47:00" u="1"/>
        <d v="2025-08-01T21:43:00" u="1"/>
        <d v="2025-03-25T11:36:00" u="1"/>
        <d v="2025-07-28T10:36:00" u="1"/>
        <d v="2025-07-28T16:34:00" u="1"/>
        <d v="2025-08-04T15:26:00" u="1"/>
        <d v="2025-08-04T08:08:00" u="1"/>
        <d v="2025-06-30T12:35:00" u="1"/>
        <d v="2025-08-04T20:53:00" u="1"/>
        <d v="2025-08-05T04:41:00" u="1"/>
        <d v="2025-08-01T04:47:00" u="1"/>
        <d v="2025-08-01T05:27:00" u="1"/>
        <d v="2025-07-24T06:44:00" u="1"/>
        <d v="2025-07-15T00:00:00" u="1"/>
        <d v="2025-08-04T07:30:00" u="1"/>
        <d v="2025-08-04T07:56:00" u="1"/>
        <d v="2025-08-04T09:23:00" u="1"/>
        <d v="2025-08-04T10:16:00" u="1"/>
        <d v="2025-07-28T17:03:00" u="1"/>
        <d v="2025-08-04T09:45:00" u="1"/>
        <d v="2025-08-01T07:45:00" u="1"/>
        <d v="2025-08-04T07:18:00" u="1"/>
        <d v="2025-08-04T14:40:00" u="1"/>
        <d v="2025-07-31T10:33:00" u="1"/>
        <d v="2025-08-04T04:44:00" u="1"/>
        <d v="2025-07-25T09:49:00" u="1"/>
        <d v="2025-07-29T09:22:00" u="1"/>
        <d v="2025-08-02T12:00:00" u="1"/>
        <d v="2025-08-02T11:13:00" u="1"/>
        <d v="2025-08-01T04:04:00" u="1"/>
        <d v="2025-07-31T03:20:00" u="1"/>
        <d v="2025-08-01T09:03:00" u="1"/>
        <d v="2025-08-01T12:50:00" u="1"/>
        <d v="2025-08-01T01:01:00" u="1"/>
        <d v="2025-07-31T12:51:00" u="1"/>
        <d v="2025-07-07T10:18:00" u="1"/>
        <d v="2025-08-02T10:12:00" u="1"/>
        <d v="2025-08-04T02:18:00" u="1"/>
        <d v="2025-08-04T02:07:00" u="1"/>
        <d v="2025-08-04T03:04:00" u="1"/>
        <d v="2025-08-04T05:50:00" u="1"/>
        <d v="2025-08-04T11:12:00" u="1"/>
        <d v="2025-08-04T09:08:00" u="1"/>
        <d v="2025-08-04T07:42:00" u="1"/>
        <d v="2025-08-04T02:46:00" u="1"/>
        <d v="2025-08-04T07:40:00" u="1"/>
        <d v="2025-08-04T07:34:00" u="1"/>
        <d v="2025-08-04T07:28:00" u="1"/>
        <d v="2025-08-04T11:31:00" u="1"/>
        <d v="2025-07-31T13:23:00" u="1"/>
        <d v="2025-08-04T14:06:00" u="1"/>
        <d v="2025-07-31T13:58:00" u="1"/>
        <d v="2025-08-04T11:23:00" u="1"/>
        <d v="2025-08-04T07:00:00" u="1"/>
        <d v="2025-07-25T15:24:00" u="1"/>
        <d v="2025-06-27T17:46:00" u="1"/>
        <d v="2025-07-31T11:26:00" u="1"/>
        <d v="2025-08-04T09:06:00" u="1"/>
        <d v="2025-08-04T09:37:00" u="1"/>
        <d v="2025-07-28T16:03:00" u="1"/>
        <d v="2025-07-01T08:00:00" u="1"/>
        <d v="2025-08-04T12:16:00" u="1"/>
        <d v="2025-08-01T13:20:00" u="1"/>
        <d v="2025-07-24T12:18:00" u="1"/>
        <d v="2025-08-04T16:10:00" u="1"/>
        <d v="2025-08-01T17:05:00" u="1"/>
        <d v="2025-08-01T17:06:00" u="1"/>
        <d v="2025-07-31T14:50:00" u="1"/>
        <d v="2025-08-01T18:08:00" u="1"/>
        <d v="2025-08-01T17:38:00" u="1"/>
        <d v="2025-08-01T17:25:00" u="1"/>
        <d v="2025-08-04T17:11:00" u="1"/>
        <d v="2025-08-04T14:39:00" u="1"/>
        <d v="2025-08-04T18:33:00" u="1"/>
        <d v="2025-08-04T15:23:00" u="1"/>
        <d v="2025-08-04T18:17:00" u="1"/>
        <d v="2025-08-01T16:23:00" u="1"/>
        <d v="2025-08-01T16:15:00" u="1"/>
        <d v="2025-08-01T16:08:00" u="1"/>
        <d v="2025-08-04T10:08:00" u="1"/>
        <d v="2025-07-21T15:07:00" u="1"/>
        <d v="2025-08-04T18:48:00" u="1"/>
        <d v="2025-07-31T09:42:00" u="1"/>
        <d v="2025-08-04T09:47:00" u="1"/>
        <d v="2025-07-28T08:40:00" u="1"/>
        <d v="2025-08-01T00:00:00" u="1"/>
        <d v="2025-07-30T08:00:00" u="1"/>
        <d v="2025-07-29T12:59:00" u="1"/>
        <d v="2025-07-29T08:18:00" u="1"/>
        <d v="2025-07-18T00:00:00" u="1"/>
        <d v="2025-08-04T19:39:00" u="1"/>
        <d v="2025-07-31T20:25:00" u="1"/>
        <d v="2025-08-01T14:14:00" u="1"/>
        <d v="2025-08-01T16:45:00" u="1"/>
        <d v="2025-08-01T20:13:00" u="1"/>
        <d v="2025-08-04T17:51:00" u="1"/>
        <d v="2025-08-04T10:48:00" u="1"/>
        <d v="2025-08-04T18:01:00" u="1"/>
        <d v="2025-08-04T14:53:00" u="1"/>
        <d v="2025-08-01T15:52:00" u="1"/>
        <d v="2025-08-04T01:21:00" u="1"/>
        <d v="2025-06-03T13:39:00" u="1"/>
        <d v="2025-08-01T23:48:00" u="1"/>
        <d v="2025-08-01T23:38:00" u="1"/>
        <d v="2025-08-01T16:19:00" u="1"/>
        <d v="2025-08-01T15:51:00" u="1"/>
        <d v="2025-08-01T16:48:00" u="1"/>
        <d v="2025-08-01T16:59:00" u="1"/>
        <d v="2025-08-04T14:42:00" u="1"/>
        <d v="2025-07-25T12:49:00" u="1"/>
        <d v="2025-08-04T11:18:00" u="1"/>
        <d v="2025-07-31T19:26:00" u="1"/>
        <d v="2025-07-29T15:48:00" u="1"/>
        <d v="2025-07-28T18:00:00" u="1"/>
        <d v="2025-07-28T15:00:00" u="1"/>
        <d v="2025-08-04T08:45:00" u="1"/>
        <d v="2025-06-22T16:02:00" u="1"/>
        <d v="2025-07-30T13:59:00" u="1"/>
        <d v="2025-07-17T16:24:00" u="1"/>
        <d v="2025-07-24T12:09:00" u="1"/>
        <d v="2025-07-31T15:15:00" u="1"/>
        <d v="2025-07-30T13:54:00" u="1"/>
        <d v="2025-08-04T20:03:00" u="1"/>
        <d v="2025-08-01T16:42:00" u="1"/>
        <d v="2025-08-04T10:54:00" u="1"/>
        <d v="2025-08-04T10:19:00" u="1"/>
        <d v="2025-08-01T07:07:00" u="1"/>
        <d v="2025-07-29T18:04:00" u="1"/>
        <d v="2025-08-04T14:26:00" u="1"/>
        <d v="2025-08-04T15:01:00" u="1"/>
        <d v="2025-08-04T18:25:00" u="1"/>
        <d v="2025-08-04T18:24:00" u="1"/>
        <d v="2025-08-04T12:34:00" u="1"/>
        <d v="2025-07-22T10:43:00" u="1"/>
        <d v="2025-08-04T14:50:00" u="1"/>
        <d v="2025-08-04T11:15:00" u="1"/>
        <d v="2025-08-04T14:17:00" u="1"/>
        <d v="2025-08-01T16:02:00" u="1"/>
        <d v="2025-07-31T15:40:00" u="1"/>
        <d v="2025-08-04T16:02:00" u="1"/>
        <d v="2025-08-04T07:19:00" u="1"/>
        <d v="2025-08-04T13:22:00" u="1"/>
        <d v="2025-08-04T12:39:00" u="1"/>
        <d v="2025-08-04T06:36:00" u="1"/>
        <d v="2025-08-04T12:18:00" u="1"/>
        <d v="2025-08-04T06:57:00" u="1"/>
        <d v="2025-08-04T06:56:00" u="1"/>
        <d v="2025-07-31T11:37:00" u="1"/>
        <d v="2025-08-04T09:50:00" u="1"/>
        <d v="2025-08-04T14:52:00" u="1"/>
        <d v="2025-08-04T07:31:00" u="1"/>
        <d v="2025-08-04T08:15:00" u="1"/>
        <d v="2025-08-04T15:41:00" u="1"/>
        <d v="2025-08-04T15:43:00" u="1"/>
        <d v="2025-07-30T09:36:00" u="1"/>
        <d v="2025-07-29T08:46:00" u="1"/>
        <d v="2025-07-29T22:40:00" u="1"/>
        <d v="2025-08-02T09:45:00" u="1"/>
        <d v="2025-06-11T17:27:00" u="1"/>
        <d v="2025-07-24T10:09:00" u="1"/>
        <d v="2025-08-03T13:34:00" u="1"/>
        <d v="2025-08-04T18:27:00" u="1"/>
        <d v="2025-08-04T18:19:00" u="1"/>
        <d v="2025-08-04T16:32:00" u="1"/>
        <d v="2025-08-04T19:07:00" u="1"/>
        <d v="2025-08-01T16:20:00" u="1"/>
        <d v="2025-08-02T00:01:00" u="1"/>
        <d v="2025-07-26T18:00:00" u="1"/>
        <d v="2025-07-30T19:00:00" u="1"/>
        <d v="2025-08-01T19:00:00" u="1"/>
        <d v="2025-07-31T09:03:00" u="1"/>
        <d v="2025-07-31T08:50:00" u="1"/>
        <d v="2025-08-04T13:23:00" u="1"/>
        <d v="2025-08-04T13:35:00" u="1"/>
        <d v="2025-08-04T13:46:00" u="1"/>
        <d v="2025-08-04T08:59:00" u="1"/>
        <d v="2025-07-24T14:05:00" u="1"/>
        <d v="2025-08-04T09:35:00" u="1"/>
        <d v="2025-08-04T17:42:00" u="1"/>
        <d v="2025-08-04T18:51:00" u="1"/>
        <d v="2025-08-01T16:18:00" u="1"/>
        <d v="2025-08-03T10:24:00" u="1"/>
        <d v="2025-07-28T16:36:00" u="1"/>
        <d v="2025-08-01T14:38:00" u="1"/>
        <d v="2025-08-01T14:44:00" u="1"/>
        <d v="2025-08-01T19:54:00" u="1"/>
        <d v="2025-08-01T20:45:00" u="1"/>
        <d v="2025-08-01T20:46:00" u="1"/>
        <d v="2025-08-02T00:59:00" u="1"/>
        <d v="2025-08-03T00:59:00" u="1"/>
        <d v="2025-07-29T21:29:00" u="1"/>
        <d v="2025-07-29T21:30:00" u="1"/>
        <d v="2025-07-29T21:32:00" u="1"/>
        <d v="2025-07-29T21:33:00" u="1"/>
        <d v="2025-07-29T21:35:00" u="1"/>
        <d v="2025-07-29T21:40:00" u="1"/>
        <d v="2025-07-29T21:41:00" u="1"/>
        <d v="2025-07-29T21:45:00" u="1"/>
        <d v="2025-07-29T21:52:00" u="1"/>
        <d v="2025-07-29T21:53:00" u="1"/>
        <d v="2025-07-29T22:02:00" u="1"/>
        <d v="2025-07-29T22:08:00" u="1"/>
        <d v="2025-07-29T22:17:00" u="1"/>
        <d v="2025-07-29T22:18:00" u="1"/>
        <d v="2025-07-29T22:20:00" u="1"/>
        <d v="2025-07-29T22:26:00" u="1"/>
        <d v="2025-07-29T22:28:00" u="1"/>
        <d v="2025-07-29T22:29:00" u="1"/>
        <d v="2025-07-29T22:45:00" u="1"/>
        <d v="2025-07-29T22:47:00" u="1"/>
        <d v="2025-07-29T22:49:00" u="1"/>
        <d v="2025-07-29T22:51:00" u="1"/>
        <d v="2025-07-29T22:59:00" u="1"/>
        <d v="2025-07-29T23:03:00" u="1"/>
        <d v="2025-07-29T23:07:00" u="1"/>
        <d v="2025-07-29T23:08:00" u="1"/>
        <d v="2025-07-31T14:51:00" u="1"/>
        <d v="2025-08-01T16:27:00" u="1"/>
        <d v="2025-08-01T14:59:00" u="1"/>
        <d v="2025-08-01T07:52:00" u="1"/>
        <d v="2025-07-31T14:21:00" u="1"/>
        <d v="2025-07-31T08:08:00" u="1"/>
        <d v="2025-08-01T04:10:00" u="1"/>
        <d v="2025-08-01T02:01:00" u="1"/>
        <d v="2025-08-01T02:21:00" u="1"/>
        <d v="2025-08-01T11:34:00" u="1"/>
        <d v="2025-08-01T01:08:00" u="1"/>
        <d v="2025-08-01T12:45:00" u="1"/>
        <d v="2025-08-01T09:23:00" u="1"/>
        <d v="2025-08-01T09:00:00" u="1"/>
        <d v="2025-08-01T09:15:00" u="1"/>
        <d v="2025-08-01T08:45:00" u="1"/>
        <d v="2025-08-02T11:28:00" u="1"/>
        <d v="2025-07-31T03:53:00" u="1"/>
        <d v="2025-08-01T05:47:00" u="1"/>
        <d v="2025-08-01T02:40:00" u="1"/>
        <d v="2025-08-01T05:13:00" u="1"/>
        <d v="2025-08-01T11:58:00" u="1"/>
        <d v="2025-07-31T04:28:00" u="1"/>
        <d v="2025-07-31T10:57:00" u="1"/>
        <d v="2025-07-31T09:57:00" u="1"/>
        <d v="2025-07-31T15:00:00" u="1"/>
        <d v="2025-07-30T18:53:00" u="1"/>
        <d v="2025-07-28T10:52:00" u="1"/>
        <d v="2025-08-01T13:00:00" u="1"/>
        <d v="2025-07-31T14:30:00" u="1"/>
        <d v="2025-07-23T11:22:00" u="1"/>
        <d v="2025-07-21T08:46:00" u="1"/>
        <d v="2025-08-02T08:11:00" u="1"/>
        <d v="2025-07-31T18:29:00" u="1"/>
        <d v="2025-07-29T18:24:00" u="1"/>
        <d v="2025-07-31T17:37:00" u="1"/>
        <d v="2025-07-25T17:16:00" u="1"/>
        <d v="2025-07-25T17:21:00" u="1"/>
        <d v="2025-07-25T17:06:00" u="1"/>
        <d v="2025-07-31T11:39:00" u="1"/>
        <d v="2025-07-31T11:32:00" u="1"/>
        <d v="2025-08-01T16:58:00" u="1"/>
        <d v="2025-07-31T19:31:00" u="1"/>
        <d v="2025-07-31T17:03:00" u="1"/>
        <d v="2025-07-31T14:04:00" u="1"/>
        <d v="2025-08-01T16:50:00" u="1"/>
        <d v="2025-07-31T16:56:00" u="1"/>
        <d v="2025-07-25T16:32:00" u="1"/>
        <d v="2025-07-30T10:46:00" u="1"/>
        <d v="2025-07-30T11:08:00" u="1"/>
        <d v="2025-05-19T11:33:00" u="1"/>
        <d v="2025-07-29T20:24:00" u="1"/>
        <d v="2025-08-01T14:58:00" u="1"/>
        <d v="2025-08-01T14:43:00" u="1"/>
        <d v="2025-07-31T14:15:00" u="1"/>
        <d v="2025-07-28T15:44:00" u="1"/>
        <d v="2025-07-28T15:57:00" u="1"/>
        <d v="2025-07-28T16:08:00" u="1"/>
        <d v="2025-07-29T07:46:00" u="1"/>
        <d v="2025-07-28T12:35:00" u="1"/>
        <d v="2025-07-30T11:26:00" u="1"/>
        <d v="2025-08-01T09:13:00" u="1"/>
        <d v="2025-07-14T06:13:00" u="1"/>
        <d v="2025-07-14T06:30:00" u="1"/>
        <d v="2025-08-01T17:31:00" u="1"/>
        <d v="2025-08-01T17:35:00" u="1"/>
        <d v="2025-07-03T00:00:00" u="1"/>
        <d v="2025-07-23T00:00:00" u="1"/>
        <d v="2025-07-31T08:26:00" u="1"/>
        <d v="2025-07-21T08:24:00" u="1"/>
        <d v="2025-07-09T18:57:00" u="1"/>
        <d v="2025-07-09T18:59:00" u="1"/>
        <d v="2025-07-09T15:40:00" u="1"/>
        <d v="2025-07-23T16:19:00" u="1"/>
        <d v="2025-08-01T17:45:00" u="1"/>
        <d v="2025-08-01T17:40:00" u="1"/>
        <d v="2025-08-01T15:28:00" u="1"/>
        <d v="2025-08-01T13:09:00" u="1"/>
        <d v="2025-08-01T15:37:00" u="1"/>
        <d v="2025-08-01T13:38:00" u="1"/>
        <d v="2025-08-01T10:16:00" u="1"/>
        <d v="2025-08-01T16:38:00" u="1"/>
        <d v="2025-07-31T16:52:00" u="1"/>
        <d v="2025-08-01T16:11:00" u="1"/>
        <d v="2025-07-22T15:47:00" u="1"/>
        <d v="2025-06-16T12:54:00" u="1"/>
        <d v="2025-06-16T15:55:00" u="1"/>
        <d v="2025-06-26T15:38:00" u="1"/>
        <d v="2025-07-24T10:30:00" u="1"/>
        <d v="2025-07-30T11:27:00" u="1"/>
        <d v="2025-07-23T18:29:00" u="1"/>
        <d v="2025-07-29T16:35:00" u="1"/>
        <d v="2025-07-29T11:35:00" u="1"/>
        <d v="2025-08-01T18:29:00" u="1"/>
        <d v="2025-07-31T16:01:00" u="1"/>
        <d v="2025-07-31T15:02:00" u="1"/>
        <d v="2025-07-31T10:48:00" u="1"/>
        <d v="2025-08-01T08:52:00" u="1"/>
        <d v="2025-08-01T17:20:00" u="1"/>
        <d v="2025-07-29T17:52:00" u="1"/>
        <d v="2025-07-18T15:12:00" u="1"/>
        <d v="2025-07-31T16:20:00" u="1"/>
        <d v="2025-08-01T17:55:00" u="1"/>
        <d v="2025-07-31T16:49:00" u="1"/>
        <d v="2025-07-31T16:24:00" u="1"/>
        <d v="2025-08-01T15:17:00" u="1"/>
        <d v="2025-08-01T11:22:00" u="1"/>
        <d v="2025-08-01T11:33:00" u="1"/>
        <d v="2025-08-01T11:52:00" u="1"/>
        <d v="2025-08-01T10:00:00" u="1"/>
        <d v="2025-08-01T10:51:00" u="1"/>
        <d v="2025-07-25T17:15:00" u="1"/>
        <d v="2025-08-01T09:54:00" u="1"/>
        <d v="2025-08-01T16:05:00" u="1"/>
        <d v="2025-08-03T17:37:00" u="1"/>
        <d v="2025-07-22T13:03:00" u="1"/>
        <d v="2025-07-22T14:16:00" u="1"/>
        <d v="2025-08-01T08:41:00" u="1"/>
        <d v="2025-08-01T08:39:00" u="1"/>
        <d v="2025-08-01T08:33:00" u="1"/>
        <d v="2025-07-31T19:35:00" u="1"/>
        <d v="2025-07-31T20:17:00" u="1"/>
        <d v="2025-07-31T20:55:00" u="1"/>
        <d v="2025-07-31T08:14:00" u="1"/>
        <d v="2025-07-29T08:25:00" u="1"/>
        <d v="2025-07-29T08:41:00" u="1"/>
        <d v="2025-07-23T06:18:00" u="1"/>
        <d v="2025-07-11T10:19:00" u="1"/>
        <d v="2025-07-31T09:25:00" u="1"/>
        <d v="2025-07-31T06:54:00" u="1"/>
        <d v="2025-07-31T15:45:00" u="1"/>
        <d v="2025-07-31T16:09:00" u="1"/>
        <d v="2025-07-31T14:38:00" u="1"/>
        <d v="2025-07-31T14:45:00" u="1"/>
        <d v="2025-07-31T15:52:00" u="1"/>
        <d v="2025-07-31T14:17:00" u="1"/>
        <d v="2025-07-31T14:23:00" u="1"/>
        <d v="2025-07-31T16:11:00" u="1"/>
        <d v="2025-07-31T14:49:00" u="1"/>
        <d v="2025-07-31T15:50:00" u="1"/>
        <d v="2025-07-31T15:58:00" u="1"/>
        <d v="2025-07-31T09:36:00" u="1"/>
        <d v="2025-07-31T17:15:00" u="1"/>
        <d v="2025-07-31T16:18:00" u="1"/>
        <d v="2025-07-31T14:00:00" u="1"/>
        <d v="2025-07-31T14:02:00" u="1"/>
        <d v="2025-07-31T05:30:00" u="1"/>
        <d v="2025-07-31T04:02:00" u="1"/>
        <d v="2025-07-31T03:55:00" u="1"/>
        <d v="2025-07-31T04:17:00" u="1"/>
        <d v="2025-07-31T13:37:00" u="1"/>
        <d v="2025-07-31T14:54:00" u="1"/>
        <d v="2025-07-31T14:48:00" u="1"/>
        <d v="2025-07-31T14:10:00" u="1"/>
        <d v="2025-07-31T14:05:00" u="1"/>
        <d v="2025-07-31T05:02:00" u="1"/>
        <d v="2025-07-31T12:57:00" u="1"/>
        <d v="2025-07-31T12:53:00" u="1"/>
        <d v="2025-07-31T10:10:00" u="1"/>
        <d v="2025-07-31T07:33:00" u="1"/>
        <d v="2025-07-16T08:38:00" u="1"/>
        <d v="2025-07-31T02:31:00" u="1"/>
        <d v="2025-07-30T11:19:00" u="1"/>
        <d v="2025-07-31T03:23:00" u="1"/>
        <d v="2025-07-30T11:23:00" u="1"/>
        <d v="2025-07-31T03:45:00" u="1"/>
        <d v="2025-07-31T03:37:00" u="1"/>
        <d v="2025-07-31T11:09:00" u="1"/>
        <d v="2025-07-30T11:55:00" u="1"/>
        <d v="2025-07-31T11:17:00" u="1"/>
        <d v="2025-07-30T11:17:00" u="1"/>
        <d v="2025-07-31T01:53:00" u="1"/>
        <d v="2025-07-31T01:56:00" u="1"/>
        <d v="2025-07-31T02:13:00" u="1"/>
        <d v="2025-07-31T02:49:00" u="1"/>
        <d v="2025-07-29T14:35:00" u="1"/>
        <d v="2025-07-31T17:59:00" u="1"/>
        <d v="2025-07-31T10:35:00" u="1"/>
        <d v="2025-07-31T12:32:00" u="1"/>
        <d v="2025-07-31T11:16:00" u="1"/>
        <d v="2025-07-31T09:16:00" u="1"/>
        <d v="2025-07-31T07:57:00" u="1"/>
        <d v="2025-07-31T11:07:00" u="1"/>
        <d v="2025-07-31T09:54:00" u="1"/>
        <d v="2025-07-31T11:27:00" u="1"/>
        <d v="2025-07-31T10:58:00" u="1"/>
        <d v="2025-07-31T11:51:00" u="1"/>
        <d v="2025-07-31T09:08:00" u="1"/>
        <d v="2025-07-31T10:46:00" u="1"/>
        <d v="2025-07-31T10:07:00" u="1"/>
        <d v="2025-07-31T11:11:00" u="1"/>
        <d v="2025-07-31T08:34:00" u="1"/>
        <d v="2025-06-20T18:28:00" u="1"/>
        <d v="2025-07-31T09:33:00" u="1"/>
        <d v="2025-07-30T06:42:00" u="1"/>
        <d v="2025-07-30T06:48:00" u="1"/>
        <d v="2025-07-31T07:41:00" u="1"/>
        <d v="2025-07-30T16:57:00" u="1"/>
        <d v="2025-07-30T04:56:00" u="1"/>
        <d v="2025-07-30T04:42:00" u="1"/>
        <d v="2025-07-30T04:36:00" u="1"/>
        <d v="2025-07-30T03:40:00" u="1"/>
        <d v="2025-07-30T02:04:00" u="1"/>
        <d v="2025-07-30T15:40:00" u="1"/>
        <d v="2025-07-30T15:33:00" u="1"/>
        <d v="2025-07-29T05:24:00" u="1"/>
        <d v="2025-07-29T13:24:00" u="1"/>
        <d v="2025-07-29T12:49:00" u="1"/>
        <d v="2025-07-29T12:40:00" u="1"/>
        <d v="2025-07-28T16:44:00" u="1"/>
        <d v="2025-07-28T15:47:00" u="1"/>
        <d v="2025-07-25T14:29:00" u="1"/>
        <d v="2025-07-22T18:38:00" u="1"/>
        <d v="2025-07-28T09:49:00" u="1"/>
        <d v="2025-07-23T14:55:00" u="1"/>
        <d v="2025-07-30T12:22:27" u="1"/>
        <d v="2025-07-29T06:07:00" u="1"/>
        <d v="2025-07-31T01:49:00" u="1"/>
        <d v="2025-06-02T12:26:00" u="1"/>
        <d v="2025-07-24T09:29:00" u="1"/>
        <d v="2025-07-28T16:32:00" u="1"/>
        <d v="2025-07-30T12:18:00" u="1"/>
        <d v="2025-07-30T09:26:00" u="1"/>
        <d v="2025-07-24T14:35:00" u="1"/>
        <d v="2025-07-30T02:57:00" u="1"/>
        <d v="2025-07-30T11:33:00" u="1"/>
        <d v="2025-07-30T12:13:00" u="1"/>
        <d v="2025-07-30T10:58:00" u="1"/>
        <d v="2025-07-30T09:46:00" u="1"/>
        <d v="2025-07-30T03:47:00" u="1"/>
        <d v="2025-07-30T03:54:00" u="1"/>
        <d v="2025-07-29T10:12:00" u="1"/>
        <d v="2025-07-30T03:09:00" u="1"/>
        <d v="2025-07-30T03:15:00" u="1"/>
        <d v="2025-07-30T03:20:00" u="1"/>
        <d v="2025-07-30T08:54:00" u="1"/>
        <d v="2025-07-30T12:22:00" u="1"/>
        <d v="2025-07-30T02:39:00" u="1"/>
        <d v="2025-07-29T05:31:39" u="1"/>
        <d v="2025-07-29T10:08:00" u="1"/>
        <d v="2025-07-29T06:23:55" u="1"/>
        <d v="2025-07-30T12:28:00" u="1"/>
        <d v="2025-07-30T10:01:00" u="1"/>
        <d v="2025-07-29T10:49:00" u="1"/>
        <d v="2025-07-30T10:22:00" u="1"/>
        <d v="2025-07-29T05:29:00" u="1"/>
        <d v="2025-07-30T01:00:00" u="1"/>
        <d v="2025-07-29T05:13:00" u="1"/>
        <d v="2025-07-29T06:23:00" u="1"/>
        <d v="2025-07-30T01:50:00" u="1"/>
        <d v="2025-07-30T02:12:00" u="1"/>
        <d v="2025-07-30T09:23:00" u="1"/>
        <d v="2025-07-30T09:40:00" u="1"/>
        <d v="2025-07-30T09:30:00" u="1"/>
        <d v="2025-07-29T09:49:00" u="1"/>
        <d v="2025-07-30T10:17:00" u="1"/>
        <d v="2025-07-30T06:51:00" u="1"/>
        <d v="2025-07-30T04:04:00" u="1"/>
        <d v="2025-07-30T03:59:00" u="1"/>
        <d v="2025-07-29T10:00:00" u="1"/>
        <d v="2025-07-30T14:54:00" u="1"/>
        <d v="2025-07-30T14:40:00" u="1"/>
        <d v="2025-07-30T10:29:00" u="1"/>
        <d v="2025-07-30T07:15:00" u="1"/>
        <d v="2025-07-29T09:57:00" u="1"/>
        <d v="2025-07-29T11:17:00" u="1"/>
        <d v="2025-07-30T17:40:00" u="1"/>
        <d v="2025-07-30T17:42:00" u="1"/>
        <d v="2025-07-30T17:16:00" u="1"/>
        <d v="2025-07-29T16:17:00" u="1"/>
        <d v="2025-07-29T18:02:00" u="1"/>
        <d v="2025-07-29T14:54:00" u="1"/>
        <d v="2025-07-29T14:21:00" u="1"/>
        <d v="2025-07-29T15:07:00" u="1"/>
        <d v="2025-07-30T10:09:00" u="1"/>
        <d v="2025-07-29T18:54:00" u="1"/>
        <d v="2025-07-30T08:35:00" u="1"/>
        <d v="2025-06-13T16:46:00" u="1"/>
        <d v="2025-07-30T12:19:00" u="1"/>
        <d v="2025-07-29T15:42:00" u="1"/>
        <d v="2025-07-29T21:24:00" u="1"/>
        <d v="2025-07-29T12:28:00" u="1"/>
        <d v="2025-07-29T08:57:00" u="1"/>
        <d v="2025-07-25T15:50:00" u="1"/>
        <d v="2025-07-30T08:58:00" u="1"/>
        <d v="2025-07-29T18:39:00" u="1"/>
        <d v="2025-07-30T11:41:00" u="1"/>
        <d v="2025-07-30T12:21:00" u="1"/>
        <d v="2025-07-28T11:07:00" u="1"/>
        <d v="2025-07-29T15:40:00" u="1"/>
        <d v="2025-07-29T14:09:00" u="1"/>
        <d v="2025-07-29T12:03:00" u="1"/>
        <d v="2025-07-30T18:56:00" u="1"/>
        <d v="2025-07-30T15:31:00" u="1"/>
        <d v="2025-07-04T13:27:00" u="1"/>
        <d v="2025-07-28T00:00:00" u="1"/>
        <d v="2025-07-04T14:00:00" u="1"/>
        <d v="2025-07-04T14:38:00" u="1"/>
        <d v="2025-07-29T17:34:00" u="1"/>
        <d v="2025-07-30T13:49:00" u="1"/>
        <d v="2025-07-28T11:02:00" u="1"/>
        <d v="2025-07-30T16:00:00" u="1"/>
        <d v="2025-07-30T13:51:00" u="1"/>
        <d v="2025-07-30T12:05:00" u="1"/>
        <d v="2025-07-30T13:03:00" u="1"/>
        <d v="2025-07-30T09:44:00" u="1"/>
        <d v="2025-07-30T12:51:00" u="1"/>
        <d v="2025-07-30T14:42:00" u="1"/>
        <d v="2025-07-04T12:51:00" u="1"/>
        <d v="2025-07-29T08:36:00" u="1"/>
        <d v="2025-07-29T12:29:00" u="1"/>
        <d v="2025-07-29T16:21:00" u="1"/>
        <d v="2025-07-29T18:38:00" u="1"/>
        <d v="2025-07-29T15:24:00" u="1"/>
        <d v="2025-07-30T15:54:00" u="1"/>
        <d v="2025-07-27T21:05:00" u="1"/>
        <d v="2025-07-29T17:53:00" u="1"/>
        <d v="2025-06-30T22:17:00" u="1"/>
        <d v="2025-07-30T19:08:00" u="1"/>
        <d v="2025-07-29T17:00:00" u="1"/>
        <d v="2025-07-30T14:47:00" u="1"/>
        <d v="2025-07-30T14:53:00" u="1"/>
        <d v="2025-07-29T14:18:00" u="1"/>
        <d v="2025-07-30T14:20:00" u="1"/>
        <d v="2025-07-30T16:45:00" u="1"/>
        <d v="2025-07-29T16:54:00" u="1"/>
        <d v="2025-07-29T14:28:00" u="1"/>
        <d v="2025-07-30T18:01:00" u="1"/>
        <d v="2025-07-29T16:37:00" u="1"/>
        <d v="2025-07-30T18:11:00" u="1"/>
        <d v="2025-07-30T09:27:00" u="1"/>
        <d v="2025-07-28T11:34:00" u="1"/>
        <d v="2025-07-28T15:04:00" u="1"/>
        <d v="2025-07-30T08:25:00" u="1"/>
        <d v="2025-07-29T13:50:00" u="1"/>
        <d v="2025-07-28T17:07:00" u="1"/>
        <d v="2025-07-30T16:09:00" u="1"/>
        <d v="2025-07-29T10:16:00" u="1"/>
        <d v="2025-07-30T09:33:00" u="1"/>
        <d v="2025-07-30T09:32:00" u="1"/>
        <d v="2025-07-30T15:05:00" u="1"/>
        <d v="2025-07-30T15:04:00" u="1"/>
        <d v="2025-07-30T15:09:00" u="1"/>
        <d v="2025-07-29T09:37:00" u="1"/>
        <d v="2025-07-29T09:46:00" u="1"/>
        <d v="2025-07-29T14:20:00" u="1"/>
        <d v="2025-07-29T10:14:00" u="1"/>
        <d v="2025-07-30T01:19:00" u="1"/>
        <d v="2025-07-29T10:18:00" u="1"/>
        <d v="2025-07-23T11:08:00" u="1"/>
        <d v="2025-07-25T09:27:00" u="1"/>
        <d v="2025-07-01T15:12:00" u="1"/>
        <d v="2025-07-29T12:05:00" u="1"/>
        <d v="2025-07-29T08:47:00" u="1"/>
        <d v="2025-07-29T08:51:00" u="1"/>
        <d v="2025-07-29T13:29:00" u="1"/>
        <d v="2025-07-29T12:04:00" u="1"/>
        <d v="2025-07-29T03:14:00" u="1"/>
        <d v="2025-07-29T06:18:00" u="1"/>
        <d v="2025-07-29T02:27:00" u="1"/>
        <d v="2025-07-29T01:17:00" u="1"/>
        <d v="2025-07-29T12:46:00" u="1"/>
        <d v="2025-07-29T01:00:00" u="1"/>
        <d v="2025-07-29T05:57:00" u="1"/>
        <d v="2025-07-29T05:25:00" u="1"/>
        <d v="2025-07-29T10:03:00" u="1"/>
        <d v="2025-07-29T05:04:00" u="1"/>
        <d v="2025-07-29T05:19:00" u="1"/>
        <d v="2025-07-29T04:05:00" u="1"/>
        <d v="2025-07-29T03:50:00" u="1"/>
        <d v="2025-07-29T11:04:00" u="1"/>
        <d v="2025-07-29T11:55:00" u="1"/>
        <d v="2025-07-29T02:34:00" u="1"/>
        <d v="2025-07-29T02:01:00" u="1"/>
        <d v="2025-07-29T02:26:00" u="1"/>
        <d v="2025-07-28T08:48:00" u="1"/>
        <d v="2025-07-26T02:55:00" u="1"/>
        <d v="2025-07-29T03:41:00" u="1"/>
        <d v="2025-07-29T12:00:00" u="1"/>
        <d v="2025-07-29T01:05:00" u="1"/>
        <d v="2025-07-28T17:16:00" u="1"/>
        <d v="2025-07-28T09:21:00" u="1"/>
        <d v="2025-07-25T15:18:00" u="1"/>
        <d v="2025-07-29T15:16:00" u="1"/>
        <d v="2025-07-25T08:54:00" u="1"/>
        <d v="2025-07-29T14:58:00" u="1"/>
        <d v="2025-07-24T13:59:00" u="1"/>
        <d v="2025-07-10T12:21:00" u="1"/>
        <d v="2025-07-24T14:11:00" u="1"/>
        <d v="2025-07-15T21:44:00" u="1"/>
        <d v="2025-07-29T15:52:00" u="1"/>
        <d v="2025-07-28T16:40:00" u="1"/>
        <d v="2025-07-22T10:11:00" u="1"/>
        <d v="2025-07-28T14:50:00" u="1"/>
        <d v="2025-07-28T14:45:00" u="1"/>
        <d v="2025-07-28T17:18:00" u="1"/>
        <d v="2025-07-29T09:47:00" u="1"/>
        <d v="2025-07-29T09:44:00" u="1"/>
        <d v="2025-07-29T12:30:00" u="1"/>
        <d v="2025-07-23T08:03:00" u="1"/>
        <d v="2025-07-29T13:22:00" u="1"/>
        <d v="2025-07-29T12:22:00" u="1"/>
        <d v="2025-07-29T12:58:00" u="1"/>
        <d v="2025-07-07T14:15:00" u="1"/>
        <d v="2025-07-21T13:01:00" u="1"/>
        <d v="2025-07-04T18:00:00" u="1"/>
        <d v="2025-07-15T10:58:00" u="1"/>
        <d v="2025-07-28T10:37:00" u="1"/>
        <d v="2025-07-15T09:46:00" u="1"/>
        <d v="2025-07-29T07:51:00" u="1"/>
        <d v="2025-07-28T10:53:00" u="1"/>
        <d v="2025-07-29T14:02:00" u="1"/>
        <d v="2025-07-29T13:59:00" u="1"/>
        <d v="2025-07-29T06:44:00" u="1"/>
        <d v="2025-07-28T15:59:00" u="1"/>
        <d v="2025-07-29T12:01:00" u="1"/>
        <d v="2025-07-22T13:35:00" u="1"/>
        <d v="2025-07-29T13:11:00" u="1"/>
        <d v="2025-07-28T18:23:00" u="1"/>
        <d v="2025-07-29T12:33:00" u="1"/>
        <d v="2025-07-11T15:26:00" u="1"/>
        <d v="2025-07-28T15:41:00" u="1"/>
        <d v="2025-07-29T14:14:00" u="1"/>
        <d v="2025-07-25T17:17:00" u="1"/>
        <d v="2025-07-26T17:12:00" u="1"/>
        <d v="2025-07-24T15:17:00" u="1"/>
        <d v="2025-07-23T13:55:00" u="1"/>
        <d v="2025-07-21T11:29:00" u="1"/>
        <d v="2025-07-18T01:08:00" u="1"/>
        <d v="2025-07-19T04:49:00" u="1"/>
        <d v="2025-07-20T04:16:00" u="1"/>
        <d v="2025-07-15T03:43:00" u="1"/>
        <d v="2025-07-12T03:47:00" u="1"/>
        <d v="2025-07-12T04:57:00" u="1"/>
        <d v="2025-07-13T05:05:00" u="1"/>
        <d v="2025-07-13T06:51:00" u="1"/>
        <d v="2025-07-13T07:59:00" u="1"/>
        <d v="2025-07-13T18:52:00" u="1"/>
        <d v="2025-07-14T00:59:00" u="1"/>
        <d v="2025-07-14T04:49:00" u="1"/>
        <d v="2025-07-17T00:59:00" u="1"/>
        <d v="2025-07-25T14:06:00" u="1"/>
        <d v="2025-07-25T14:15:00" u="1"/>
        <d v="2025-07-25T14:34:00" u="1"/>
        <d v="2025-07-26T00:59:00" u="1"/>
        <d v="2025-07-27T04:11:00" u="1"/>
        <d v="2025-07-28T01:05:00" u="1"/>
        <d v="2025-07-28T07:02:00" u="1"/>
        <d v="2025-07-24T02:45:00" u="1"/>
        <d v="2025-07-25T01:06:00" u="1"/>
        <d v="2025-07-25T04:19:00" u="1"/>
        <d v="2025-07-18T21:41:00" u="1"/>
        <d v="2025-07-10T15:22:00" u="1"/>
        <d v="2025-07-10T13:41:00" u="1"/>
        <d v="2025-03-26T00:00:00" u="1"/>
        <d v="2025-05-27T12:46:00" u="1"/>
        <d v="2025-04-07T00:00:00" u="1"/>
        <d v="2025-07-04T00:00:00" u="1"/>
        <d v="2025-07-22T16:20:00" u="1"/>
        <d v="2025-07-22T09:00:00" u="1"/>
        <d v="2025-05-30T00:00:00" u="1"/>
        <d v="2025-07-18T17:16:00" u="1"/>
        <d v="2025-06-27T09:24:00" u="1"/>
        <d v="2025-06-27T10:30:00" u="1"/>
        <d v="2025-06-25T10:51:00" u="1"/>
        <d v="2025-07-21T14:58:00" u="1"/>
        <d v="2025-07-11T10:28:00" u="1"/>
        <d v="2025-07-24T10:36:00" u="1"/>
        <d v="2025-07-11T16:35:00" u="1"/>
        <d v="2025-06-09T15:37:00" u="1"/>
        <d v="2025-07-25T06:48:00" u="1"/>
        <d v="2025-07-11T13:49:00" u="1"/>
        <d v="2025-07-25T07:08:00" u="1"/>
        <d v="2025-06-30T16:37:00" u="1"/>
        <d v="2025-07-21T08:11:00" u="1"/>
        <d v="2025-07-21T09:24:00" u="1"/>
        <d v="2025-07-23T14:30:00" u="1"/>
        <d v="2025-07-22T14:20:00" u="1"/>
        <d v="2025-06-04T15:05:00" u="1"/>
        <d v="2025-07-02T09:23:00" u="1"/>
        <d v="2025-07-14T12:13:00" u="1"/>
        <d v="2025-03-19T23:45:00" u="1"/>
        <d v="2025-06-24T19:21:00" u="1"/>
        <d v="2025-07-08T20:47:00" u="1"/>
        <d v="2025-07-24T11:55:00" u="1"/>
        <d v="2025-06-18T13:27:00" u="1"/>
        <d v="2025-07-17T08:53:00" u="1"/>
        <d v="2025-07-21T00:00:00" u="1"/>
        <d v="2025-06-22T13:41:00" u="1"/>
        <d v="2025-07-17T00:00:00" u="1"/>
        <d v="2025-07-22T00:00:00" u="1"/>
        <d v="2025-07-04T12:58:00" u="1"/>
        <d v="2025-07-16T08:33:00" u="1"/>
        <d v="2025-07-17T06:29:00" u="1"/>
        <d v="2025-07-27T10:19:00" u="1"/>
        <d v="2025-07-28T03:56:00" u="1"/>
        <d v="2025-07-28T04:38:00" u="1"/>
        <d v="2025-07-28T03:18:00" u="1"/>
        <d v="2025-07-28T05:07:00" u="1"/>
        <d v="2025-07-28T05:50:00" u="1"/>
        <d v="2025-07-28T07:30:00" u="1"/>
        <d v="2025-07-28T08:29:00" u="1"/>
        <d v="2025-07-28T08:23:00" u="1"/>
        <d v="2025-07-28T05:43:00" u="1"/>
        <d v="2025-07-28T10:30:00" u="1"/>
        <d v="2025-07-28T06:02:00" u="1"/>
        <d v="2025-07-28T07:13:00" u="1"/>
        <d v="2025-07-28T02:28:00" u="1"/>
        <d v="2025-07-27T07:53:00" u="1"/>
        <d v="2025-07-23T05:15:00" u="1"/>
        <d v="2025-07-28T10:34:00" u="1"/>
        <d v="2025-07-28T03:05:00" u="1"/>
        <d v="2025-07-27T11:23:00" u="1"/>
        <d v="2025-07-28T11:44:00" u="1"/>
        <d v="2025-07-28T01:55:00" u="1"/>
        <d v="2025-07-28T02:25:00" u="1"/>
        <d v="2025-07-25T11:12:00" u="1"/>
        <d v="2025-07-28T11:27:00" u="1"/>
        <d v="2025-07-28T10:44:00" u="1"/>
        <d v="2025-07-28T02:29:00" u="1"/>
        <d v="2025-07-28T02:27:00" u="1"/>
        <d v="2025-07-28T10:41:00" u="1"/>
        <d v="2025-07-28T05:02:00" u="1"/>
        <d v="2025-07-28T02:13:00" u="1"/>
        <d v="2025-07-28T06:29:00" u="1"/>
        <d v="2025-07-28T04:35:00" u="1"/>
        <d v="2025-07-25T16:22:00" u="1"/>
        <d v="2025-07-24T10:16:00" u="1"/>
        <d v="2025-07-03T10:04:00" u="1"/>
        <d v="2025-07-14T11:01:00" u="1"/>
        <d v="2025-07-10T09:48:00" u="1"/>
        <d v="2025-07-09T07:49:00" u="1"/>
        <d v="2025-07-07T14:51:00" u="1"/>
        <d v="2025-07-01T10:26:00" u="1"/>
        <d v="2025-07-04T14:32:00" u="1"/>
        <d v="2025-07-28T13:22:00" u="1"/>
        <d v="2025-07-08T16:48:00" u="1"/>
        <d v="2025-07-11T09:51:00" u="1"/>
        <d v="2025-07-18T14:20:00" u="1"/>
        <d v="2025-07-18T14:23:00" u="1"/>
        <d v="2025-07-15T14:12:00" u="1"/>
        <d v="2025-05-29T12:12:00" u="1"/>
        <d v="2025-07-25T18:00:00" u="1"/>
        <d v="2025-06-25T11:19:00" u="1"/>
        <d v="2025-06-18T12:36:00" u="1"/>
        <d v="2025-06-11T14:50:00" u="1"/>
        <d v="2025-06-11T12:16:00" u="1"/>
        <d v="2025-06-16T17:10:00" u="1"/>
        <d v="2025-07-25T16:20:00" u="1"/>
        <d v="2025-07-25T10:43:00" u="1"/>
        <d v="2025-07-27T00:00:00" u="1"/>
        <d v="2025-06-25T13:19:00" u="1"/>
        <d v="2025-06-20T18:10:00" u="1"/>
        <d v="2025-07-28T13:17:00" u="1"/>
        <d v="2025-07-25T11:03:00" u="1"/>
        <d v="2025-07-24T17:19:00" u="1"/>
        <d v="2025-07-24T17:22:00" u="1"/>
        <d v="2025-07-24T18:22:00" u="1"/>
        <d v="2025-07-28T11:18:00" u="1"/>
        <d v="2025-07-28T09:19:00" u="1"/>
        <d v="2025-06-11T15:53:00" u="1"/>
        <d v="2025-06-11T17:36:00" u="1"/>
        <d v="2025-07-25T14:43:00" u="1"/>
        <d v="2025-06-18T09:30:00" u="1"/>
        <d v="2025-06-17T17:33:00" u="1"/>
        <d v="2025-06-12T10:34:00" u="1"/>
        <d v="2025-06-26T12:45:00" u="1"/>
        <d v="2025-06-26T12:42:00" u="1"/>
        <d v="2025-07-08T18:18:00" u="1"/>
        <d v="2025-07-22T15:04:00" u="1"/>
        <d v="2025-07-22T14:59:00" u="1"/>
        <d v="2025-07-22T15:12:00" u="1"/>
        <d v="2025-07-07T12:53:00" u="1"/>
        <d v="2025-07-28T12:34:00" u="1"/>
        <d v="2025-07-28T19:19:00" u="1"/>
        <d v="2025-06-04T16:36:00" u="1"/>
        <d v="2025-06-16T08:08:00" u="1"/>
        <d v="2025-06-23T17:30:00" u="1"/>
        <d v="2025-06-24T07:56:00" u="1"/>
        <d v="2025-06-23T16:45:00" u="1"/>
        <d v="2025-07-01T09:15:00" u="1"/>
        <d v="2025-07-11T08:29:00" u="1"/>
        <d v="2025-07-22T09:01:00" u="1"/>
        <d v="2025-06-25T17:39:00" u="1"/>
        <d v="2025-06-17T18:13:00" u="1"/>
        <d v="2025-06-12T17:28:00" u="1"/>
        <d v="2025-06-13T10:29:00" u="1"/>
        <d v="2025-06-03T16:38:00" u="1"/>
        <d v="2025-06-24T15:18:00" u="1"/>
        <d v="2025-06-24T15:06:00" u="1"/>
        <d v="2025-06-25T15:01:00" u="1"/>
        <d v="2025-06-26T08:43:00" u="1"/>
        <d v="2025-06-16T14:56:00" u="1"/>
        <d v="2025-07-25T16:08:00" u="1"/>
        <d v="2025-07-25T16:31:00" u="1"/>
        <d v="2025-07-17T13:04:00" u="1"/>
        <d v="2025-06-13T17:07:00" u="1"/>
        <d v="2025-07-28T18:24:00" u="1"/>
        <d v="2025-07-28T17:50:00" u="1"/>
        <d v="2025-07-28T18:08:00" u="1"/>
        <d v="2025-07-28T18:03:00" u="1"/>
        <d v="2025-06-03T09:13:00" u="1"/>
        <d v="2025-06-03T09:18:00" u="1"/>
        <d v="2025-06-09T15:33:00" u="1"/>
        <d v="2025-07-11T15:20:00" u="1"/>
        <d v="2025-07-22T16:09:00" u="1"/>
        <d v="2025-07-22T16:00:00" u="1"/>
        <d v="2025-07-21T09:25:00" u="1"/>
        <d v="2025-07-24T08:21:00" u="1"/>
        <d v="2025-07-25T11:36:00" u="1"/>
        <d v="2025-07-28T08:01:00" u="1"/>
        <d v="2025-06-30T12:00:00" u="1"/>
        <d v="2025-07-02T12:18:00" u="1"/>
        <d v="2025-06-27T07:46:00" u="1"/>
        <d v="2025-06-27T08:01:00" u="1"/>
        <d v="2025-06-30T09:33:00" u="1"/>
        <d v="2025-06-27T10:07:00" u="1"/>
        <d v="2025-06-24T08:01:00" u="1"/>
        <d v="2025-07-10T08:57:00" u="1"/>
        <d v="2025-07-17T09:19:00" u="1"/>
        <d v="2025-06-27T08:35:00" u="1"/>
        <d v="2025-06-26T15:14:00" u="1"/>
        <d v="2025-07-10T07:53:00" u="1"/>
        <d v="2025-02-01T00:00:00" u="1"/>
        <d v="2025-06-03T19:10:00" u="1"/>
        <d v="2025-07-17T18:00:00" u="1"/>
        <d v="2025-07-28T14:36:00" u="1"/>
        <d v="2025-07-28T15:02:00" u="1"/>
        <d v="2025-07-25T15:32:00" u="1"/>
        <d v="2025-06-11T19:00:00" u="1"/>
        <d v="2025-07-24T11:49:00" u="1"/>
        <d v="2025-07-01T20:54:00" u="1"/>
        <d v="2025-07-28T19:10:00" u="1"/>
        <d v="2025-07-25T14:54:00" u="1"/>
        <d v="2025-07-28T19:32:00" u="1"/>
        <d v="2025-07-23T13:00:00" u="1"/>
        <d v="2025-07-27T22:48:00" u="1"/>
        <d v="2025-06-26T19:00:00" u="1"/>
        <d v="2025-07-28T16:58:00" u="1"/>
        <d v="2025-07-14T13:32:00" u="1"/>
        <d v="2025-07-21T20:57:00" u="1"/>
        <d v="2025-06-18T09:52:00" u="1"/>
        <d v="2025-06-27T16:51:00" u="1"/>
        <d v="2025-07-01T15:39:00" u="1"/>
        <d v="2025-07-25T12:15:00" u="1"/>
        <d v="2025-06-30T11:16:00" u="1"/>
        <d v="2025-07-18T11:35:00" u="1"/>
        <d v="2025-07-04T13:49:00" u="1"/>
        <d v="2025-06-18T11:34:00" u="1"/>
        <d v="2025-07-28T14:56:00" u="1"/>
        <d v="2025-06-11T11:20:00" u="1"/>
        <d v="2025-06-16T15:44:00" u="1"/>
        <d v="2025-07-24T16:59:00" u="1"/>
        <d v="2025-07-24T17:55:00" u="1"/>
        <d v="2025-07-07T15:30:00" u="1"/>
        <d v="2025-07-28T18:41:00" u="1"/>
        <d v="2025-07-28T17:41:00" u="1"/>
        <d v="2025-07-28T16:23:00" u="1"/>
        <d v="2025-07-28T15:58:00" u="1"/>
        <d v="2025-07-28T20:47:00" u="1"/>
        <d v="2025-06-17T15:40:00" u="1"/>
        <d v="2025-06-18T16:55:00" u="1"/>
        <d v="2025-06-03T12:19:00" u="1"/>
        <d v="2025-06-03T12:24:00" u="1"/>
        <d v="2025-06-03T12:40:00" u="1"/>
        <d v="2025-06-03T13:54:00" u="1"/>
        <d v="2025-06-03T14:04:00" u="1"/>
        <d v="2025-06-03T14:12:00" u="1"/>
        <d v="2025-06-05T13:00:00" u="1"/>
        <d v="2025-06-05T12:28:00" u="1"/>
        <d v="2025-07-17T11:48:00" u="1"/>
        <d v="2025-07-16T17:42:00" u="1"/>
        <d v="2025-07-21T11:09:00" u="1"/>
        <d v="2025-06-11T14:35:00" u="1"/>
        <d v="2025-06-18T10:51:00" u="1"/>
        <d v="2025-06-17T18:17:01" u="1"/>
        <d v="2025-06-17T18:06:00" u="1"/>
        <d v="2025-06-16T14:56:28" u="1"/>
        <d v="2025-07-18T11:42:00" u="1"/>
        <d v="2025-07-15T18:04:00" u="1"/>
        <d v="2025-06-18T17:00:00" u="1"/>
        <d v="2025-06-11T11:15:00" u="1"/>
        <d v="2025-06-24T18:04:00" u="1"/>
        <d v="2025-06-25T17:13:00" u="1"/>
        <d v="2025-06-24T18:22:00" u="1"/>
        <d v="2025-06-26T17:57:00" u="1"/>
        <d v="2025-06-25T19:47:00" u="1"/>
        <d v="2025-07-28T13:20:00" u="1"/>
        <d v="2025-06-24T16:38:00" u="1"/>
        <d v="2025-06-30T15:10:00" u="1"/>
        <d v="2025-07-01T10:28:00" u="1"/>
        <d v="2025-01-15T10:21:00" u="1"/>
        <d v="2025-07-16T11:38:00" u="1"/>
        <d v="2025-06-25T18:59:00" u="1"/>
        <d v="2025-04-23T11:38:00" u="1"/>
        <d v="2025-07-22T11:37:00" u="1"/>
        <d v="2025-06-27T15:48:00" u="1"/>
        <d v="2025-06-18T19:30:00" u="1"/>
        <d v="2025-07-28T16:21:00" u="1"/>
        <d v="2025-07-03T18:23:00" u="1"/>
        <d v="2025-07-15T15:00:00" u="1"/>
        <d v="2025-06-02T21:14:00" u="1"/>
        <d v="2025-03-06T12:00:00" u="1"/>
        <d v="2025-06-12T00:00:00" u="1"/>
        <d v="2025-06-18T00:00:00" u="1"/>
        <d v="2025-06-09T10:31:00" u="1"/>
        <d v="2025-07-18T06:53:00" u="1"/>
        <d v="2025-06-06T10:37:00" u="1"/>
        <d v="2025-06-26T15:27:00" u="1"/>
        <d v="2025-07-28T09:46:00" u="1"/>
        <d v="2025-06-05T11:27:00" u="1"/>
        <d v="2025-07-11T16:43:00" u="1"/>
        <d v="2025-07-11T16:47:00" u="1"/>
        <d v="2025-07-03T11:34:00" u="1"/>
        <d v="2025-06-17T15:55:00" u="1"/>
        <d v="2025-06-23T15:50:00" u="1"/>
        <d v="2025-07-28T15:28:00" u="1"/>
        <d v="2025-07-25T16:07:00" u="1"/>
        <d v="2025-07-25T15:39:00" u="1"/>
        <d v="2025-07-24T13:40:00" u="1"/>
        <d v="2025-07-28T13:18:00" u="1"/>
        <d v="2025-07-28T13:06:00" u="1"/>
        <d v="2025-07-25T00:00:00" u="1"/>
        <d v="2025-07-28T10:55:00" u="1"/>
        <d v="2025-07-18T11:58:00" u="1"/>
        <d v="2025-07-25T09:25:00" u="1"/>
        <d v="2025-07-25T11:08:00" u="1"/>
        <d v="2025-07-09T15:00:00" u="1"/>
        <d v="2025-07-21T09:07:00" u="1"/>
        <d v="2025-07-09T13:12:00" u="1"/>
        <d v="2025-06-30T11:19:00" u="1"/>
        <d v="2025-07-01T10:31:00" u="1"/>
        <d v="2025-07-07T15:28:00" u="1"/>
        <d v="2025-06-25T13:37:00" u="1"/>
        <d v="2025-06-13T13:50:00" u="1"/>
        <d v="2025-06-04T08:17:00" u="1"/>
        <d v="2025-06-05T14:37:00" u="1"/>
        <d v="2025-06-06T13:41:00" u="1"/>
        <d v="2025-07-28T20:05:00" u="1"/>
        <d v="2025-07-25T13:44:00" u="1"/>
        <d v="2025-07-28T17:12:00" u="1"/>
        <d v="2025-07-28T11:21:00" u="1"/>
        <d v="2025-07-28T11:46:00" u="1"/>
        <d v="2025-07-28T10:26:00" u="1"/>
        <d v="2025-07-28T14:02:00" u="1"/>
        <d v="2025-06-10T15:50:00" u="1"/>
        <d v="2025-07-23T08:00:00" u="1"/>
        <d v="2025-07-07T10:56:00" u="1"/>
        <d v="2025-07-01T09:23:00" u="1"/>
        <d v="2025-07-11T13:34:00" u="1"/>
        <d v="2025-06-24T13:57:00" u="1"/>
        <d v="2025-07-24T11:46:00" u="1"/>
        <d v="2025-07-21T10:33:00" u="1"/>
        <d v="2025-07-22T11:51:00" u="1"/>
        <d v="2025-07-22T14:25:00" u="1"/>
        <d v="2025-07-22T15:32:00" u="1"/>
        <d v="2025-06-17T13:18:00" u="1"/>
        <d v="2025-07-28T13:50:00" u="1"/>
        <d v="2025-06-30T00:00:00" u="1"/>
        <d v="2025-07-10T15:16:00" u="1"/>
        <d v="2025-07-10T12:49:00" u="1"/>
        <d v="2025-07-03T16:12:00" u="1"/>
        <d v="2025-07-21T11:59:00" u="1"/>
        <d v="2025-06-25T08:43:00" u="1"/>
        <d v="2025-07-28T08:06:00" u="1"/>
        <d v="2025-07-25T10:24:00" u="1"/>
        <d v="2025-07-23T15:19:00" u="1"/>
        <d v="2025-07-28T14:31:00" u="1"/>
        <d v="2025-07-25T10:16:00" u="1"/>
        <d v="2025-07-22T08:16:00" u="1"/>
        <d v="2025-07-21T13:09:00" u="1"/>
        <d v="2025-07-28T08:24:00" u="1"/>
        <d v="2025-07-28T13:07:00" u="1"/>
        <d v="2025-07-25T09:23:00" u="1"/>
        <d v="2025-07-25T09:30:00" u="1"/>
        <d v="2025-04-29T06:25:00" u="1"/>
        <d v="2025-05-30T06:41:00" u="1"/>
        <d v="2025-07-08T12:38:00" u="1"/>
        <d v="2025-06-18T16:08:00" u="1"/>
        <d v="2025-06-10T10:03:00" u="1"/>
        <d v="2025-06-24T13:39:00" u="1"/>
        <d v="2025-06-25T09:28:00" u="1"/>
        <d v="2025-06-06T10:09:00" u="1"/>
        <d v="2025-06-20T00:00:00" u="1"/>
        <d v="2025-07-01T00:00:00" u="1"/>
        <d v="2025-07-02T08:55:00" u="1"/>
        <d v="2025-05-09T09:50:00" u="1"/>
        <d v="2025-05-06T16:05:00" u="1"/>
        <d v="2025-07-01T09:51:00" u="1"/>
        <d v="2025-07-22T14:04:00" u="1"/>
        <d v="2025-07-28T13:33:00" u="1"/>
        <d v="2025-07-14T15:20:00" u="1"/>
        <d v="2025-07-28T16:28:00" u="1"/>
        <d v="2025-06-16T11:12:00" u="1"/>
        <d v="2025-07-28T19:18:00" u="1"/>
        <d v="2025-07-10T18:34:00" u="1"/>
        <d v="2025-07-25T18:25:00" u="1"/>
        <d v="2025-06-23T10:17:00" u="1"/>
        <d v="2025-07-28T17:24:00" u="1"/>
        <d v="2025-05-06T09:00:00" u="1"/>
        <d v="2025-07-22T09:06:00" u="1"/>
        <d v="2025-06-09T12:23:00" u="1"/>
        <d v="2025-06-16T10:29:00" u="1"/>
        <d v="2025-06-16T18:25:00" u="1"/>
        <d v="2025-06-16T18:42:00" u="1"/>
        <d v="2025-06-18T11:01:00" u="1"/>
        <d v="2025-06-16T11:23:00" u="1"/>
        <d v="2025-07-24T17:38:00" u="1"/>
        <d v="2025-07-24T16:45:00" u="1"/>
        <d v="2025-07-22T12:07:00" u="1"/>
        <d v="2025-07-25T11:56:00" u="1"/>
        <d v="2025-07-25T16:51:00" u="1"/>
        <d v="2025-07-25T13:12:00" u="1"/>
        <d v="2025-07-25T19:05:00" u="1"/>
        <d v="2025-07-23T16:57:00" u="1"/>
        <d v="2025-07-24T16:51:00" u="1"/>
        <d v="2025-07-24T14:59:00" u="1"/>
        <d v="2025-07-24T16:13:00" u="1"/>
        <d v="2025-07-28T12:30:00" u="1"/>
        <d v="2025-07-28T19:43:00" u="1"/>
        <d v="2025-06-26T09:18:00" u="1"/>
        <d v="2025-07-25T14:26:00" u="1"/>
        <d v="2025-07-28T17:56:00" u="1"/>
        <d v="2025-07-28T14:09:00" u="1"/>
        <d v="2025-07-28T14:10:00" u="1"/>
        <d v="2025-07-28T14:07:00" u="1"/>
        <d v="2025-07-28T09:39:00" u="1"/>
        <d v="2025-07-25T16:30:00" u="1"/>
        <d v="2025-07-24T19:38:00" u="1"/>
        <d v="2025-07-25T20:09:00" u="1"/>
        <d v="2025-07-28T13:24:00" u="1"/>
        <d v="2025-07-28T14:27:00" u="1"/>
        <d v="2025-07-28T13:57:00" u="1"/>
        <d v="2025-07-25T12:48:00" u="1"/>
        <d v="2025-07-21T07:53:00" u="1"/>
        <d v="2025-07-21T07:46:00" u="1"/>
        <d v="2025-07-09T08:25:00" u="1"/>
        <d v="2025-07-09T08:23:00" u="1"/>
        <d v="2025-07-09T08:22:00" u="1"/>
        <d v="2025-07-09T08:21:00" u="1"/>
        <d v="2025-07-28T15:06:00" u="1"/>
        <d v="2025-06-06T10:40:00" u="1"/>
        <d v="2025-06-30T10:36:00" u="1"/>
        <d v="2025-06-17T16:25:00" u="1"/>
        <d v="2025-04-02T16:35:00" u="1"/>
        <d v="2025-07-18T07:23:00" u="1"/>
        <d v="2025-06-13T19:56:00" u="1"/>
        <d v="2025-04-19T00:37:00" u="1"/>
        <d v="2025-07-21T10:18:00" u="1"/>
        <d v="2025-07-25T13:29:00" u="1"/>
        <d v="2025-07-22T08:09:00" u="1"/>
        <d v="2025-07-21T15:33:00" u="1"/>
        <d v="2025-07-22T14:21:00" u="1"/>
        <d v="2025-07-22T14:29:00" u="1"/>
        <d v="2025-07-23T15:33:00" u="1"/>
        <d v="2025-06-11T09:04:00" u="1"/>
        <d v="2025-07-25T14:07:00" u="1"/>
        <d v="2025-07-25T14:16:00" u="1"/>
        <d v="2025-07-25T13:47:00" u="1"/>
        <d v="2025-07-28T16:15:00" u="1"/>
        <d v="2025-07-21T17:50:00" u="1"/>
        <d v="2025-07-28T22:52:00" u="1"/>
        <d v="2025-07-28T22:54:00" u="1"/>
        <d v="2025-07-28T14:49:00" u="1"/>
        <d v="2025-07-25T14:55:00" u="1"/>
        <d v="2025-07-25T12:21:00" u="1"/>
        <d v="2025-07-24T16:03:00" u="1"/>
        <d v="2025-07-21T08:45:00" u="1"/>
        <d v="2025-07-25T08:01:00" u="1"/>
        <d v="2025-07-10T09:30:00" u="1"/>
        <d v="2025-07-24T11:23:00" u="1"/>
        <d v="2025-07-27T17:41:00" u="1"/>
        <d v="2025-07-27T17:11:00" u="1"/>
        <d v="2025-07-25T09:36:00" u="1"/>
        <d v="2025-07-25T09:41:00" u="1"/>
        <d v="2025-07-25T08:55:00" u="1"/>
        <d v="2025-07-25T16:28:00" u="1"/>
        <d v="2025-07-22T12:39:00" u="1"/>
        <d v="2025-07-25T01:55:00" u="1"/>
        <d v="2025-07-25T03:17:00" u="1"/>
        <d v="2025-07-25T03:09:00" u="1"/>
        <d v="2025-07-25T05:43:00" u="1"/>
        <d v="2025-07-25T03:14:00" u="1"/>
        <d v="2025-07-25T05:27:00" u="1"/>
        <d v="2025-07-25T11:14:00" u="1"/>
        <d v="2025-07-25T01:48:00" u="1"/>
        <d v="2025-07-25T01:56:00" u="1"/>
        <d v="2025-07-26T09:28:00" u="1"/>
        <d v="2025-07-25T10:37:00" u="1"/>
        <d v="2025-07-26T10:13:00" u="1"/>
        <d v="2025-07-25T05:04:00" u="1"/>
        <d v="2025-07-25T03:33:00" u="1"/>
        <d v="2025-07-25T01:42:00" u="1"/>
        <d v="2025-07-25T07:59:00" u="1"/>
        <d v="2025-07-25T12:36:00" u="1"/>
        <d v="2025-07-25T04:32:00" u="1"/>
        <d v="2025-07-23T05:11:00" u="1"/>
        <d v="2025-07-25T07:41:00" u="1"/>
        <d v="2025-07-25T04:12:00" u="1"/>
        <d v="2025-07-25T12:07:00" u="1"/>
        <d v="2025-07-27T11:06:00" u="1"/>
        <d v="2025-07-26T11:29:00" u="1"/>
        <d v="2025-07-26T09:49:00" u="1"/>
        <d v="2025-07-27T07:00:00" u="1"/>
        <d v="2025-07-27T03:32:00" u="1"/>
        <d v="2025-07-26T04:14:00" u="1"/>
        <d v="2025-07-25T05:34:00" u="1"/>
        <d v="2025-07-25T06:22:00" u="1"/>
        <d v="2025-07-25T11:34:00" u="1"/>
        <d v="2025-07-25T10:35:00" u="1"/>
        <d v="2025-07-25T05:44:00" u="1"/>
        <d v="2025-07-25T00:02:00" u="1"/>
        <d v="2025-07-25T00:07:00" u="1"/>
        <d v="2025-07-25T09:29:00" u="1"/>
        <d v="2025-07-25T08:26:00" u="1"/>
        <d v="2025-07-25T14:59:00" u="1"/>
        <d v="2025-07-04T15:32:00" u="1"/>
        <d v="2025-07-07T09:55:00" u="1"/>
        <d v="2025-07-25T19:08:00" u="1"/>
        <d v="2025-07-24T13:03:00" u="1"/>
        <d v="2025-07-25T12:16:00" u="1"/>
        <d v="2025-07-25T16:40:00" u="1"/>
        <d v="2025-07-26T11:52:00" u="1"/>
        <d v="2025-07-25T15:52:00" u="1"/>
        <d v="2025-07-25T16:13:00" u="1"/>
        <d v="2025-07-25T16:35:00" u="1"/>
        <d v="2025-07-25T18:55:00" u="1"/>
        <d v="2025-07-25T17:47:00" u="1"/>
        <d v="2025-07-27T01:40:00" u="1"/>
        <d v="2025-07-25T11:04:00" u="1"/>
        <d v="2025-07-25T14:32:00" u="1"/>
        <d v="2025-07-25T10:11:00" u="1"/>
        <d v="2025-07-25T15:16:00" u="1"/>
        <d v="2025-07-04T15:53:00" u="1"/>
        <d v="2025-07-24T15:12:00" u="1"/>
        <d v="2025-07-25T12:05:00" u="1"/>
        <d v="2025-07-25T11:37:00" u="1"/>
        <d v="2025-07-25T10:30:00" u="1"/>
        <d v="2025-07-24T13:58:00" u="1"/>
        <d v="2025-07-14T15:34:00" u="1"/>
        <d v="2025-07-25T13:36:00" u="1"/>
        <d v="2025-07-25T14:48:00" u="1"/>
        <d v="2025-06-03T22:51:00" u="1"/>
        <d v="2025-07-11T00:00:00" u="1"/>
        <d v="2025-07-25T15:02:00" u="1"/>
        <d v="2025-07-25T15:00:00" u="1"/>
        <d v="2025-07-23T17:31:00" u="1"/>
        <d v="2025-07-25T11:48:00" u="1"/>
        <d v="2025-07-09T11:54:00" u="1"/>
        <d v="2025-07-10T13:19:00" u="1"/>
        <d v="2025-07-16T11:49:00" u="1"/>
        <d v="2025-07-25T11:19:00" u="1"/>
        <d v="2025-07-25T20:16:00" u="1"/>
        <d v="2025-07-25T17:36:00" u="1"/>
        <d v="2025-07-25T13:24:00" u="1"/>
        <d v="2025-07-25T09:58:00" u="1"/>
        <d v="2025-07-25T08:31:00" u="1"/>
        <d v="2025-07-26T00:08:00" u="1"/>
        <d v="2025-07-25T10:22:00" u="1"/>
        <d v="2025-07-23T10:35:00" u="1"/>
        <d v="2025-07-23T10:38:00" u="1"/>
        <d v="2025-07-24T14:55:00" u="1"/>
        <d v="2025-07-25T15:40:00" u="1"/>
        <d v="2025-07-04T08:40:00" u="1"/>
        <d v="2025-07-18T12:52:00" u="1"/>
        <d v="2025-07-18T11:15:00" u="1"/>
        <d v="2025-07-18T12:55:00" u="1"/>
        <d v="2025-07-18T13:04:00" u="1"/>
        <d v="2025-07-18T13:10:00" u="1"/>
        <d v="2025-07-24T18:00:00" u="1"/>
        <d v="2025-07-24T16:22:00" u="1"/>
        <d v="2025-07-24T15:16:00" u="1"/>
        <d v="2025-07-24T15:14:00" u="1"/>
        <d v="2025-07-24T09:21:00" u="1"/>
        <d v="2025-07-23T15:14:00" u="1"/>
        <d v="2025-07-24T15:20:00" u="1"/>
        <d v="2025-07-24T14:58:00" u="1"/>
        <d v="2025-07-24T15:54:00" u="1"/>
        <d v="2025-07-23T12:16:00" u="1"/>
        <d v="2025-07-02T16:26:00" u="1"/>
        <d v="2025-07-24T12:33:00" u="1"/>
        <d v="2025-07-24T18:19:00" u="1"/>
        <d v="2025-07-24T15:28:00" u="1"/>
        <d v="2025-07-23T07:04:00" u="1"/>
        <d v="2025-07-23T07:56:00" u="1"/>
        <d v="2025-07-21T10:37:00" u="1"/>
        <d v="2025-07-24T14:10:00" u="1"/>
        <d v="2025-07-24T15:52:00" u="1"/>
        <d v="2025-07-15T07:18:00" u="1"/>
        <d v="2025-07-21T14:21:00" u="1"/>
        <d v="2025-07-23T15:29:00" u="1"/>
        <d v="2025-07-01T09:42:00" u="1"/>
        <d v="2025-07-01T16:23:00" u="1"/>
        <d v="2025-07-23T18:53:00" u="1"/>
        <d v="2025-07-24T19:25:00" u="1"/>
        <d v="2025-07-13T21:54:00" u="1"/>
        <d v="2025-07-23T15:01:00" u="1"/>
        <d v="2025-07-23T15:08:00" u="1"/>
        <d v="2025-07-18T14:46:00" u="1"/>
        <d v="2025-07-18T14:51:00" u="1"/>
        <d v="2025-07-24T10:22:00" u="1"/>
        <d v="2025-07-24T14:21:00" u="1"/>
        <d v="2025-07-24T14:23:00" u="1"/>
        <d v="2025-07-24T14:25:00" u="1"/>
        <d v="2025-07-24T14:27:00" u="1"/>
        <d v="2025-07-24T14:29:00" u="1"/>
        <d v="2025-07-24T14:31:00" u="1"/>
        <d v="2025-07-24T13:28:00" u="1"/>
        <d v="2025-07-24T13:33:00" u="1"/>
        <d v="2025-07-24T13:44:00" u="1"/>
        <d v="2025-07-17T17:40:00" u="1"/>
        <d v="2025-07-17T09:12:00" u="1"/>
        <d v="2025-07-24T06:34:00" u="1"/>
        <d v="2025-07-24T07:24:00" u="1"/>
        <d v="2025-07-24T06:46:00" u="1"/>
        <d v="2025-07-24T07:03:00" u="1"/>
        <d v="2025-07-02T09:04:00" u="1"/>
        <d v="2025-06-13T08:15:00" u="1"/>
        <d v="2025-07-24T01:52:00" u="1"/>
        <d v="2025-07-24T06:20:00" u="1"/>
        <d v="2025-07-24T07:54:00" u="1"/>
        <d v="2025-07-24T10:12:00" u="1"/>
        <d v="2025-07-24T17:21:00" u="1"/>
        <d v="2025-07-03T15:21:00" u="1"/>
        <d v="2025-07-24T12:58:00" u="1"/>
        <d v="2025-07-14T18:30:00" u="1"/>
        <d v="2025-07-16T19:38:00" u="1"/>
        <d v="2025-07-24T10:59:00" u="1"/>
        <d v="2025-07-24T11:06:00" u="1"/>
        <d v="2025-07-24T12:40:00" u="1"/>
        <d v="2025-07-24T05:17:00" u="1"/>
        <d v="2025-07-17T19:31:00" u="1"/>
        <d v="2025-07-18T12:09:00" u="1"/>
        <d v="2025-07-16T10:15:00" u="1"/>
        <d v="2025-07-24T03:26:00" u="1"/>
        <d v="2025-07-24T12:49:00" u="1"/>
        <d v="2025-07-24T11:34:00" u="1"/>
        <d v="2025-06-10T11:01:00" u="1"/>
        <d v="2025-07-24T05:32:00" u="1"/>
        <d v="2025-07-24T09:35:00" u="1"/>
        <d v="2025-07-24T01:37:00" u="1"/>
        <d v="2025-07-24T05:56:00" u="1"/>
        <d v="2025-07-24T12:28:00" u="1"/>
        <d v="2025-07-24T14:09:00" u="1"/>
        <d v="2025-07-24T14:50:00" u="1"/>
        <d v="2025-07-24T08:34:00" u="1"/>
        <d v="2025-07-02T11:00:00" u="1"/>
        <d v="2025-07-01T13:11:00" u="1"/>
        <d v="2025-07-14T00:00:00" u="1"/>
        <d v="2025-07-16T11:33:00" u="1"/>
        <d v="2025-07-16T12:39:00" u="1"/>
        <d v="2025-07-24T10:23:00" u="1"/>
        <d v="2025-06-26T18:00:00" u="1"/>
        <d v="2025-07-02T18:00:00" u="1"/>
        <d v="2025-07-24T09:36:00" u="1"/>
        <d v="2025-07-24T09:37:00" u="1"/>
        <d v="2025-05-16T10:48:00" u="1"/>
        <d v="2025-07-23T13:37:00" u="1"/>
        <d v="2025-07-24T08:53:00" u="1"/>
        <d v="2025-07-24T04:33:00" u="1"/>
        <d v="2025-07-24T12:23:00" u="1"/>
        <d v="2025-07-17T19:26:00" u="1"/>
        <d v="2025-07-24T03:37:00" u="1"/>
        <d v="2025-07-24T08:52:00" u="1"/>
        <d v="2025-07-24T05:54:00" u="1"/>
        <d v="2025-07-24T02:20:00" u="1"/>
        <d v="2025-07-24T03:47:00" u="1"/>
        <d v="2025-07-24T03:58:00" u="1"/>
        <d v="2025-07-24T03:09:00" u="1"/>
        <d v="2025-07-24T05:00:00" u="1"/>
        <d v="2025-07-24T04:21:00" u="1"/>
        <d v="2025-07-24T10:26:00" u="1"/>
        <d v="2025-07-09T13:34:00" u="1"/>
        <d v="2025-07-24T09:09:00" u="1"/>
        <d v="2025-07-24T05:28:00" u="1"/>
        <d v="2025-07-01T13:43:00" u="1"/>
        <d v="2025-06-17T11:30:00" u="1"/>
        <d v="2025-07-18T10:02:00" u="1"/>
        <d v="2025-06-05T16:58:00" u="1"/>
        <d v="2025-07-24T08:13:00" u="1"/>
        <d v="2025-07-24T15:44:00" u="1"/>
        <d v="2025-07-10T17:30:00" u="1"/>
        <d v="2025-07-22T16:22:00" u="1"/>
        <d v="2025-07-23T16:12:00" u="1"/>
        <d v="2025-07-23T15:49:00" u="1"/>
        <d v="2025-07-23T15:48:00" u="1"/>
        <d v="2025-07-22T19:12:00" u="1"/>
        <d v="2025-07-23T11:57:00" u="1"/>
        <d v="2025-07-23T10:27:00" u="1"/>
        <d v="2025-07-23T13:44:00" u="1"/>
        <d v="2025-07-23T15:04:00" u="1"/>
        <d v="2025-07-15T13:06:00" u="1"/>
        <d v="2025-07-18T12:31:00" u="1"/>
        <d v="2025-07-22T16:37:00" u="1"/>
        <d v="2025-07-23T16:39:00" u="1"/>
        <d v="2025-07-23T18:00:00" u="1"/>
        <d v="2025-07-22T17:50:00" u="1"/>
        <d v="2025-07-22T12:57:00" u="1"/>
        <d v="2025-07-22T15:14:00" u="1"/>
        <d v="2025-05-28T17:49:00" u="1"/>
        <d v="2025-07-23T12:29:00" u="1"/>
        <d v="2025-07-23T12:23:00" u="1"/>
        <d v="2025-07-22T10:34:00" u="1"/>
        <d v="2025-07-22T09:40:00" u="1"/>
        <d v="2025-07-23T15:57:00" u="1"/>
        <d v="2025-07-22T09:41:00" u="1"/>
        <d v="2025-07-22T11:07:00" u="1"/>
        <d v="2025-07-22T11:52:00" u="1"/>
        <d v="2025-07-22T09:17:00" u="1"/>
        <d v="2025-07-14T18:10:00" u="1"/>
        <d v="2025-07-22T16:39:00" u="1"/>
        <d v="2025-07-22T10:30:00" u="1"/>
        <d v="2025-07-20T11:23:00" u="1"/>
        <d v="2025-07-22T10:38:00" u="1"/>
        <d v="2025-07-21T15:34:00" u="1"/>
        <d v="2025-07-22T15:54:00" u="1"/>
        <d v="2025-07-23T10:53:00" u="1"/>
        <d v="2025-07-23T13:54:00" u="1"/>
        <d v="2025-07-17T13:47:00" u="1"/>
        <d v="2025-07-17T10:14:00" u="1"/>
        <d v="2025-07-22T09:49:00" u="1"/>
        <d v="2025-07-23T10:22:00" u="1"/>
        <d v="2025-07-23T08:23:00" u="1"/>
        <d v="2025-07-22T17:32:00" u="1"/>
        <d v="2025-07-22T17:21:00" u="1"/>
        <d v="2025-07-22T17:20:00" u="1"/>
        <d v="2025-07-21T21:54:00" u="1"/>
        <d v="2025-07-18T14:53:00" u="1"/>
        <d v="2025-07-04T10:19:00" u="1"/>
        <d v="2025-07-21T16:10:00" u="1"/>
        <d v="2025-07-21T16:14:00" u="1"/>
        <d v="2025-07-18T11:52:00" u="1"/>
        <d v="2025-07-18T11:46:00" u="1"/>
        <d v="2025-07-15T09:25:00" u="1"/>
        <d v="2025-07-17T09:39:00" u="1"/>
        <d v="2025-07-15T14:24:00" u="1"/>
        <d v="2025-07-14T14:50:00" u="1"/>
        <d v="2025-07-14T09:26:00" u="1"/>
        <d v="2025-07-22T17:26:00" u="1"/>
        <d v="2025-07-22T17:23:00" u="1"/>
        <d v="2025-07-21T17:03:00" u="1"/>
        <d v="2025-07-21T15:13:00" u="1"/>
        <d v="2025-07-22T16:53:00" u="1"/>
        <d v="2025-07-23T16:47:00" u="1"/>
        <d v="2025-07-23T13:21:00" u="1"/>
        <d v="2025-07-17T17:50:00" u="1"/>
        <d v="2025-07-18T18:06:00" u="1"/>
        <d v="2025-07-17T18:16:00" u="1"/>
        <d v="2025-07-23T10:36:00" u="1"/>
        <d v="2025-07-23T10:47:00" u="1"/>
        <d v="2025-07-22T09:43:00" u="1"/>
        <d v="2025-07-23T17:48:00" u="1"/>
        <d v="2025-07-23T17:55:00" u="1"/>
        <d v="2025-07-23T12:28:00" u="1"/>
        <d v="2025-07-23T18:24:00" u="1"/>
        <d v="2025-07-22T23:39:00" u="1"/>
        <d v="2025-07-22T23:38:00" u="1"/>
        <d v="2025-07-23T10:05:00" u="1"/>
        <d v="2025-07-23T10:37:00" u="1"/>
        <d v="2025-07-23T16:01:00" u="1"/>
        <d v="2025-07-23T18:54:00" u="1"/>
        <d v="2025-07-23T18:32:00" u="1"/>
        <d v="2025-07-18T14:57:00" u="1"/>
        <d v="2025-07-23T13:31:00" u="1"/>
        <d v="2025-07-23T13:32:00" u="1"/>
        <d v="2025-07-22T19:00:00" u="1"/>
        <d v="2025-07-16T12:28:00" u="1"/>
        <d v="2025-07-23T19:01:00" u="1"/>
        <d v="2025-07-23T08:10:00" u="1"/>
        <d v="2025-07-22T18:14:00" u="1"/>
        <d v="2025-07-23T15:41:00" u="1"/>
        <d v="2025-07-23T19:02:00" u="1"/>
        <d v="2025-07-22T14:46:00" u="1"/>
        <d v="2025-07-23T15:39:00" u="1"/>
        <d v="2025-07-22T19:36:00" u="1"/>
        <d v="2025-07-22T17:22:00" u="1"/>
        <d v="2025-07-22T17:45:00" u="1"/>
        <d v="2025-07-22T15:56:00" u="1"/>
        <d v="2025-07-23T16:08:00" u="1"/>
        <d v="2025-07-23T14:57:00" u="1"/>
        <d v="2025-07-23T14:47:00" u="1"/>
        <d v="2025-07-22T10:23:00" u="1"/>
        <d v="2025-07-22T20:04:00" u="1"/>
        <d v="2025-05-08T20:04:00" u="1"/>
        <d v="2025-07-23T07:01:00" u="1"/>
        <d v="2025-07-23T06:53:00" u="1"/>
        <d v="2025-07-23T06:58:00" u="1"/>
        <d v="2025-07-23T10:50:00" u="1"/>
        <d v="2025-07-23T02:37:00" u="1"/>
        <d v="2025-07-16T16:40:00" u="1"/>
        <d v="2025-07-16T12:49:00" u="1"/>
        <d v="2025-07-16T13:38:00" u="1"/>
        <d v="2025-07-23T04:37:00" u="1"/>
        <d v="2025-07-23T10:52:00" u="1"/>
        <d v="2025-07-23T10:49:00" u="1"/>
        <d v="2025-07-23T06:04:00" u="1"/>
        <d v="2025-07-23T10:43:00" u="1"/>
        <d v="2025-07-23T08:36:00" u="1"/>
        <d v="2025-07-23T10:48:00" u="1"/>
        <d v="2025-07-23T11:14:00" u="1"/>
        <d v="2025-07-22T11:26:00" u="1"/>
        <d v="2025-07-23T11:15:00" u="1"/>
        <d v="2025-07-21T10:38:00" u="1"/>
        <d v="2025-07-23T10:16:00" u="1"/>
        <d v="2025-07-23T10:21:00" u="1"/>
        <d v="2025-07-23T15:06:00" u="1"/>
        <d v="2025-07-23T14:52:00" u="1"/>
        <d v="2025-06-27T12:58:00" u="1"/>
        <d v="2025-07-23T15:10:00" u="1"/>
        <d v="2025-07-23T15:09:00" u="1"/>
        <d v="2025-07-23T16:06:00" u="1"/>
        <d v="2025-07-15T16:00:00" u="1"/>
        <d v="2025-07-23T06:32:00" u="1"/>
        <d v="2025-06-27T11:18:00" u="1"/>
        <d v="2025-07-23T15:51:00" u="1"/>
        <d v="2025-07-23T09:09:00" u="1"/>
        <d v="2025-07-23T13:39:00" u="1"/>
        <d v="2025-07-15T14:59:00" u="1"/>
        <d v="2025-07-01T09:43:00" u="1"/>
        <d v="2025-07-18T21:21:00" u="1"/>
        <d v="2025-07-23T07:00:00" u="1"/>
        <d v="2025-07-23T02:32:00" u="1"/>
        <d v="2025-07-18T18:00:00" u="1"/>
        <d v="2025-07-23T09:36:00" u="1"/>
        <d v="2025-07-23T09:39:00" u="1"/>
        <d v="2025-07-23T09:41:00" u="1"/>
        <d v="2025-07-23T08:54:00" u="1"/>
        <d v="2025-07-23T04:36:00" u="1"/>
        <d v="2025-07-23T03:55:00" u="1"/>
        <d v="2025-07-23T08:26:00" u="1"/>
        <d v="2025-07-23T08:38:00" u="1"/>
        <d v="2025-07-23T06:06:00" u="1"/>
        <d v="2025-07-23T04:22:00" u="1"/>
        <d v="2025-07-23T06:50:00" u="1"/>
        <d v="2025-07-23T02:46:00" u="1"/>
        <d v="2025-07-23T05:26:00" u="1"/>
        <d v="2025-07-23T11:54:00" u="1"/>
        <d v="2025-07-23T10:39:00" u="1"/>
        <d v="2025-07-23T12:12:00" u="1"/>
        <d v="2025-07-22T12:08:00" u="1"/>
        <d v="2025-07-23T16:54:00" u="1"/>
        <d v="2025-07-23T15:38:00" u="1"/>
        <d v="2025-07-22T02:39:00" u="1"/>
        <d v="2025-07-22T06:50:00" u="1"/>
        <d v="2025-07-23T10:12:00" u="1"/>
        <d v="2025-07-23T03:50:00" u="1"/>
        <d v="2025-07-23T10:29:00" u="1"/>
        <d v="2025-07-23T03:43:00" u="1"/>
        <d v="2025-07-23T11:30:00" u="1"/>
        <d v="2025-07-23T14:58:00" u="1"/>
        <d v="2025-06-14T18:20:00" u="1"/>
        <d v="2025-07-07T17:37:00" u="1"/>
        <d v="2025-07-16T18:14:00" u="1"/>
        <d v="2025-06-08T06:20:00" u="1"/>
        <d v="2025-07-08T10:21:00" u="1"/>
        <d v="2025-07-21T19:05:00" u="1"/>
        <d v="2025-07-15T14:48:00" u="1"/>
        <d v="2025-07-22T07:17:00" u="1"/>
        <d v="2025-07-22T16:03:00" u="1"/>
        <d v="2025-07-22T16:06:00" u="1"/>
        <d v="2025-07-22T16:19:00" u="1"/>
        <d v="2025-07-21T15:38:00" u="1"/>
        <d v="2025-07-22T14:31:00" u="1"/>
        <d v="2025-07-22T14:44:00" u="1"/>
        <d v="2025-07-22T14:41:00" u="1"/>
        <d v="2025-07-17T11:38:00" u="1"/>
        <d v="2025-07-22T10:20:00" u="1"/>
        <d v="2025-07-22T10:44:00" u="1"/>
        <d v="2025-07-22T14:19:00" u="1"/>
        <d v="2025-07-22T17:49:00" u="1"/>
        <d v="2025-07-21T15:06:00" u="1"/>
        <d v="2025-07-22T13:11:00" u="1"/>
        <d v="2025-07-22T14:18:00" u="1"/>
        <d v="2025-07-22T09:39:00" u="1"/>
        <d v="2025-07-22T08:31:00" u="1"/>
        <d v="2025-07-21T07:51:00" u="1"/>
        <d v="2025-07-18T18:40:00" u="1"/>
        <d v="2025-07-19T20:15:00" u="1"/>
        <d v="2025-07-22T14:56:00" u="1"/>
        <d v="2025-07-22T18:50:00" u="1"/>
        <d v="2025-07-22T11:47:00" u="1"/>
        <d v="2025-07-22T04:43:00" u="1"/>
        <d v="2025-07-22T04:02:00" u="1"/>
        <d v="2025-07-22T09:55:00" u="1"/>
        <d v="2025-07-22T08:28:00" u="1"/>
        <d v="2025-07-22T08:38:00" u="1"/>
        <d v="2025-07-22T03:02:00" u="1"/>
        <d v="2025-07-22T01:56:00" u="1"/>
        <d v="2025-07-22T18:44:00" u="1"/>
        <d v="2025-07-17T11:34:00" u="1"/>
        <d v="2025-07-22T09:31:00" u="1"/>
        <d v="2025-07-22T09:50:00" u="1"/>
        <d v="2025-07-22T09:23:00" u="1"/>
        <d v="2025-07-22T09:26:00" u="1"/>
        <d v="2025-07-22T09:29:00" u="1"/>
        <d v="2025-07-07T08:49:00" u="1"/>
        <d v="2025-07-22T07:15:00" u="1"/>
        <d v="2025-07-18T07:35:00" u="1"/>
        <d v="2025-07-22T10:00:00" u="1"/>
        <d v="2025-07-22T06:13:00" u="1"/>
        <d v="2025-07-18T16:50:00" u="1"/>
        <d v="2025-07-22T12:36:00" u="1"/>
        <d v="2025-07-01T11:42:00" u="1"/>
        <d v="2025-07-22T08:06:00" u="1"/>
        <d v="2025-07-22T09:57:00" u="1"/>
        <d v="2025-07-21T11:53:00" u="1"/>
        <d v="2025-07-21T01:43:00" u="1"/>
        <d v="2025-03-17T13:10:00" u="1"/>
        <d v="2025-07-22T03:53:00" u="1"/>
        <d v="2025-07-22T01:25:00" u="1"/>
        <d v="2025-07-22T04:45:00" u="1"/>
        <d v="2025-07-22T07:29:00" u="1"/>
        <d v="2025-07-22T11:36:00" u="1"/>
        <d v="2025-07-22T12:38:00" u="1"/>
        <d v="2025-07-22T09:02:00" u="1"/>
        <d v="2025-07-21T17:00:00" u="1"/>
        <d v="2025-07-22T06:44:00" u="1"/>
        <d v="2025-07-07T15:24:00" u="1"/>
        <d v="2025-07-07T15:40:00" u="1"/>
        <d v="2025-07-22T07:00:00" u="1"/>
        <d v="2025-06-12T13:53:00" u="1"/>
        <d v="2025-07-22T05:06:00" u="1"/>
        <d v="2025-07-22T01:36:00" u="1"/>
        <d v="2025-07-22T12:10:00" u="1"/>
        <d v="2025-07-22T12:28:00" u="1"/>
        <d v="2025-07-22T08:41:00" u="1"/>
        <d v="2025-07-14T12:05:00" u="1"/>
        <d v="2025-05-27T15:57:00" u="1"/>
        <d v="2025-07-22T10:45:00" u="1"/>
        <d v="2025-07-16T12:07:00" u="1"/>
        <d v="2025-07-22T13:32:00" u="1"/>
        <d v="2025-07-17T15:32:00" u="1"/>
        <d v="2025-07-17T15:34:00" u="1"/>
        <d v="2025-07-15T14:40:00" u="1"/>
        <d v="2025-07-18T14:55:00" u="1"/>
        <d v="2025-07-16T10:37:00" u="1"/>
        <d v="2025-07-21T11:58:00" u="1"/>
        <d v="2025-07-21T09:54:00" u="1"/>
        <d v="2025-07-20T23:56:00" u="1"/>
        <d v="2025-07-18T16:48:00" u="1"/>
        <d v="2025-07-18T15:45:00" u="1"/>
        <d v="2025-07-18T15:10:00" u="1"/>
        <d v="2025-07-18T14:28:00" u="1"/>
        <d v="2025-07-21T17:43:00" u="1"/>
        <d v="2025-07-18T16:49:00" u="1"/>
        <d v="2025-07-18T12:46:00" u="1"/>
        <d v="2025-07-18T17:31:00" u="1"/>
        <d v="2025-07-21T11:22:00" u="1"/>
        <d v="2025-07-16T17:27:00" u="1"/>
        <d v="2025-07-21T14:28:00" u="1"/>
        <d v="2025-07-21T16:08:00" u="1"/>
        <d v="2025-07-21T09:17:00" u="1"/>
        <d v="2025-07-21T12:07:00" u="1"/>
        <d v="2025-07-21T11:24:00" u="1"/>
        <d v="2025-07-21T14:36:00" u="1"/>
        <d v="2025-07-17T09:43:00" u="1"/>
        <d v="2025-07-17T02:43:00" u="1"/>
        <d v="2025-07-21T06:45:00" u="1"/>
        <d v="2025-07-21T09:26:00" u="1"/>
        <d v="2025-07-21T08:31:00" u="1"/>
        <d v="2025-07-21T15:59:00" u="1"/>
        <d v="2025-07-18T10:22:00" u="1"/>
        <d v="2025-07-18T10:21:00" u="1"/>
        <d v="2025-07-18T12:39:00" u="1"/>
        <d v="2025-07-21T14:22:00" u="1"/>
        <d v="2025-07-17T08:08:00" u="1"/>
        <d v="2025-07-19T08:27:00" u="1"/>
        <d v="2025-07-18T17:20:00" u="1"/>
        <d v="2025-07-15T14:07:00" u="1"/>
        <d v="2025-07-15T17:08:00" u="1"/>
        <d v="2025-07-15T08:32:00" u="1"/>
        <d v="2025-07-21T14:34:00" u="1"/>
        <d v="2025-07-21T19:24:00" u="1"/>
        <d v="2025-07-15T11:30:00" u="1"/>
        <d v="2025-07-21T15:39:00" u="1"/>
        <d v="2025-07-18T13:50:00" u="1"/>
        <d v="2025-07-18T14:25:00" u="1"/>
        <d v="2025-07-17T14:10:00" u="1"/>
        <d v="2025-07-17T14:34:00" u="1"/>
        <d v="2025-07-21T14:29:00" u="1"/>
        <d v="2025-07-17T06:33:00" u="1"/>
        <d v="2025-07-17T13:12:00" u="1"/>
        <d v="2025-07-17T13:20:00" u="1"/>
        <d v="2025-07-18T15:11:00" u="1"/>
        <d v="2025-07-07T15:00:00" u="1"/>
        <d v="2025-07-17T07:48:00" u="1"/>
        <d v="2025-07-18T16:34:00" u="1"/>
        <d v="2025-07-11T15:32:00" u="1"/>
        <d v="2025-07-21T19:42:00" u="1"/>
        <d v="2025-07-18T15:09:00" u="1"/>
        <d v="2025-07-21T09:58:00" u="1"/>
        <d v="2025-07-18T12:42:00" u="1"/>
        <d v="2025-07-08T11:42:00" u="1"/>
        <d v="2025-07-08T11:21:00" u="1"/>
        <d v="2025-07-15T11:43:00" u="1"/>
        <d v="2025-07-08T11:28:00" u="1"/>
        <d v="2025-07-09T12:10:00" u="1"/>
        <d v="2025-07-21T10:15:00" u="1"/>
        <d v="2025-07-15T11:58:00" u="1"/>
        <d v="2025-07-15T12:28:00" u="1"/>
        <d v="2025-07-17T10:45:00" u="1"/>
        <d v="2025-07-17T12:31:00" u="1"/>
        <d v="2025-07-21T14:32:00" u="1"/>
        <d v="2025-07-21T14:26:00" u="1"/>
        <d v="2025-07-21T14:23:00" u="1"/>
        <d v="2025-07-21T11:41:00" u="1"/>
        <d v="2025-07-21T10:39:00" u="1"/>
        <d v="2025-07-17T17:16:00" u="1"/>
        <d v="2025-07-17T17:14:00" u="1"/>
        <d v="2025-07-21T11:30:00" u="1"/>
        <d v="2025-07-21T18:05:00" u="1"/>
        <d v="2025-07-21T17:16:00" u="1"/>
        <d v="2025-07-18T11:06:00" u="1"/>
        <d v="2025-07-18T11:07:00" u="1"/>
        <d v="2025-07-21T14:53:00" u="1"/>
        <d v="2025-07-21T09:36:00" u="1"/>
        <d v="2025-07-21T12:30:00" u="1"/>
        <d v="2025-07-21T16:42:00" u="1"/>
        <d v="2025-07-21T18:19:00" u="1"/>
        <d v="2025-07-18T13:47:00" u="1"/>
        <d v="2025-07-17T11:31:00" u="1"/>
        <d v="2025-07-15T14:15:00" u="1"/>
        <d v="2025-07-15T14:14:00" u="1"/>
        <d v="2025-07-15T09:53:00" u="1"/>
        <d v="2025-07-20T18:23:00" u="1"/>
        <d v="2025-07-21T09:09:00" u="1"/>
        <d v="2025-07-17T10:38:00" u="1"/>
        <d v="2025-07-16T15:28:00" u="1"/>
        <d v="2025-07-15T08:40:00" u="1"/>
        <d v="2025-07-21T10:22:00" u="1"/>
        <d v="2025-07-21T10:05:00" u="1"/>
        <d v="2025-07-21T10:12:00" u="1"/>
        <d v="2025-07-21T09:51:00" u="1"/>
        <d v="2025-07-21T09:53:00" u="1"/>
        <d v="2025-07-21T09:55:00" u="1"/>
        <d v="2025-07-21T09:56:00" u="1"/>
        <d v="2025-07-21T10:00:00" u="1"/>
        <d v="2025-07-21T10:02:00" u="1"/>
        <d v="2025-07-21T10:04:00" u="1"/>
        <d v="2025-07-18T14:36:00" u="1"/>
        <d v="2025-07-21T08:58:00" u="1"/>
        <d v="2025-06-27T15:03:00" u="1"/>
        <d v="2025-07-21T10:14:00" u="1"/>
        <d v="2025-07-18T16:38:00" u="1"/>
        <d v="2025-07-21T12:23:00" u="1"/>
        <d v="2025-07-21T12:39:00" u="1"/>
        <d v="2025-07-21T12:22:00" u="1"/>
        <d v="2025-07-21T16:51:00" u="1"/>
        <d v="2025-07-18T15:15:00" u="1"/>
        <d v="2025-07-19T09:11:00" u="1"/>
        <d v="2025-07-19T14:49:00" u="1"/>
        <d v="2025-07-18T10:33:00" u="1"/>
        <d v="2025-07-18T17:56:00" u="1"/>
        <d v="2025-07-21T11:50:00" u="1"/>
        <d v="2025-07-21T11:17:00" u="1"/>
        <d v="2025-07-21T13:21:00" u="1"/>
        <d v="2025-07-21T11:47:00" u="1"/>
        <d v="2025-07-15T18:42:00" u="1"/>
        <d v="2025-07-15T21:16:00" u="1"/>
        <d v="2025-07-16T12:44:00" u="1"/>
        <d v="2025-06-25T18:28:00" u="1"/>
        <d v="2025-07-11T16:14:00" u="1"/>
        <d v="2025-07-13T15:01:00" u="1"/>
        <d v="2025-06-30T14:40:00" u="1"/>
        <d v="2025-07-02T10:37:00" u="1"/>
        <d v="2025-07-16T18:16:00" u="1"/>
        <d v="2025-07-17T18:46:00" u="1"/>
        <d v="2025-07-17T17:38:00" u="1"/>
        <d v="2025-07-15T07:41:00" u="1"/>
        <d v="2025-07-21T19:12:00" u="1"/>
        <d v="2025-07-10T15:51:00" u="1"/>
        <d v="2025-07-21T06:08:00" u="1"/>
        <d v="2025-07-21T06:15:00" u="1"/>
        <d v="2025-07-21T09:29:00" u="1"/>
        <d v="2025-07-21T04:56:00" u="1"/>
        <d v="2025-07-21T03:17:00" u="1"/>
        <d v="2025-07-16T15:31:00" u="1"/>
        <d v="2025-07-18T17:29:00" u="1"/>
        <d v="2025-07-13T15:45:00" u="1"/>
        <d v="2025-05-25T21:49:00" u="1"/>
        <d v="2025-07-10T11:42:00" u="1"/>
        <d v="2025-07-21T15:18:00" u="1"/>
        <d v="2025-07-21T03:49:00" u="1"/>
        <d v="2025-07-14T15:43:00" u="1"/>
        <d v="2025-07-09T11:37:00" u="1"/>
        <d v="2025-07-21T11:14:00" u="1"/>
        <d v="2025-07-18T15:35:00" u="1"/>
        <d v="2025-07-19T15:40:00" u="1"/>
        <d v="2025-07-21T14:44:00" u="1"/>
        <d v="2025-07-21T14:49:00" u="1"/>
        <d v="2025-07-21T02:49:00" u="1"/>
        <d v="2025-07-21T07:56:00" u="1"/>
        <d v="2025-07-21T09:42:00" u="1"/>
        <d v="2025-07-21T11:36:00" u="1"/>
        <d v="2025-07-21T02:05:00" u="1"/>
        <d v="2025-07-21T10:29:00" u="1"/>
        <d v="2025-07-21T10:17:00" u="1"/>
        <d v="2025-07-21T03:05:00" u="1"/>
        <d v="2025-07-21T04:51:00" u="1"/>
        <d v="2025-07-21T02:52:00" u="1"/>
        <d v="2025-07-21T03:19:00" u="1"/>
        <d v="2025-07-19T11:15:00" u="1"/>
        <d v="2025-07-21T08:50:00" u="1"/>
        <d v="2025-07-16T10:00:00" u="1"/>
        <d v="2025-07-11T09:15:00" u="1"/>
        <d v="2025-07-16T11:18:00" u="1"/>
        <d v="2025-07-21T15:08:00" u="1"/>
        <d v="2025-06-02T12:01:00" u="1"/>
        <d v="2025-07-21T16:30:00" u="1"/>
        <d v="2025-07-21T20:52:00" u="1"/>
        <d v="2025-07-21T16:12:00" u="1"/>
        <d v="2025-07-18T17:24:00" u="1"/>
        <d v="2025-07-07T23:15:00" u="1"/>
        <d v="2025-07-07T22:05:00" u="1"/>
        <d v="2025-07-07T22:00:00" u="1"/>
        <d v="2025-07-08T13:54:00" u="1"/>
        <d v="2025-07-01T11:47:00" u="1"/>
        <d v="2025-05-06T09:09:00" u="1"/>
        <d v="2025-05-06T09:06:00" u="1"/>
        <d v="2025-05-02T13:07:00" u="1"/>
        <d v="2025-06-27T11:46:00" u="1"/>
        <d v="2025-05-15T12:09:00" u="1"/>
        <d v="2025-03-28T18:03:00" u="1"/>
        <d v="2025-07-21T10:11:00" u="1"/>
        <d v="2025-07-02T14:05:00" u="1"/>
        <d v="2025-07-11T15:14:00" u="1"/>
        <d v="2025-07-08T10:08:00" u="1"/>
        <d v="2025-06-23T17:04:00" u="1"/>
        <d v="2025-06-27T11:36:00" u="1"/>
        <d v="2025-07-20T06:24:00" u="1"/>
        <d v="2025-07-20T11:34:00" u="1"/>
        <d v="2025-07-20T08:47:00" u="1"/>
        <d v="2025-07-20T08:53:00" u="1"/>
        <d v="2025-07-21T05:23:00" u="1"/>
        <d v="2025-07-20T15:29:00" u="1"/>
        <d v="2025-07-21T04:15:00" u="1"/>
        <d v="2025-06-25T06:36:00" u="1"/>
        <d v="2025-05-15T10:31:00" u="1"/>
        <d v="2025-05-07T14:41:00" u="1"/>
        <d v="2025-05-18T12:25:00" u="1"/>
        <d v="2025-07-17T07:31:00" u="1"/>
        <d v="2025-07-17T08:05:00" u="1"/>
        <d v="2025-07-21T18:35:00" u="1"/>
        <d v="2025-03-26T17:51:00" u="1"/>
        <d v="2025-07-21T18:36:00" u="1"/>
        <d v="2025-05-06T17:07:00" u="1"/>
        <d v="2025-07-21T14:30:00" u="1"/>
        <d v="2025-06-24T11:20:00" u="1"/>
        <d v="2025-04-17T18:38:00" u="1"/>
        <d v="2025-06-27T10:38:00" u="1"/>
        <d v="2025-07-01T20:05:00" u="1"/>
        <d v="2025-07-21T12:00:00" u="1"/>
        <d v="2025-07-21T14:25:00" u="1"/>
        <d v="2025-06-13T16:10:00" u="1"/>
        <d v="2025-07-07T17:03:00" u="1"/>
        <d v="2025-07-07T16:42:00" u="1"/>
        <d v="2025-07-02T12:35:00" u="1"/>
        <d v="2025-07-03T11:36:00" u="1"/>
        <d v="2025-06-02T14:03:00" u="1"/>
        <d v="2025-06-13T16:03:00" u="1"/>
        <d v="2025-07-02T16:46:00" u="1"/>
        <d v="2025-07-16T21:23:00" u="1"/>
        <d v="2025-07-04T11:55:00" u="1"/>
        <d v="2024-11-13T13:33:00" u="1"/>
        <d v="2024-11-19T06:27:00" u="1"/>
        <d v="2025-07-18T17:17:00" u="1"/>
        <d v="2025-06-18T08:41:00" u="1"/>
        <d v="2025-04-07T13:41:00" u="1"/>
        <d v="2025-07-17T17:45:00" u="1"/>
        <d v="2025-07-18T17:26:00" u="1"/>
        <d v="2025-06-30T13:05:00" u="1"/>
        <d v="2025-07-14T11:50:00" u="1"/>
        <d v="2025-07-16T15:22:00" u="1"/>
        <d v="2025-07-16T19:12:00" u="1"/>
        <d v="2025-07-17T15:13:00" u="1"/>
        <d v="2025-07-18T09:02:00" u="1"/>
        <d v="2025-07-02T13:40:00" u="1"/>
        <d v="2025-07-18T10:47:00" u="1"/>
        <d v="2025-07-15T12:17:00" u="1"/>
        <d v="2025-07-03T20:05:00" u="1"/>
        <d v="2025-07-08T13:01:00" u="1"/>
        <d v="2025-07-18T16:47:00" u="1"/>
        <d v="2025-07-16T18:40:00" u="1"/>
        <d v="2025-07-16T16:58:00" u="1"/>
        <d v="2025-07-16T11:02:00" u="1"/>
        <d v="2025-07-16T15:42:00" u="1"/>
        <d v="2025-07-18T17:36:00" u="1"/>
        <d v="2025-07-18T11:20:00" u="1"/>
        <d v="2025-07-18T11:55:00" u="1"/>
        <d v="2025-07-05T05:51:00" u="1"/>
        <d v="2025-07-14T07:09:00" u="1"/>
        <d v="2025-07-14T10:40:00" u="1"/>
        <d v="2025-07-14T14:24:00" u="1"/>
        <d v="2025-07-15T18:31:00" u="1"/>
        <d v="2025-07-16T10:43:00" u="1"/>
        <d v="2025-07-11T16:41:00" u="1"/>
        <d v="2025-07-10T06:46:00" u="1"/>
        <d v="2025-07-10T06:49:00" u="1"/>
        <d v="2025-07-10T15:00:00" u="1"/>
        <d v="2025-07-18T14:32:00" u="1"/>
        <d v="2025-07-18T14:37:00" u="1"/>
        <d v="2025-07-18T14:52:00" u="1"/>
        <d v="2025-07-18T12:22:00" u="1"/>
        <d v="2025-07-04T14:07:00" u="1"/>
        <d v="2025-07-14T20:04:00" u="1"/>
        <d v="2025-07-14T17:01:00" u="1"/>
        <d v="2025-07-18T16:58:00" u="1"/>
        <d v="2025-07-17T18:37:00" u="1"/>
        <d v="2025-07-16T14:59:00" u="1"/>
        <d v="2025-07-18T15:25:00" u="1"/>
        <d v="2025-07-18T11:33:00" u="1"/>
        <d v="2025-07-18T16:52:00" u="1"/>
        <d v="2025-07-15T10:22:00" u="1"/>
        <d v="2025-07-16T21:22:00" u="1"/>
        <d v="2025-07-16T15:04:00" u="1"/>
        <d v="2025-07-16T17:50:00" u="1"/>
        <d v="2025-07-18T19:03:00" u="1"/>
        <d v="2025-07-17T12:09:00" u="1"/>
        <d v="2025-07-11T15:00:00" u="1"/>
        <d v="2025-07-07T15:10:00" u="1"/>
        <d v="2025-07-17T17:48:00" u="1"/>
        <d v="2025-07-15T10:17:00" u="1"/>
        <d v="2025-07-17T11:30:00" u="1"/>
        <d v="2025-07-15T13:57:00" u="1"/>
        <d v="2025-07-17T08:43:00" u="1"/>
        <d v="2025-07-18T13:21:00" u="1"/>
        <d v="2025-07-17T13:53:00" u="1"/>
        <d v="2025-07-15T08:11:00" u="1"/>
        <d v="2025-07-15T08:44:00" u="1"/>
        <d v="2025-07-16T07:49:00" u="1"/>
        <d v="2025-07-16T09:30:00" u="1"/>
        <d v="2025-07-15T09:34:00" u="1"/>
        <d v="2025-07-16T10:09:00" u="1"/>
        <d v="2025-07-15T09:33:00" u="1"/>
        <d v="2025-07-15T09:26:00" u="1"/>
        <d v="2025-07-17T17:28:00" u="1"/>
        <d v="2025-07-17T13:29:00" u="1"/>
        <d v="2025-07-17T13:49:00" u="1"/>
        <d v="2025-07-18T15:05:00" u="1"/>
        <d v="2025-07-18T15:46:00" u="1"/>
        <d v="2025-07-16T11:59:00" u="1"/>
        <d v="2025-07-19T11:23:00" u="1"/>
        <d v="2025-07-07T23:46:00" u="1"/>
        <d v="2025-07-09T17:11:00" u="1"/>
        <d v="2025-07-09T15:42:00" u="1"/>
        <d v="2025-07-16T09:48:00" u="1"/>
        <d v="2025-07-10T10:57:00" u="1"/>
        <d v="2025-07-09T17:46:00" u="1"/>
        <d v="2025-07-13T14:06:00" u="1"/>
        <d v="2025-07-13T13:36:00" u="1"/>
        <d v="2025-07-12T12:36:00" u="1"/>
        <d v="2025-07-11T10:49:00" u="1"/>
        <d v="2025-07-11T10:48:00" u="1"/>
        <d v="2025-06-27T10:35:00" u="1"/>
        <d v="2025-07-11T16:19:00" u="1"/>
        <d v="2025-07-17T22:05:00" u="1"/>
        <d v="2025-05-23T10:32:00" u="1"/>
        <d v="2025-07-15T20:33:00" u="1"/>
        <d v="2025-07-20T04:11:00" u="1"/>
        <d v="2025-07-17T17:44:00" u="1"/>
        <d v="2025-07-16T17:18:00" u="1"/>
        <d v="2025-07-18T19:40:00" u="1"/>
        <d v="2025-07-19T10:07:00" u="1"/>
        <d v="2025-07-17T08:36:00" u="1"/>
        <d v="2025-07-19T12:47:00" u="1"/>
        <d v="2025-07-19T02:12:00" u="1"/>
        <d v="2025-07-17T17:43:00" u="1"/>
        <d v="2025-07-18T16:25:00" u="1"/>
        <d v="2025-07-18T11:26:00" u="1"/>
        <d v="2025-07-16T15:02:00" u="1"/>
        <d v="2025-06-26T13:45:00" u="1"/>
        <d v="2025-07-18T19:30:00" u="1"/>
        <d v="2025-07-18T19:31:00" u="1"/>
        <d v="2025-07-15T12:58:00" u="1"/>
        <d v="2025-07-10T15:19:00" u="1"/>
        <d v="2025-07-10T14:38:00" u="1"/>
        <d v="2025-07-10T14:13:00" u="1"/>
        <d v="2025-07-10T12:48:00" u="1"/>
        <d v="2025-07-13T10:37:00" u="1"/>
        <d v="2025-07-13T10:22:00" u="1"/>
        <d v="2025-07-13T10:07:00" u="1"/>
        <d v="2025-07-12T22:22:00" u="1"/>
        <d v="2025-07-12T22:07:00" u="1"/>
        <d v="2025-07-12T16:47:00" u="1"/>
        <d v="2025-07-12T12:17:00" u="1"/>
        <d v="2025-07-12T12:02:00" u="1"/>
        <d v="2025-07-12T11:47:00" u="1"/>
        <d v="2025-07-12T11:27:00" u="1"/>
        <d v="2025-07-12T10:22:00" u="1"/>
        <d v="2025-07-12T10:07:00" u="1"/>
        <d v="2025-07-12T09:52:00" u="1"/>
        <d v="2025-07-12T09:36:00" u="1"/>
        <d v="2025-07-11T18:56:00" u="1"/>
        <d v="2025-07-11T15:09:00" u="1"/>
        <d v="2025-07-11T14:58:00" u="1"/>
        <d v="2025-07-11T14:07:00" u="1"/>
        <d v="2025-07-11T13:52:00" u="1"/>
        <d v="2025-07-11T13:42:00" u="1"/>
        <d v="2025-07-11T13:22:00" u="1"/>
        <d v="2025-07-11T12:48:00" u="1"/>
        <d v="2025-07-13T16:06:00" u="1"/>
        <d v="2025-07-13T13:47:00" u="1"/>
        <d v="2025-07-13T11:56:00" u="1"/>
        <d v="2025-07-09T17:26:00" u="1"/>
        <d v="2025-07-09T17:27:00" u="1"/>
        <d v="2025-07-14T21:42:00" u="1"/>
        <d v="2025-07-14T19:21:00" u="1"/>
        <d v="2025-07-10T10:48:00" u="1"/>
        <d v="2025-07-09T23:07:00" u="1"/>
        <d v="2025-07-09T10:47:00" u="1"/>
        <d v="2025-07-08T14:23:00" u="1"/>
        <d v="2025-07-08T00:02:00" u="1"/>
        <d v="2025-07-13T18:21:00" u="1"/>
        <d v="2025-07-13T18:11:00" u="1"/>
        <d v="2025-07-13T17:31:00" u="1"/>
        <d v="2025-07-13T17:17:00" u="1"/>
        <d v="2025-07-13T17:16:00" u="1"/>
        <d v="2025-07-09T15:27:00" u="1"/>
        <d v="2025-07-09T15:07:00" u="1"/>
        <d v="2025-07-09T14:38:00" u="1"/>
        <d v="2025-07-10T12:38:00" u="1"/>
        <d v="2025-07-14T18:38:00" u="1"/>
        <d v="2025-07-14T18:13:00" u="1"/>
        <d v="2025-07-14T18:03:00" u="1"/>
        <d v="2025-07-14T17:43:00" u="1"/>
        <d v="2025-07-14T17:02:00" u="1"/>
        <d v="2025-07-14T16:51:00" u="1"/>
        <d v="2025-07-14T16:29:00" u="1"/>
        <d v="2025-07-14T16:06:00" u="1"/>
        <d v="2025-07-14T15:31:00" u="1"/>
        <d v="2025-07-14T14:10:00" u="1"/>
        <d v="2025-07-14T14:05:00" u="1"/>
        <d v="2025-07-14T13:50:00" u="1"/>
        <d v="2025-07-14T13:35:00" u="1"/>
        <d v="2025-07-14T13:22:00" u="1"/>
        <d v="2025-07-14T13:08:00" u="1"/>
        <d v="2025-07-14T13:07:00" u="1"/>
        <d v="2025-07-14T12:57:00" u="1"/>
        <d v="2025-07-14T12:31:00" u="1"/>
        <d v="2025-07-14T10:49:00" u="1"/>
        <d v="2025-06-27T17:07:00" u="1"/>
        <d v="2025-07-01T18:18:00" u="1"/>
        <d v="2025-07-15T07:15:00" u="1"/>
        <d v="2025-03-25T16:00:00" u="1"/>
        <d v="2025-07-14T15:54:00" u="1"/>
        <d v="2025-07-18T13:36:00" u="1"/>
        <d v="2025-07-14T07:42:00" u="1"/>
        <d v="2025-07-16T13:19:00" u="1"/>
        <d v="2025-07-20T01:58:00" u="1"/>
        <d v="2025-07-18T16:36:00" u="1"/>
        <d v="2025-07-18T17:35:00" u="1"/>
        <d v="2025-07-20T11:46:00" u="1"/>
        <d v="2025-07-19T12:03:00" u="1"/>
        <d v="2025-07-15T14:26:00" u="1"/>
        <d v="2025-07-15T14:38:00" u="1"/>
        <d v="2025-07-07T18:36:00" u="1"/>
        <d v="2025-07-11T17:05:00" u="1"/>
        <d v="2025-07-18T21:32:00" u="1"/>
        <d v="2025-07-18T10:57:00" u="1"/>
        <d v="2025-07-14T10:36:00" u="1"/>
        <d v="2025-07-13T19:16:00" u="1"/>
        <d v="2025-07-09T12:32:00" u="1"/>
        <d v="2025-07-09T12:12:00" u="1"/>
        <d v="2025-07-09T12:13:00" u="1"/>
        <d v="2025-07-13T16:56:00" u="1"/>
        <d v="2025-07-14T23:11:00" u="1"/>
        <d v="2025-07-14T18:58:00" u="1"/>
        <d v="2025-07-13T13:56:00" u="1"/>
        <d v="2025-07-13T11:41:00" u="1"/>
        <d v="2025-07-13T11:11:00" u="1"/>
        <d v="2025-07-13T10:56:00" u="1"/>
        <d v="2025-07-13T12:51:00" u="1"/>
        <d v="2025-07-13T12:41:00" u="1"/>
        <d v="2025-07-11T12:22:00" u="1"/>
        <d v="2025-07-12T13:36:00" u="1"/>
        <d v="2025-07-11T10:34:00" u="1"/>
        <d v="2025-07-19T13:00:00" u="1"/>
        <d v="2025-07-20T13:00:00" u="1"/>
        <d v="2025-07-17T09:51:00" u="1"/>
        <d v="2025-07-18T17:34:00" u="1"/>
        <d v="2025-07-18T16:20:00" u="1"/>
        <d v="2025-07-16T12:36:00" u="1"/>
        <d v="2025-03-31T14:39:00" u="1"/>
        <d v="2025-07-16T16:05:00" u="1"/>
        <d v="2025-07-10T00:00:00" u="1"/>
        <d v="2025-07-13T18:49:00" u="1"/>
        <d v="2025-06-16T19:04:00" u="1"/>
        <d v="2025-06-22T09:48:00" u="1"/>
        <d v="2025-07-18T09:24:00" u="1"/>
        <d v="2025-07-14T15:36:00" u="1"/>
        <d v="2025-07-15T11:24:00" u="1"/>
        <d v="2025-07-15T10:11:00" u="1"/>
        <d v="2025-07-15T13:45:00" u="1"/>
        <d v="2025-07-18T09:11:00" u="1"/>
        <d v="2025-07-16T10:23:00" u="1"/>
        <d v="2025-07-16T11:00:00" u="1"/>
        <d v="2025-07-17T09:35:00" u="1"/>
        <d v="2025-07-17T12:21:00" u="1"/>
        <d v="2025-07-17T12:03:00" u="1"/>
        <d v="2025-07-17T12:05:00" u="1"/>
        <d v="2025-07-15T17:53:00" u="1"/>
        <d v="2025-07-15T10:32:00" u="1"/>
        <d v="2025-07-17T13:56:00" u="1"/>
        <d v="2025-07-16T15:30:00" u="1"/>
        <d v="2025-07-17T15:50:00" u="1"/>
        <d v="2025-07-16T11:31:00" u="1"/>
        <d v="2025-07-17T14:48:00" u="1"/>
        <d v="2025-07-15T11:46:00" u="1"/>
        <d v="2025-07-16T18:18:00" u="1"/>
        <d v="2025-07-16T14:05:00" u="1"/>
        <d v="2025-07-16T12:12:00" u="1"/>
        <d v="2025-07-17T10:03:00" u="1"/>
        <d v="2025-07-17T09:59:00" u="1"/>
        <d v="2025-07-17T09:58:00" u="1"/>
        <d v="2025-07-15T14:11:00" u="1"/>
        <d v="2025-07-15T11:45:00" u="1"/>
        <d v="2025-07-16T09:33:00" u="1"/>
        <d v="2025-07-17T09:14:00" u="1"/>
        <d v="2025-07-17T18:36:00" u="1"/>
        <d v="2025-07-17T14:56:00" u="1"/>
        <d v="2025-07-15T13:20:00" u="1"/>
        <d v="2025-07-15T21:46:00" u="1"/>
        <d v="2025-07-15T08:54:00" u="1"/>
        <d v="2025-07-17T12:15:00" u="1"/>
        <d v="2025-07-17T18:43:00" u="1"/>
        <d v="2025-07-09T00:00:00" u="1"/>
        <d v="2025-07-16T13:05:00" u="1"/>
        <d v="2025-07-17T08:48:00" u="1"/>
        <d v="2025-07-16T15:33:00" u="1"/>
        <d v="2025-07-16T15:40:00" u="1"/>
        <d v="2025-07-17T12:44:00" u="1"/>
        <d v="2025-07-17T15:53:00" u="1"/>
        <d v="2025-07-17T13:28:00" u="1"/>
        <d v="2025-07-17T12:35:00" u="1"/>
        <d v="2025-07-17T12:28:00" u="1"/>
        <d v="2025-07-17T21:34:00" u="1"/>
        <d v="2025-07-16T08:14:00" u="1"/>
        <d v="2025-07-15T11:37:00" u="1"/>
        <d v="2025-07-16T11:32:00" u="1"/>
        <d v="2025-06-23T11:23:00" u="1"/>
        <d v="2025-07-16T08:37:00" u="1"/>
        <d v="2025-07-17T10:43:00" u="1"/>
        <d v="2025-07-04T17:50:00" u="1"/>
        <d v="2025-07-17T08:22:00" u="1"/>
        <d v="2025-07-17T19:36:00" u="1"/>
        <d v="2025-07-07T19:05:00" u="1"/>
        <d v="2025-06-24T13:30:00" u="1"/>
        <d v="2025-07-16T19:57:00" u="1"/>
        <d v="2025-07-17T11:12:00" u="1"/>
        <d v="2025-07-17T11:20:00" u="1"/>
        <d v="2025-07-16T19:16:00" u="1"/>
        <d v="2025-07-17T10:35:00" u="1"/>
        <d v="2025-07-17T19:32:00" u="1"/>
        <d v="2025-07-17T18:21:00" u="1"/>
        <d v="2025-07-17T20:02:00" u="1"/>
        <d v="2025-06-23T14:58:00" u="1"/>
        <d v="2025-07-07T14:59:00" u="1"/>
        <d v="2025-07-17T19:50:00" u="1"/>
        <d v="2025-07-17T14:13:00" u="1"/>
        <d v="2025-07-17T10:53:00" u="1"/>
        <d v="2025-07-17T09:18:00" u="1"/>
        <d v="2025-07-03T11:10:00" u="1"/>
        <d v="2025-07-17T16:52:00" u="1"/>
        <d v="2025-07-17T14:55:00" u="1"/>
        <d v="2025-07-17T20:30:00" u="1"/>
        <d v="2025-07-12T14:41:00" u="1"/>
        <d v="2025-07-17T13:00:00" u="1"/>
        <d v="2025-07-17T12:19:00" u="1"/>
        <d v="2025-06-23T20:00:00" u="1"/>
        <d v="2025-07-04T14:18:00" u="1"/>
        <d v="2025-07-17T11:16:00" u="1"/>
        <d v="2025-07-15T11:53:00" u="1"/>
        <d v="2025-07-15T12:25:00" u="1"/>
        <d v="2025-07-16T18:35:00" u="1"/>
        <d v="2025-07-16T17:51:00" u="1"/>
        <d v="2025-07-16T17:26:00" u="1"/>
        <d v="2025-07-16T12:26:00" u="1"/>
        <d v="2025-07-16T11:53:00" u="1"/>
        <d v="2025-07-15T12:38:00" u="1"/>
        <d v="2025-07-16T11:14:00" u="1"/>
        <d v="2025-07-10T16:41:00" u="1"/>
        <d v="2025-07-11T07:28:00" u="1"/>
        <d v="2025-07-11T07:50:00" u="1"/>
        <d v="2025-07-11T08:40:00" u="1"/>
        <d v="2025-07-14T13:28:00" u="1"/>
        <d v="2025-07-14T14:07:00" u="1"/>
        <d v="2025-07-14T12:46:00" u="1"/>
        <d v="2025-07-16T15:47:00" u="1"/>
        <d v="2025-07-14T10:20:00" u="1"/>
        <d v="2025-07-15T13:30:00" u="1"/>
        <d v="2025-07-11T12:03:00" u="1"/>
        <d v="2025-07-14T12:08:00" u="1"/>
        <d v="2025-07-14T12:33:00" u="1"/>
        <d v="2025-07-08T09:58:00" u="1"/>
        <d v="2025-07-11T17:04:00" u="1"/>
        <d v="2025-07-14T07:28:00" u="1"/>
        <d v="2025-07-16T16:23:00" u="1"/>
        <d v="2025-07-15T08:55:00" u="1"/>
        <d v="2025-07-15T14:29:00" u="1"/>
        <d v="2025-07-16T06:36:00" u="1"/>
        <d v="2025-07-14T06:29:00" u="1"/>
        <d v="2025-07-15T12:40:00" u="1"/>
        <d v="2025-07-15T12:35:00" u="1"/>
        <d v="2025-07-15T22:12:00" u="1"/>
        <d v="2025-07-16T19:30:00" u="1"/>
        <d v="2025-07-16T10:38:00" u="1"/>
        <d v="2025-07-03T16:05:00" u="1"/>
        <d v="2025-07-15T09:05:00" u="1"/>
        <d v="2025-07-16T14:46:00" u="1"/>
        <d v="2025-07-16T16:13:00" u="1"/>
        <d v="2025-07-15T10:29:00" u="1"/>
        <d v="2025-07-16T16:21:00" u="1"/>
        <d v="2025-07-16T09:20:00" u="1"/>
        <d v="2025-07-16T08:54:00" u="1"/>
        <d v="2025-07-04T08:09:00" u="1"/>
        <d v="2025-07-08T13:50:00" u="1"/>
        <d v="2025-07-08T09:08:00" u="1"/>
        <d v="2025-07-08T09:11:00" u="1"/>
        <d v="2025-07-03T07:12:00" u="1"/>
        <d v="2025-07-01T07:47:00" u="1"/>
        <d v="2025-07-15T08:27:00" u="1"/>
        <d v="2025-07-15T08:38:00" u="1"/>
        <d v="2025-07-15T07:55:00" u="1"/>
        <d v="2025-07-16T15:07:00" u="1"/>
        <d v="2025-07-15T13:52:00" u="1"/>
        <d v="2025-07-15T13:53:00" u="1"/>
        <d v="2025-07-16T18:22:00" u="1"/>
        <d v="2025-05-09T13:59:00" u="1"/>
        <d v="2025-07-14T13:11:00" u="1"/>
        <d v="2025-07-16T17:37:00" u="1"/>
        <d v="2025-07-16T17:38:00" u="1"/>
        <d v="2025-07-15T22:44:00" u="1"/>
        <d v="2025-07-16T09:01:00" u="1"/>
        <d v="2025-06-11T15:00:00" u="1"/>
        <d v="2025-07-16T16:45:00" u="1"/>
        <d v="2025-07-16T17:19:00" u="1"/>
        <d v="2025-07-16T18:55:00" u="1"/>
        <d v="2025-07-16T11:29:00" u="1"/>
        <d v="2025-07-16T10:06:00" u="1"/>
        <d v="2025-07-16T13:17:00" u="1"/>
        <d v="2025-07-16T16:33:00" u="1"/>
        <d v="2025-07-16T16:44:00" u="1"/>
        <d v="2025-04-03T18:40:00" u="1"/>
        <d v="2025-06-26T15:06:00" u="1"/>
        <d v="2025-06-13T17:02:00" u="1"/>
        <d v="2025-06-13T16:57:00" u="1"/>
        <d v="2025-06-13T17:10:00" u="1"/>
        <d v="2025-07-16T13:58:00" u="1"/>
        <d v="2025-07-16T16:00:00" u="1"/>
        <d v="2025-05-15T08:23:00" u="1"/>
        <d v="2025-07-16T10:25:00" u="1"/>
        <d v="2025-07-16T14:21:00" u="1"/>
        <d v="2025-07-02T11:33:00" u="1"/>
        <d v="2025-07-10T14:45:00" u="1"/>
        <d v="2025-07-10T14:49:00" u="1"/>
        <d v="2025-07-15T12:43:00" u="1"/>
        <d v="2025-07-16T15:46:00" u="1"/>
        <d v="2025-06-16T00:00:00" u="1"/>
        <d v="2025-07-10T12:10:00" u="1"/>
        <d v="2025-07-02T13:29:00" u="1"/>
        <d v="2025-07-11T09:49:00" u="1"/>
        <d v="2025-07-14T13:55:00" u="1"/>
        <d v="2025-07-15T14:55:00" u="1"/>
        <d v="2025-07-11T16:02:00" u="1"/>
        <d v="2025-07-15T09:38:00" u="1"/>
        <d v="2025-07-15T12:27:00" u="1"/>
        <d v="2025-07-15T13:15:00" u="1"/>
        <d v="2025-07-15T07:38:00" u="1"/>
        <d v="2025-07-15T12:16:00" u="1"/>
        <d v="2025-06-25T09:55:00" u="1"/>
        <d v="2025-07-04T15:49:00" u="1"/>
        <d v="2025-07-10T13:50:00" u="1"/>
        <d v="2025-07-10T13:53:00" u="1"/>
        <d v="2025-07-14T16:52:00" u="1"/>
        <d v="2025-07-11T20:24:00" u="1"/>
        <d v="2025-07-15T14:32:00" u="1"/>
        <d v="2025-07-14T09:41:00" u="1"/>
        <d v="2025-07-15T11:50:00" u="1"/>
        <d v="2025-07-15T06:28:00" u="1"/>
        <d v="2025-07-15T12:36:00" u="1"/>
        <d v="2025-07-15T12:42:00" u="1"/>
        <d v="2025-07-15T15:48:00" u="1"/>
        <d v="2025-07-15T14:50:00" u="1"/>
        <d v="2025-07-15T14:42:00" u="1"/>
        <d v="2025-07-15T10:52:00" u="1"/>
        <d v="2025-07-15T17:06:00" u="1"/>
        <d v="2025-07-15T17:09:00" u="1"/>
        <d v="2025-07-11T18:02:00" u="1"/>
        <d v="2025-07-14T09:05:00" u="1"/>
        <d v="2025-07-14T09:06:00" u="1"/>
        <d v="2025-07-10T14:05:00" u="1"/>
        <d v="2025-07-11T12:30:00" u="1"/>
        <d v="2025-07-07T16:57:00" u="1"/>
        <d v="2025-07-15T11:23:00" u="1"/>
        <d v="2025-07-15T11:22:00" u="1"/>
        <d v="2025-07-14T17:32:00" u="1"/>
        <d v="2025-07-04T14:59:00" u="1"/>
        <d v="2025-07-15T08:43:00" u="1"/>
        <d v="2025-07-15T09:10:00" u="1"/>
        <d v="2025-07-15T16:54:00" u="1"/>
        <d v="2025-07-08T15:29:00" u="1"/>
        <d v="2025-07-15T09:36:00" u="1"/>
        <d v="2025-07-06T15:56:00" u="1"/>
        <d v="2025-07-14T15:53:00" u="1"/>
        <d v="2025-07-12T19:00:00" u="1"/>
        <d v="2025-07-14T12:22:00" u="1"/>
        <d v="2025-07-14T12:11:00" u="1"/>
        <d v="2025-07-15T12:12:00" u="1"/>
        <d v="2025-07-08T12:13:00" u="1"/>
        <d v="2025-07-08T20:56:00" u="1"/>
        <d v="2025-06-30T14:08:00" u="1"/>
        <d v="2025-07-15T13:36:00" u="1"/>
        <d v="2025-06-30T14:03:00" u="1"/>
        <d v="2025-07-11T18:35:00" u="1"/>
        <d v="2025-06-26T19:57:00" u="1"/>
        <d v="2025-07-14T10:46:00" u="1"/>
        <d v="2025-07-15T09:30:00" u="1"/>
        <d v="2025-07-11T19:00:00" u="1"/>
        <d v="2025-06-17T17:36:00" u="1"/>
        <d v="2025-07-09T18:14:00" u="1"/>
        <d v="2025-07-07T11:50:00" u="1"/>
        <d v="2025-06-26T07:50:00" u="1"/>
        <d v="2025-07-03T16:52:00" u="1"/>
        <d v="2025-07-14T14:03:00" u="1"/>
        <d v="2025-07-03T17:30:00" u="1"/>
        <d v="2025-07-04T14:14:00" u="1"/>
        <d v="2025-07-08T16:34:00" u="1"/>
        <d v="2025-07-08T16:39:00" u="1"/>
        <d v="2025-07-04T14:34:00" u="1"/>
        <d v="2025-07-04T14:39:00" u="1"/>
        <d v="2025-07-04T14:48:00" u="1"/>
        <d v="2025-07-15T12:05:00" u="1"/>
        <d v="2025-07-02T14:37:00" u="1"/>
        <d v="2025-07-07T15:21:00" u="1"/>
        <d v="2025-07-14T14:38:00" u="1"/>
        <d v="2025-07-08T17:58:00" u="1"/>
        <d v="2025-07-15T10:41:00" u="1"/>
        <d v="2025-07-15T11:09:00" u="1"/>
        <d v="2025-07-11T09:13:00" u="1"/>
        <d v="2025-07-08T15:20:00" u="1"/>
        <d v="2025-07-11T14:15:00" u="1"/>
        <d v="2025-07-01T07:51:00" u="1"/>
        <d v="2025-07-08T18:03:00" u="1"/>
        <d v="2025-07-08T18:29:00" u="1"/>
        <d v="2025-07-14T16:18:00" u="1"/>
        <d v="2025-07-10T11:09:00" u="1"/>
        <d v="2025-07-01T22:00:00" u="1"/>
        <d v="2025-07-07T15:29:00" u="1"/>
        <d v="2025-07-04T13:24:00" u="1"/>
        <d v="2025-07-01T21:09:00" u="1"/>
        <d v="2025-07-04T17:59:00" u="1"/>
        <d v="2025-07-11T10:04:00" u="1"/>
        <d v="2025-07-15T18:18:00" u="1"/>
        <d v="2025-07-09T14:00:00" u="1"/>
        <d v="2025-07-08T18:36:00" u="1"/>
        <d v="2025-07-02T00:00:00" u="1"/>
        <d v="2025-07-15T09:43:00" u="1"/>
        <d v="2025-05-27T17:11:00" u="1"/>
        <d v="2025-07-15T10:03:00" u="1"/>
        <d v="2025-07-15T16:18:00" u="1"/>
        <d v="2025-07-14T15:42:00" u="1"/>
        <d v="2025-07-11T10:15:00" u="1"/>
        <d v="2025-07-14T15:25:00" u="1"/>
        <d v="2025-07-11T14:35:00" u="1"/>
        <d v="2025-07-02T10:45:00" u="1"/>
        <d v="2025-07-04T13:14:00" u="1"/>
        <d v="2025-07-01T16:49:00" u="1"/>
        <d v="2025-07-01T21:35:00" u="1"/>
        <d v="2025-07-15T09:44:00" u="1"/>
        <d v="2025-07-09T12:00:00" u="1"/>
        <d v="2025-07-04T13:19:00" u="1"/>
        <d v="2025-07-08T12:48:00" u="1"/>
        <d v="2025-07-04T17:52:00" u="1"/>
        <d v="2025-07-04T09:58:00" u="1"/>
        <d v="2025-07-01T22:02:00" u="1"/>
        <d v="2025-07-01T22:19:00" u="1"/>
        <d v="2025-07-01T22:06:00" u="1"/>
        <d v="2025-07-07T10:52:00" u="1"/>
        <d v="2025-07-15T18:39:00" u="1"/>
        <d v="2025-07-15T18:37:00" u="1"/>
        <d v="2025-07-09T09:06:00" u="1"/>
        <d v="2025-07-08T12:35:00" u="1"/>
        <d v="2025-07-09T10:57:00" u="1"/>
        <d v="2025-07-14T12:12:00" u="1"/>
        <d v="2025-07-01T13:05:00" u="1"/>
        <d v="2025-07-10T17:16:00" u="1"/>
        <d v="2025-07-03T13:45:00" u="1"/>
        <d v="2025-07-07T17:58:00" u="1"/>
        <d v="2025-07-01T17:19:00" u="1"/>
        <d v="2025-07-03T07:42:00" u="1"/>
        <d v="2025-07-11T09:59:00" u="1"/>
        <d v="2025-07-04T12:39:00" u="1"/>
        <d v="2025-07-04T12:32:00" u="1"/>
        <d v="2025-07-02T11:32:00" u="1"/>
        <d v="2025-07-02T16:00:00" u="1"/>
        <d v="2025-07-01T21:59:00" u="1"/>
        <d v="2025-07-14T09:22:00" u="1"/>
        <d v="2025-07-11T15:16:00" u="1"/>
        <d v="2025-07-11T13:56:00" u="1"/>
        <d v="2025-07-01T16:42:00" u="1"/>
        <d v="2025-07-08T13:44:00" u="1"/>
        <d v="2025-07-11T14:42:00" u="1"/>
        <d v="2025-07-11T14:21:00" u="1"/>
        <d v="2025-07-09T08:47:00" u="1"/>
        <d v="2025-07-07T11:56:00" u="1"/>
        <d v="2025-07-14T16:55:00" u="1"/>
        <d v="2025-07-14T16:02:00" u="1"/>
        <d v="2025-07-14T15:02:00" u="1"/>
        <d v="2025-07-14T19:24:00" u="1"/>
        <d v="2025-07-11T08:37:00" u="1"/>
        <d v="2025-07-11T16:33:00" u="1"/>
        <d v="2025-07-11T16:00:00" u="1"/>
        <d v="2025-07-11T19:18:00" u="1"/>
        <d v="2025-07-11T18:24:00" u="1"/>
        <d v="2025-07-14T10:41:00" u="1"/>
        <d v="2025-07-11T11:34:00" u="1"/>
        <d v="2025-07-11T09:33:00" u="1"/>
        <d v="2025-07-10T12:44:00" u="1"/>
        <d v="2025-07-11T12:55:00" u="1"/>
        <d v="2025-07-14T11:00:00" u="1"/>
        <d v="2025-07-14T17:54:00" u="1"/>
        <d v="2025-07-14T14:59:00" u="1"/>
        <d v="2025-07-14T14:53:00" u="1"/>
        <d v="2025-07-14T14:49:00" u="1"/>
        <d v="2025-07-11T19:06:00" u="1"/>
        <d v="2025-07-11T19:11:00" u="1"/>
        <d v="2025-07-14T13:29:00" u="1"/>
        <d v="2025-07-12T15:52:00" u="1"/>
        <d v="2025-07-14T13:42:00" u="1"/>
        <d v="2025-07-11T15:04:00" u="1"/>
        <d v="2025-07-11T18:06:00" u="1"/>
        <d v="2025-07-14T18:17:00" u="1"/>
        <d v="2025-07-11T14:25:00" u="1"/>
        <d v="2025-07-14T12:53:00" u="1"/>
        <d v="2025-07-14T13:17:00" u="1"/>
        <d v="2025-07-14T16:15:00" u="1"/>
        <d v="2025-07-14T08:36:00" u="1"/>
        <d v="2025-07-14T13:30:00" u="1"/>
        <d v="2025-07-11T14:36:00" u="1"/>
        <d v="2025-07-11T15:35:00" u="1"/>
        <d v="2025-07-11T15:58:00" u="1"/>
        <d v="2025-07-14T08:29:00" u="1"/>
        <d v="2025-07-11T12:41:00" u="1"/>
        <d v="2025-07-14T16:14:00" u="1"/>
        <d v="2025-07-14T08:05:00" u="1"/>
        <d v="2025-07-11T11:54:00" u="1"/>
        <d v="2025-07-09T09:19:00" u="1"/>
        <d v="2025-07-14T16:04:00" u="1"/>
        <d v="2025-07-14T16:46:00" u="1"/>
        <d v="2025-07-11T18:01:00" u="1"/>
        <d v="2025-07-11T17:03:00" u="1"/>
        <d v="2025-07-14T12:27:00" u="1"/>
        <d v="2025-07-14T09:09:00" u="1"/>
        <d v="2025-07-14T10:12:00" u="1"/>
        <d v="2025-07-04T11:22:00" u="1"/>
        <d v="2025-07-11T11:35:00" u="1"/>
        <d v="2025-05-09T00:00:00" u="1"/>
        <d v="2025-07-13T11:04:00" u="1"/>
        <d v="2025-07-14T10:53:00" u="1"/>
        <d v="2025-07-14T18:33:00" u="1"/>
        <d v="2025-07-14T17:19:00" u="1"/>
        <d v="2025-07-08T15:54:00" u="1"/>
        <d v="2025-07-08T15:55:00" u="1"/>
        <d v="2025-07-08T13:18:00" u="1"/>
        <d v="2025-07-09T09:25:00" u="1"/>
        <d v="2025-07-08T16:24:00" u="1"/>
        <d v="2025-07-08T16:01:00" u="1"/>
        <d v="2025-07-10T17:43:00" u="1"/>
        <d v="2025-07-07T15:20:00" u="1"/>
        <d v="2025-06-25T13:29:00" u="1"/>
        <d v="2025-07-14T11:33:00" u="1"/>
        <d v="2025-07-11T15:30:00" u="1"/>
        <d v="2025-07-11T18:17:00" u="1"/>
        <d v="2025-07-11T09:57:00" u="1"/>
        <d v="2025-07-11T09:28:00" u="1"/>
        <d v="2025-07-11T12:59:00" u="1"/>
        <d v="2025-07-10T11:46:00" u="1"/>
        <d v="2025-07-14T16:10:00" u="1"/>
        <d v="2025-07-11T17:38:00" u="1"/>
        <d v="2025-07-14T09:46:00" u="1"/>
        <d v="2025-07-11T16:27:00" u="1"/>
        <d v="2025-07-11T18:20:00" u="1"/>
        <d v="2025-07-10T10:03:00" u="1"/>
        <d v="2025-07-14T15:21:00" u="1"/>
        <d v="2025-07-14T13:37:00" u="1"/>
        <d v="2025-07-11T15:27:00" u="1"/>
        <d v="2025-07-10T12:53:00" u="1"/>
        <d v="2025-07-11T17:32:00" u="1"/>
        <d v="2025-07-14T08:31:00" u="1"/>
        <d v="2025-07-02T09:47:00" u="1"/>
        <d v="2025-07-04T09:40:00" u="1"/>
        <d v="2025-07-01T09:02:00" u="1"/>
        <d v="2025-07-11T14:53:00" u="1"/>
        <d v="2025-07-11T08:50:00" u="1"/>
        <d v="2025-07-10T15:26:00" u="1"/>
        <d v="2025-07-08T10:50:00" u="1"/>
        <d v="2025-07-08T10:53:00" u="1"/>
        <d v="2025-07-08T10:20:00" u="1"/>
        <d v="2025-07-04T14:22:00" u="1"/>
        <d v="2025-07-08T08:43:00" u="1"/>
        <d v="2025-07-10T13:44:00" u="1"/>
        <d v="2025-07-10T08:23:00" u="1"/>
        <d v="2025-07-10T07:27:00" u="1"/>
        <d v="2025-07-10T14:53:00" u="1"/>
        <d v="2025-07-14T14:58:00" u="1"/>
        <d v="2025-07-14T15:04:00" u="1"/>
        <d v="2025-07-14T09:48:00" u="1"/>
        <d v="2025-07-14T16:27:00" u="1"/>
        <d v="2025-07-11T14:44:00" u="1"/>
        <d v="2025-07-02T10:39:00" u="1"/>
        <d v="2025-07-08T12:32:00" u="1"/>
        <d v="2025-07-08T12:25:00" u="1"/>
        <d v="2025-07-14T12:58:00" u="1"/>
        <d v="2025-07-11T12:17:00" u="1"/>
        <d v="2025-07-14T17:37:00" u="1"/>
        <d v="2025-07-14T12:01:00" u="1"/>
        <d v="2025-07-11T15:02:00" u="1"/>
        <d v="2025-07-11T19:35:00" u="1"/>
        <d v="2025-07-11T13:21:00" u="1"/>
        <d v="2025-07-14T12:39:00" u="1"/>
        <d v="2025-07-14T20:52:00" u="1"/>
        <d v="2025-07-12T09:30:00" u="1"/>
        <d v="2025-06-27T12:50:00" u="1"/>
        <d v="2025-07-14T08:33:00" u="1"/>
        <d v="2025-07-14T08:17:00" u="1"/>
        <d v="2025-07-14T13:44:00" u="1"/>
        <d v="2025-06-02T00:00:00" u="1"/>
        <d v="2025-06-11T09:01:00" u="1"/>
        <d v="2025-07-14T10:44:00" u="1"/>
        <d v="2025-07-14T09:40:00" u="1"/>
        <d v="2025-07-14T12:29:00" u="1"/>
        <d v="2025-06-02T14:18:00" u="1"/>
        <d v="2025-07-14T13:13:00" u="1"/>
        <d v="2025-07-14T07:54:00" u="1"/>
        <d v="2025-07-14T09:20:00" u="1"/>
        <d v="2025-07-14T15:23:00" u="1"/>
        <d v="2025-07-14T11:36:00" u="1"/>
        <d v="2025-07-11T07:13:00" u="1"/>
        <d v="2025-07-14T08:23:00" u="1"/>
        <d v="2025-06-18T15:54:00" u="1"/>
        <d v="2025-06-13T15:50:00" u="1"/>
        <d v="2025-07-01T09:07:00" u="1"/>
        <d v="2025-07-14T09:47:00" u="1"/>
        <d v="2025-07-14T08:50:00" u="1"/>
        <d v="2025-07-14T12:00:00" u="1"/>
        <d v="2025-07-14T06:48:00" u="1"/>
        <d v="2025-07-14T15:45:00" u="1"/>
        <d v="2025-07-14T15:30:00" u="1"/>
        <d v="2025-07-14T15:00:00" u="1"/>
        <d v="2025-07-14T13:40:00" u="1"/>
        <d v="2025-07-14T14:47:00" u="1"/>
        <d v="2025-07-14T10:27:00" u="1"/>
        <d v="2025-07-03T08:47:00" u="1"/>
        <d v="2025-07-14T14:06:00" u="1"/>
        <d v="2025-07-11T16:15:00" u="1"/>
        <d v="2025-07-14T06:23:00" u="1"/>
        <d v="2025-06-16T17:02:00" u="1"/>
        <d v="2025-07-11T18:26:00" u="1"/>
        <d v="2025-07-11T18:05:00" u="1"/>
        <d v="2025-07-11T17:56:00" u="1"/>
        <d v="2025-07-09T11:07:00" u="1"/>
        <d v="2025-07-11T12:21:00" u="1"/>
        <d v="2025-07-14T09:30:00" u="1"/>
        <d v="2025-07-09T18:01:00" u="1"/>
        <d v="2025-07-10T09:12:00" u="1"/>
        <d v="2025-03-21T10:02:00" u="1"/>
        <d v="2025-07-11T11:00:00" u="1"/>
        <d v="2025-07-11T10:45:00" u="1"/>
        <d v="2025-07-11T10:18:00" u="1"/>
        <d v="2025-07-10T12:41:00" u="1"/>
        <d v="2025-07-10T14:17:00" u="1"/>
        <d v="2025-07-11T15:10:00" u="1"/>
        <d v="2025-07-11T13:32:00" u="1"/>
        <d v="2025-07-10T15:37:00" u="1"/>
        <d v="2025-07-11T18:34:00" u="1"/>
        <d v="2025-07-03T15:59:00" u="1"/>
        <d v="2025-07-03T16:04:00" u="1"/>
        <d v="2025-07-03T16:43:00" u="1"/>
        <d v="2025-07-03T14:11:00" u="1"/>
        <d v="2025-07-04T07:11:00" u="1"/>
        <d v="2025-07-04T07:27:00" u="1"/>
        <d v="2025-07-04T07:29:00" u="1"/>
        <d v="2025-07-04T07:34:00" u="1"/>
        <d v="2025-07-04T07:40:00" u="1"/>
        <d v="2025-07-04T07:44:00" u="1"/>
        <d v="2025-07-04T07:49:00" u="1"/>
        <d v="2025-07-04T07:55:00" u="1"/>
        <d v="2025-07-04T07:59:00" u="1"/>
        <d v="2025-07-04T08:05:00" u="1"/>
        <d v="2025-07-02T08:24:00" u="1"/>
        <d v="2025-07-02T08:44:00" u="1"/>
        <d v="2025-07-02T06:28:00" u="1"/>
        <d v="2025-07-03T11:19:00" u="1"/>
        <d v="2025-07-02T10:13:00" u="1"/>
        <d v="2025-07-03T08:18:00" u="1"/>
        <d v="2025-07-04T11:31:00" u="1"/>
        <d v="2025-07-04T14:30:00" u="1"/>
        <d v="2025-07-04T14:33:00" u="1"/>
        <d v="2025-07-04T08:21:00" u="1"/>
        <d v="2025-07-04T08:26:00" u="1"/>
        <d v="2025-07-04T09:28:00" u="1"/>
        <d v="2025-07-04T10:20:00" u="1"/>
        <d v="2025-07-07T14:39:00" u="1"/>
        <d v="2025-07-08T10:07:00" u="1"/>
        <d v="2025-07-08T10:11:00" u="1"/>
        <d v="2025-07-08T10:23:00" u="1"/>
        <d v="2025-07-08T07:27:00" u="1"/>
        <d v="2025-07-08T09:38:00" u="1"/>
        <d v="2025-07-08T09:04:00" u="1"/>
        <d v="2025-07-10T15:09:00" u="1"/>
        <d v="2025-07-10T15:48:00" u="1"/>
        <d v="2025-07-10T13:56:00" u="1"/>
        <d v="2025-07-10T14:27:00" u="1"/>
        <d v="2025-07-11T10:08:00" u="1"/>
        <d v="2025-07-03T14:03:00" u="1"/>
        <d v="2025-07-11T10:58:00" u="1"/>
        <d v="2025-07-11T17:31:00" u="1"/>
        <d v="2025-07-11T16:42:00" u="1"/>
        <d v="2025-07-11T18:22:00" u="1"/>
        <d v="2025-07-11T18:15:00" u="1"/>
        <d v="2025-06-18T08:29:00" u="1"/>
        <d v="2025-07-09T17:54:00" u="1"/>
        <d v="2025-07-10T11:40:00" u="1"/>
        <d v="2025-07-11T06:55:00" u="1"/>
        <d v="2025-07-11T07:01:00" u="1"/>
        <d v="2025-07-11T09:42:00" u="1"/>
        <d v="2025-07-11T08:04:00" u="1"/>
        <d v="2025-07-11T07:57:00" u="1"/>
        <d v="2025-07-11T09:55:00" u="1"/>
        <d v="2025-07-11T09:45:00" u="1"/>
        <d v="2025-07-11T21:32:00" u="1"/>
        <d v="2025-07-11T13:11:00" u="1"/>
        <d v="2025-07-10T12:13:00" u="1"/>
        <d v="2025-07-11T08:00:00" u="1"/>
        <d v="2025-07-11T08:19:00" u="1"/>
        <d v="2025-07-09T16:35:00" u="1"/>
        <d v="2025-06-10T09:26:00" u="1"/>
        <d v="2025-07-11T14:12:00" u="1"/>
        <d v="2025-06-25T17:09:00" u="1"/>
        <d v="2025-06-18T12:35:00" u="1"/>
        <d v="2025-06-16T10:35:55" u="1"/>
        <d v="2025-06-18T13:28:00" u="1"/>
        <d v="2025-07-11T13:36:00" u="1"/>
        <d v="2025-06-25T17:00:00" u="1"/>
        <d v="2025-06-25T17:17:00" u="1"/>
        <d v="2025-07-10T13:39:00" u="1"/>
        <d v="2025-05-27T19:37:00" u="1"/>
        <d v="2025-07-11T11:27:00" u="1"/>
        <d v="2025-07-11T11:37:00" u="1"/>
        <d v="2025-06-26T09:44:00" u="1"/>
        <d v="2025-07-11T15:41:00" u="1"/>
        <d v="2025-07-09T13:55:00" u="1"/>
        <d v="2025-07-10T18:48:00" u="1"/>
        <d v="2025-06-11T14:46:00" u="1"/>
        <d v="2025-06-11T14:41:00" u="1"/>
        <d v="2025-07-02T08:48:00" u="1"/>
        <d v="2025-07-02T11:04:00" u="1"/>
        <d v="2025-07-02T11:09:00" u="1"/>
        <d v="2025-07-02T08:54:00" u="1"/>
        <d v="2025-07-02T09:01:00" u="1"/>
        <d v="2025-06-30T13:39:00" u="1"/>
        <d v="2025-06-27T14:15:00" u="1"/>
        <d v="2025-06-23T14:11:00" u="1"/>
        <d v="2025-06-23T16:10:00" u="1"/>
        <d v="2025-06-30T18:52:00" u="1"/>
        <d v="2025-07-07T08:06:00" u="1"/>
        <d v="2025-07-07T08:27:00" u="1"/>
        <d v="2025-07-07T06:52:00" u="1"/>
        <d v="2025-07-07T16:29:00" u="1"/>
        <d v="2025-07-07T12:14:00" u="1"/>
        <d v="2025-07-08T09:41:00" u="1"/>
        <d v="2025-07-10T11:38:00" u="1"/>
        <d v="2025-07-04T12:40:00" u="1"/>
        <d v="2025-07-07T16:34:00" u="1"/>
        <d v="2025-07-08T14:07:00" u="1"/>
        <d v="2025-07-08T10:56:00" u="1"/>
        <d v="2025-07-10T09:59:00" u="1"/>
        <d v="2025-07-09T08:39:00" u="1"/>
        <d v="2025-07-03T12:47:00" u="1"/>
        <d v="2025-07-02T15:36:00" u="1"/>
        <d v="2025-07-04T17:47:00" u="1"/>
        <d v="2025-07-07T10:32:00" u="1"/>
        <d v="2025-07-07T14:25:00" u="1"/>
        <d v="2025-07-07T14:47:00" u="1"/>
        <d v="2025-07-07T14:49:00" u="1"/>
        <d v="2025-07-07T14:53:00" u="1"/>
        <d v="2025-07-10T10:42:00" u="1"/>
        <d v="2025-07-10T09:40:00" u="1"/>
        <d v="2025-07-10T10:11:00" u="1"/>
        <d v="2025-07-10T16:36:00" u="1"/>
        <d v="2025-07-10T10:17:00" u="1"/>
        <d v="2025-07-08T15:38:00" u="1"/>
        <d v="2025-07-10T12:04:00" u="1"/>
        <d v="2025-07-10T11:51:00" u="1"/>
        <d v="2025-07-09T09:50:00" u="1"/>
        <d v="2025-07-09T11:53:00" u="1"/>
        <d v="2025-07-09T08:49:00" u="1"/>
        <d v="2025-07-10T15:03:00" u="1"/>
        <d v="2025-07-10T14:32:00" u="1"/>
        <d v="2025-07-09T07:40:00" u="1"/>
        <d v="2025-07-10T16:42:00" u="1"/>
        <d v="2025-07-10T16:21:00" u="1"/>
        <d v="2025-07-10T09:31:00" u="1"/>
        <d v="2025-06-30T08:46:00" u="1"/>
        <d v="2025-07-10T14:51:00" u="1"/>
        <d v="2025-07-10T17:35:00" u="1"/>
        <d v="2025-07-10T06:30:00" u="1"/>
        <d v="2025-07-10T07:48:00" u="1"/>
        <d v="2025-07-09T13:28:00" u="1"/>
        <d v="2025-07-10T12:27:00" u="1"/>
        <d v="2025-07-10T15:32:00" u="1"/>
        <d v="2025-07-10T14:08:00" u="1"/>
        <d v="2025-07-09T14:03:00" u="1"/>
        <d v="2025-07-08T10:26:00" u="1"/>
        <d v="2025-07-10T17:05:00" u="1"/>
        <d v="2025-07-10T13:21:00" u="1"/>
        <d v="2025-07-10T11:28:00" u="1"/>
        <d v="2025-07-10T14:29:00" u="1"/>
        <d v="2025-07-10T14:34:00" u="1"/>
        <d v="2025-07-10T11:13:00" u="1"/>
        <d v="2025-07-09T07:59:00" u="1"/>
        <d v="2025-07-09T17:22:00" u="1"/>
        <d v="2025-07-10T02:38:00" u="1"/>
        <d v="2025-07-10T09:15:00" u="1"/>
        <d v="2025-07-09T10:41:00" u="1"/>
        <d v="2025-07-10T09:01:00" u="1"/>
        <d v="2025-07-10T04:00:25" u="1"/>
        <d v="2025-07-10T11:47:00" u="1"/>
        <d v="2025-07-09T04:50:00" u="1"/>
        <d v="2025-07-08T10:03:00" u="1"/>
        <d v="2025-07-09T12:28:00" u="1"/>
        <d v="2025-07-10T02:37:00" u="1"/>
        <d v="2025-07-03T18:32:00" u="1"/>
        <d v="2025-07-03T15:09:00" u="1"/>
        <d v="2025-07-10T05:08:00" u="1"/>
        <d v="2025-07-09T09:24:00" u="1"/>
        <d v="2025-07-10T03:13:00" u="1"/>
        <d v="2025-07-10T01:08:00" u="1"/>
        <d v="2025-07-10T01:23:00" u="1"/>
        <d v="2025-07-09T05:19:00" u="1"/>
        <d v="2025-07-10T01:48:00" u="1"/>
        <d v="2025-07-10T01:53:00" u="1"/>
        <d v="2025-07-10T01:55:00" u="1"/>
        <d v="2025-07-09T06:15:00" u="1"/>
        <d v="2025-07-09T05:12:00" u="1"/>
        <d v="2025-07-09T09:54:00" u="1"/>
        <d v="2025-07-10T03:14:00" u="1"/>
        <d v="2025-07-10T03:27:00" u="1"/>
        <d v="2025-07-10T09:34:00" u="1"/>
        <d v="2025-07-09T01:52:00" u="1"/>
        <d v="2025-07-10T14:58:00" u="1"/>
        <d v="2025-07-09T08:46:00" u="1"/>
        <d v="2025-07-09T09:22:00" u="1"/>
        <d v="2025-07-09T08:42:00" u="1"/>
        <d v="2025-07-09T09:11:00" u="1"/>
        <d v="2025-07-08T16:23:00" u="1"/>
        <d v="2025-07-09T09:09:00" u="1"/>
        <d v="2025-07-09T09:18:00" u="1"/>
        <d v="2025-07-10T10:23:00" u="1"/>
        <d v="2025-07-08T07:59:00" u="1"/>
        <d v="2025-07-08T04:11:00" u="1"/>
        <d v="2025-07-10T10:30:00" u="1"/>
        <d v="2025-07-09T17:03:00" u="1"/>
        <d v="2025-07-10T11:03:00" u="1"/>
        <d v="2025-07-09T15:30:00" u="1"/>
        <d v="2025-07-08T09:00:00" u="1"/>
        <d v="2025-07-10T12:14:00" u="1"/>
        <d v="2025-07-10T14:06:00" u="1"/>
        <d v="2025-07-10T08:16:00" u="1"/>
        <d v="2025-07-10T16:25:00" u="1"/>
        <d v="2025-07-10T17:27:00" u="1"/>
        <d v="2025-07-10T21:01:00" u="1"/>
        <d v="2025-07-10T14:54:00" u="1"/>
        <d v="2025-07-10T16:22:00" u="1"/>
        <d v="2025-07-10T16:30:00" u="1"/>
        <d v="2025-07-10T16:53:00" u="1"/>
        <d v="2025-07-10T18:36:00" u="1"/>
        <d v="2025-07-10T15:15:00" u="1"/>
        <d v="2025-07-10T14:57:00" u="1"/>
        <d v="2025-07-10T11:24:00" u="1"/>
        <d v="2025-07-10T08:55:00" u="1"/>
        <d v="2025-07-10T17:07:00" u="1"/>
        <d v="2025-07-10T18:52:00" u="1"/>
        <d v="2025-07-10T19:26:00" u="1"/>
        <d v="2025-07-10T18:29:00" u="1"/>
        <d v="2025-07-10T19:46:00" u="1"/>
        <d v="2025-07-10T15:20:00" u="1"/>
        <d v="2025-07-08T18:01:00" u="1"/>
        <d v="2025-07-08T17:44:00" u="1"/>
        <d v="2025-07-10T16:01:00" u="1"/>
        <d v="2025-07-10T18:41:00" u="1"/>
        <d v="2025-07-08T04:45:00" u="1"/>
        <d v="2025-07-01T06:32:00" u="1"/>
        <d v="2025-07-01T07:23:00" u="1"/>
        <d v="2025-07-01T16:20:00" u="1"/>
        <d v="2025-07-01T19:18:00" u="1"/>
        <d v="2025-06-24T17:35:00" u="1"/>
        <d v="2025-07-01T18:52:00" u="1"/>
        <d v="2025-07-01T12:32:00" u="1"/>
        <d v="2025-07-01T14:22:00" u="1"/>
        <d v="2025-07-01T14:28:00" u="1"/>
        <d v="2025-07-01T14:36:00" u="1"/>
        <d v="2025-06-26T10:58:00" u="1"/>
        <d v="2025-04-04T08:01:00" u="1"/>
        <d v="2025-04-15T07:59:00" u="1"/>
        <d v="2025-06-23T16:58:00" u="1"/>
        <d v="2025-06-30T17:09:00" u="1"/>
        <d v="2025-06-26T08:13:00" u="1"/>
        <d v="2025-07-03T09:00:00" u="1"/>
        <d v="2025-07-03T09:12:00" u="1"/>
        <d v="2025-07-03T09:35:00" u="1"/>
        <d v="2025-07-07T09:47:00" u="1"/>
        <d v="2025-07-03T18:51:00" u="1"/>
        <d v="2025-07-07T15:59:00" u="1"/>
        <d v="2025-07-04T11:07:00" u="1"/>
        <d v="2025-07-04T11:09:00" u="1"/>
        <d v="2025-07-03T16:10:00" u="1"/>
        <d v="2025-07-03T11:38:00" u="1"/>
        <d v="2025-07-06T09:16:00" u="1"/>
        <d v="2025-07-07T15:13:00" u="1"/>
        <d v="2025-07-04T12:25:00" u="1"/>
        <d v="2025-07-07T16:09:00" u="1"/>
        <d v="2025-07-07T16:11:00" u="1"/>
        <d v="2025-07-07T11:47:00" u="1"/>
        <d v="2025-07-07T11:36:00" u="1"/>
        <d v="2025-07-02T08:37:00" u="1"/>
        <d v="2025-07-03T14:32:00" u="1"/>
        <d v="2025-07-04T14:10:00" u="1"/>
        <d v="2025-07-04T09:38:00" u="1"/>
        <d v="2025-07-04T08:13:00" u="1"/>
        <d v="2025-07-03T19:01:00" u="1"/>
        <d v="2025-07-03T19:55:00" u="1"/>
        <d v="2025-07-03T14:41:00" u="1"/>
        <d v="2025-06-23T00:00:00" u="1"/>
        <d v="2025-07-02T18:54:00" u="1"/>
        <d v="2025-07-07T14:30:00" u="1"/>
        <d v="2025-07-03T19:21:00" u="1"/>
        <d v="2025-07-03T19:29:00" u="1"/>
        <d v="2025-07-04T12:57:00" u="1"/>
        <d v="2025-07-03T15:47:00" u="1"/>
        <d v="2025-07-04T15:50:00" u="1"/>
        <d v="2025-07-07T10:03:00" u="1"/>
        <d v="2025-07-02T16:02:00" u="1"/>
        <d v="2025-07-04T07:52:00" u="1"/>
        <d v="2025-07-08T12:42:00" u="1"/>
        <d v="2025-07-07T16:22:00" u="1"/>
        <d v="2025-07-07T15:11:00" u="1"/>
        <d v="2025-07-07T16:25:00" u="1"/>
        <d v="2025-07-07T15:16:00" u="1"/>
        <d v="2025-07-07T14:48:00" u="1"/>
        <d v="2025-07-07T14:55:00" u="1"/>
        <d v="2025-07-07T15:02:00" u="1"/>
        <d v="2025-07-07T15:06:00" u="1"/>
        <d v="2025-07-07T15:12:00" u="1"/>
        <d v="2025-07-07T13:48:00" u="1"/>
        <d v="2025-07-09T00:04:00" u="1"/>
        <d v="2025-07-07T19:00:00" u="1"/>
        <d v="2025-07-08T10:39:00" u="1"/>
        <d v="2025-07-08T16:14:00" u="1"/>
        <d v="2025-07-08T07:40:00" u="1"/>
        <d v="2025-07-08T10:09:00" u="1"/>
        <d v="2025-07-09T08:13:00" u="1"/>
        <d v="2025-07-09T08:17:00" u="1"/>
        <d v="2025-07-09T08:18:00" u="1"/>
        <d v="2025-07-09T08:20:00" u="1"/>
        <d v="2025-07-08T10:19:00" u="1"/>
        <d v="2025-07-08T10:27:00" u="1"/>
        <d v="2025-07-08T09:50:00" u="1"/>
        <d v="2025-06-16T18:08:00" u="1"/>
        <d v="2025-06-17T11:35:00" u="1"/>
        <d v="2025-07-08T14:12:00" u="1"/>
        <d v="2025-07-07T16:47:00" u="1"/>
        <d v="2025-07-08T10:22:00" u="1"/>
        <d v="2025-07-07T17:02:00" u="1"/>
        <d v="2025-07-08T14:21:00" u="1"/>
        <d v="2025-07-08T14:14:00" u="1"/>
        <d v="2025-07-08T14:11:00" u="1"/>
        <d v="2025-07-08T13:40:00" u="1"/>
        <d v="2025-07-07T18:04:00" u="1"/>
        <d v="2025-07-08T18:16:00" u="1"/>
        <d v="2025-07-08T18:07:00" u="1"/>
        <d v="2025-07-08T11:41:00" u="1"/>
        <d v="2025-07-08T14:25:00" u="1"/>
        <d v="2025-07-07T14:00:00" u="1"/>
        <d v="2025-07-08T09:49:00" u="1"/>
        <d v="2025-07-07T16:38:00" u="1"/>
        <d v="2025-07-08T12:30:00" u="1"/>
        <d v="2025-07-08T10:05:00" u="1"/>
        <d v="2025-07-07T16:13:00" u="1"/>
        <d v="2025-06-27T09:01:00" u="1"/>
        <d v="2025-06-30T11:31:00" u="1"/>
        <d v="2025-07-02T13:54:00" u="1"/>
        <d v="2025-07-08T11:51:00" u="1"/>
        <d v="2025-07-07T12:43:00" u="1"/>
        <d v="2025-07-08T15:41:00" u="1"/>
        <d v="2025-07-08T11:14:00" u="1"/>
        <d v="2025-07-08T11:09:00" u="1"/>
        <d v="2025-07-08T10:29:00" u="1"/>
        <d v="2025-07-08T10:30:00" u="1"/>
        <d v="2025-07-07T13:07:00" u="1"/>
        <d v="2025-07-08T15:53:00" u="1"/>
        <d v="2025-07-08T07:52:00" u="1"/>
        <d v="2025-06-17T14:02:00" u="1"/>
        <d v="2025-07-07T08:09:00" u="1"/>
        <d v="2025-07-09T00:59:00" u="1"/>
        <d v="2025-07-09T08:36:00" u="1"/>
        <d v="2025-07-08T09:47:00" u="1"/>
        <d v="2025-07-09T10:20:00" u="1"/>
        <d v="2025-07-09T09:13:00" u="1"/>
        <d v="2025-07-09T10:18:00" u="1"/>
        <d v="2025-07-09T02:31:00" u="1"/>
        <d v="2025-07-08T08:17:00" u="1"/>
        <d v="2025-07-08T14:05:00" u="1"/>
        <d v="2025-07-08T07:29:00" u="1"/>
        <d v="2025-07-09T10:58:00" u="1"/>
        <d v="2025-07-07T10:36:00" u="1"/>
        <d v="2025-07-08T12:00:00" u="1"/>
        <d v="2025-07-08T19:02:00" u="1"/>
        <d v="2025-07-07T14:06:00" u="1"/>
        <d v="2025-07-09T11:20:00" u="1"/>
        <d v="2025-07-09T11:43:00" u="1"/>
        <d v="2025-07-09T14:11:00" u="1"/>
        <d v="2025-07-09T15:28:00" u="1"/>
        <d v="2025-07-09T11:15:00" u="1"/>
        <d v="2025-07-09T13:02:00" u="1"/>
        <d v="2025-07-09T13:00:00" u="1"/>
        <d v="2025-07-09T13:04:00" u="1"/>
        <d v="2025-07-09T13:06:00" u="1"/>
        <d v="2025-07-09T14:24:00" u="1"/>
        <d v="2025-07-08T15:42:00" u="1"/>
        <d v="2025-07-08T15:59:00" u="1"/>
        <d v="2025-05-14T16:31:00" u="1"/>
        <d v="2025-07-09T16:14:00" u="1"/>
        <d v="2025-07-09T21:29:00" u="1"/>
        <d v="2025-07-09T12:43:00" u="1"/>
        <d v="2025-07-09T13:57:00" u="1"/>
        <d v="2025-07-09T18:20:00" u="1"/>
        <d v="2025-07-09T18:23:00" u="1"/>
        <d v="2025-07-09T18:26:00" u="1"/>
        <d v="2025-07-09T08:27:00" u="1"/>
        <d v="2025-07-09T08:38:00" u="1"/>
        <d v="2025-07-09T17:18:00" u="1"/>
        <d v="2025-07-09T16:55:00" u="1"/>
        <d v="2025-07-09T15:59:00" u="1"/>
        <d v="2025-07-09T13:52:00" u="1"/>
        <d v="2025-07-09T10:39:00" u="1"/>
        <d v="2025-07-09T01:02:00" u="1"/>
        <d v="2025-07-09T05:55:00" u="1"/>
        <d v="2025-07-08T09:53:00" u="1"/>
        <d v="2025-07-09T02:12:00" u="1"/>
        <d v="2025-07-09T15:31:00" u="1"/>
        <d v="2025-07-09T01:48:00" u="1"/>
        <d v="2025-07-09T13:35:00" u="1"/>
        <d v="2025-07-03T15:23:00" u="1"/>
        <d v="2025-07-09T02:47:00" u="1"/>
        <d v="2025-07-09T12:05:00" u="1"/>
        <d v="2025-07-09T03:44:00" u="1"/>
        <d v="2025-07-09T15:11:00" u="1"/>
        <d v="2025-06-30T05:59:00" u="1"/>
        <d v="2025-07-09T11:31:00" u="1"/>
        <d v="2025-07-09T16:19:00" u="1"/>
        <d v="2025-07-09T07:20:00" u="1"/>
        <d v="2025-07-09T14:35:00" u="1"/>
        <d v="2025-07-09T14:29:00" u="1"/>
        <d v="2025-07-08T09:31:00" u="1"/>
        <d v="2025-07-08T09:36:00" u="1"/>
        <d v="2025-07-09T11:50:00" u="1"/>
        <d v="2025-07-09T10:38:00" u="1"/>
        <d v="2025-06-10T17:19:00" u="1"/>
        <d v="2025-07-09T08:52:00" u="1"/>
        <d v="2025-02-26T12:21:00" u="1"/>
        <d v="2025-03-17T09:39:00" u="1"/>
        <d v="2025-04-02T09:56:00" u="1"/>
        <d v="2025-04-09T09:53:00" u="1"/>
        <d v="2025-04-11T13:14:00" u="1"/>
        <d v="2025-04-09T00:00:00" u="1"/>
        <d v="2025-06-23T10:41:00" u="1"/>
        <d v="2025-06-23T19:57:00" u="1"/>
        <d v="2025-06-26T12:15:00" u="1"/>
        <d v="2025-06-06T12:09:00" u="1"/>
        <d v="2025-06-17T00:00:00" u="1"/>
        <d v="2025-06-30T13:42:00" u="1"/>
        <d v="2025-07-03T18:01:00" u="1"/>
        <d v="2025-07-04T08:43:00" u="1"/>
        <d v="2025-07-04T09:57:00" u="1"/>
        <d v="2025-07-04T07:26:00" u="1"/>
        <d v="2025-07-01T16:17:00" u="1"/>
        <d v="2025-07-03T09:27:00" u="1"/>
        <d v="2025-07-04T14:24:00" u="1"/>
        <d v="2025-07-03T11:41:00" u="1"/>
        <d v="2025-07-04T11:01:00" u="1"/>
        <d v="2025-07-02T18:48:00" u="1"/>
        <d v="2025-07-02T10:17:00" u="1"/>
        <d v="2025-07-01T09:33:00" u="1"/>
        <d v="2025-07-01T09:44:00" u="1"/>
        <d v="2025-06-18T10:19:00" u="1"/>
        <d v="2025-06-02T11:25:00" u="1"/>
        <d v="2025-07-04T09:30:00" u="1"/>
        <d v="2025-05-27T11:21:00" u="1"/>
        <d v="2025-04-29T08:33:00" u="1"/>
        <d v="2025-07-01T17:31:00" u="1"/>
        <d v="2025-07-02T15:00:00" u="1"/>
        <d v="2025-07-02T10:18:00" u="1"/>
        <d v="2025-07-03T10:38:00" u="1"/>
        <d v="2025-07-07T18:03:00" u="1"/>
        <d v="2025-07-07T17:43:00" u="1"/>
        <d v="2025-07-07T12:01:00" u="1"/>
        <d v="2025-07-07T11:55:00" u="1"/>
        <d v="2025-07-07T10:46:00" u="1"/>
        <d v="2025-07-07T10:23:00" u="1"/>
        <d v="2025-07-07T15:52:00" u="1"/>
        <d v="2025-07-07T14:45:00" u="1"/>
        <d v="2025-07-07T14:28:00" u="1"/>
        <d v="2025-07-07T15:09:00" u="1"/>
        <d v="2025-07-07T15:34:00" u="1"/>
        <d v="2025-07-07T12:03:00" u="1"/>
        <d v="2025-07-07T08:37:00" u="1"/>
        <d v="2025-07-07T12:56:00" u="1"/>
        <d v="2025-07-04T15:26:00" u="1"/>
        <d v="2025-07-07T08:36:00" u="1"/>
        <d v="2025-07-03T15:25:00" u="1"/>
        <d v="2025-07-04T17:36:00" u="1"/>
        <d v="2025-07-07T09:43:00" u="1"/>
        <d v="2025-07-04T14:51:00" u="1"/>
        <d v="2025-07-01T10:12:00" u="1"/>
        <d v="2025-07-04T08:56:00" u="1"/>
        <d v="2025-07-07T12:11:00" u="1"/>
        <d v="2025-07-07T11:51:17" u="1"/>
        <d v="2025-07-07T12:46:00" u="1"/>
        <d v="2025-07-04T15:57:00" u="1"/>
        <d v="2025-06-25T07:01:00" u="1"/>
        <d v="2025-07-07T08:11:00" u="1"/>
        <d v="2025-07-01T13:59:00" u="1"/>
        <d v="2025-07-04T16:12:00" u="1"/>
        <d v="2025-07-07T09:44:00" u="1"/>
        <d v="2025-07-07T09:49:00" u="1"/>
        <d v="2025-06-23T11:28:00" u="1"/>
        <d v="2025-07-01T12:40:00" u="1"/>
        <d v="2025-07-07T13:50:00" u="1"/>
        <d v="2025-07-07T10:43:00" u="1"/>
        <d v="2025-07-07T11:39:00" u="1"/>
        <d v="2025-07-07T05:57:00" u="1"/>
        <d v="2025-07-07T13:34:00" u="1"/>
        <d v="2025-07-04T15:05:00" u="1"/>
        <d v="2025-07-07T07:56:00" u="1"/>
        <d v="2025-07-07T12:50:00" u="1"/>
        <d v="2025-07-07T08:01:00" u="1"/>
        <d v="2025-07-07T07:51:00" u="1"/>
        <d v="2025-07-04T11:30:00" u="1"/>
        <d v="2025-07-04T11:19:00" u="1"/>
        <d v="2025-07-04T15:27:00" u="1"/>
        <d v="2025-02-06T18:30:00" u="1"/>
        <d v="2025-02-10T11:09:00" u="1"/>
        <d v="2025-02-10T19:30:00" u="1"/>
        <d v="2025-02-07T19:13:00" u="1"/>
        <d v="2025-02-07T23:23:00" u="1"/>
        <d v="2025-02-10T19:53:00" u="1"/>
        <d v="2025-02-19T10:28:00" u="1"/>
        <d v="2025-04-15T13:30:00" u="1"/>
        <d v="2025-04-14T19:05:00" u="1"/>
        <d v="2025-04-08T18:53:00" u="1"/>
        <d v="2025-04-09T18:20:00" u="1"/>
        <d v="2025-04-09T18:08:00" u="1"/>
        <d v="2025-04-09T15:35:00" u="1"/>
        <d v="2025-04-09T18:27:00" u="1"/>
        <d v="2025-04-09T18:35:00" u="1"/>
        <d v="2025-04-14T19:28:00" u="1"/>
        <d v="2025-04-17T15:38:00" u="1"/>
        <d v="2025-04-16T15:00:00" u="1"/>
        <d v="2025-04-17T20:24:00" u="1"/>
        <d v="2025-06-18T16:17:00" u="1"/>
        <d v="2025-03-17T10:43:00" u="1"/>
        <d v="2025-02-26T09:17:00" u="1"/>
        <d v="2025-03-14T18:27:00" u="1"/>
        <d v="2025-04-17T18:27:00" u="1"/>
        <d v="2025-05-15T10:16:00" u="1"/>
        <d v="2025-06-10T11:23:00" u="1"/>
        <d v="2025-06-12T12:41:00" u="1"/>
        <d v="2025-06-16T17:55:00" u="1"/>
        <d v="2025-06-18T15:26:00" u="1"/>
        <d v="2025-06-16T15:08:28" u="1"/>
        <d v="2025-06-20T14:07:00" u="1"/>
        <d v="2025-06-27T17:03:00" u="1"/>
        <d v="2025-06-26T15:05:00" u="1"/>
        <d v="2025-06-26T15:17:00" u="1"/>
        <d v="2025-06-25T13:35:00" u="1"/>
        <d v="2025-06-23T18:17:00" u="1"/>
        <d v="2025-06-27T07:49:00" u="1"/>
        <d v="2025-06-23T16:54:00" u="1"/>
        <d v="2025-06-30T13:23:00" u="1"/>
        <d v="2025-06-30T13:33:00" u="1"/>
        <d v="2025-06-30T14:10:00" u="1"/>
        <d v="2025-06-30T17:39:00" u="1"/>
        <d v="2025-06-30T15:47:00" u="1"/>
        <d v="2025-06-30T15:39:00" u="1"/>
        <d v="2025-07-01T15:17:00" u="1"/>
        <d v="2025-07-03T11:49:00" u="1"/>
        <d v="2025-07-03T10:18:00" u="1"/>
        <d v="2025-07-03T10:22:00" u="1"/>
        <d v="2025-07-01T18:08:00" u="1"/>
        <d v="2025-07-01T17:40:00" u="1"/>
        <d v="2025-07-01T17:32:00" u="1"/>
        <d v="2025-07-02T13:21:00" u="1"/>
        <d v="2025-07-01T15:06:00" u="1"/>
        <d v="2025-07-01T14:15:00" u="1"/>
        <d v="2025-07-01T15:36:00" u="1"/>
        <d v="2025-07-01T16:10:00" u="1"/>
        <d v="2025-07-01T15:01:00" u="1"/>
        <d v="2025-07-01T15:50:00" u="1"/>
        <d v="2025-07-02T15:43:00" u="1"/>
        <d v="2025-07-01T18:58:00" u="1"/>
        <d v="2025-07-03T11:01:00" u="1"/>
        <d v="2025-07-03T10:25:00" u="1"/>
        <d v="2025-07-02T10:31:00" u="1"/>
        <d v="2025-06-30T17:30:00" u="1"/>
        <d v="2025-07-04T16:15:00" u="1"/>
        <d v="2025-07-02T17:42:00" u="1"/>
        <d v="2025-06-30T09:50:00" u="1"/>
        <d v="2025-06-30T14:39:00" u="1"/>
        <d v="2025-07-02T10:34:00" u="1"/>
        <d v="2025-07-02T10:35:00" u="1"/>
        <d v="2025-07-02T18:01:00" u="1"/>
        <d v="2025-07-01T16:52:00" u="1"/>
        <d v="2025-07-01T02:06:00" u="1"/>
        <d v="2025-07-02T11:10:00" u="1"/>
        <d v="2025-07-03T12:30:00" u="1"/>
        <d v="2025-07-02T14:45:00" u="1"/>
        <d v="2025-06-23T15:25:00" u="1"/>
        <d v="2025-06-23T15:41:00" u="1"/>
        <d v="2025-07-03T11:40:00" u="1"/>
        <d v="2025-07-01T10:32:00" u="1"/>
        <d v="2025-07-01T18:42:00" u="1"/>
        <d v="2025-07-01T17:52:00" u="1"/>
        <d v="2025-07-02T12:15:00" u="1"/>
        <d v="2025-07-01T11:24:00" u="1"/>
        <d v="2025-07-01T17:02:00" u="1"/>
        <d v="2025-07-02T11:49:00" u="1"/>
        <d v="2025-07-02T11:50:00" u="1"/>
        <d v="2025-07-02T12:05:00" u="1"/>
        <d v="2025-07-03T11:16:00" u="1"/>
        <d v="2025-06-30T14:44:00" u="1"/>
        <d v="2025-06-27T11:10:00" u="1"/>
        <d v="2025-07-02T09:43:00" u="1"/>
        <d v="2025-07-01T18:59:00" u="1"/>
        <d v="2025-07-03T11:47:00" u="1"/>
        <d v="2025-07-01T14:09:00" u="1"/>
        <d v="2025-07-01T16:24:00" u="1"/>
        <d v="2025-07-01T13:58:00" u="1"/>
        <d v="2025-07-01T23:22:00" u="1"/>
        <d v="2025-07-02T15:13:00" u="1"/>
        <d v="2025-07-01T16:13:00" u="1"/>
        <d v="2025-07-01T16:58:00" u="1"/>
        <d v="2025-07-01T04:52:00" u="1"/>
        <d v="2025-07-01T14:39:00" u="1"/>
        <d v="2025-07-01T14:34:00" u="1"/>
        <d v="2025-07-01T14:38:00" u="1"/>
        <d v="2025-07-03T09:29:00" u="1"/>
        <d v="2025-07-02T18:23:00" u="1"/>
        <d v="2025-07-03T10:30:00" u="1"/>
        <d v="2025-07-01T14:33:00" u="1"/>
        <d v="2025-07-01T18:39:00" u="1"/>
        <d v="2025-07-02T11:41:00" u="1"/>
        <d v="2025-07-04T10:36:00" u="1"/>
        <d v="2025-07-04T18:01:00" u="1"/>
        <d v="2025-07-04T17:49:00" u="1"/>
        <d v="2025-07-04T17:29:00" u="1"/>
        <d v="2025-07-04T16:26:00" u="1"/>
        <d v="2025-07-04T13:52:00" u="1"/>
        <d v="2025-07-03T13:26:00" u="1"/>
        <d v="2025-07-04T16:50:00" u="1"/>
        <d v="2025-07-04T18:29:00" u="1"/>
        <d v="2025-07-04T15:17:00" u="1"/>
        <d v="2025-07-04T16:07:00" u="1"/>
        <d v="2025-07-04T08:33:00" u="1"/>
        <d v="2025-07-03T13:44:00" u="1"/>
        <d v="2025-07-03T16:45:00" u="1"/>
        <d v="2025-07-04T17:06:00" u="1"/>
        <d v="2025-07-04T15:36:00" u="1"/>
        <d v="2025-07-04T11:04:00" u="1"/>
        <d v="2025-07-04T17:58:00" u="1"/>
        <d v="2025-07-03T20:40:00" u="1"/>
        <d v="2025-07-04T16:39:00" u="1"/>
        <d v="2025-07-04T19:34:00" u="1"/>
        <d v="2025-07-03T18:00:00" u="1"/>
        <d v="2025-07-04T13:34:00" u="1"/>
        <d v="2025-07-04T13:48:00" u="1"/>
        <d v="2025-07-04T15:58:00" u="1"/>
        <d v="2025-07-03T16:06:00" u="1"/>
        <d v="2025-07-04T16:09:00" u="1"/>
        <d v="2025-07-04T16:14:00" u="1"/>
        <d v="2025-07-04T16:20:00" u="1"/>
        <d v="2025-07-04T16:28:00" u="1"/>
        <d v="2025-07-04T16:35:00" u="1"/>
        <d v="2025-07-04T16:41:00" u="1"/>
        <d v="2025-07-04T16:49:00" u="1"/>
        <d v="2025-07-03T16:30:00" u="1"/>
        <d v="2025-07-04T10:30:00" u="1"/>
        <d v="2025-07-04T11:56:00" u="1"/>
        <d v="2025-07-04T09:59:00" u="1"/>
        <d v="2025-07-04T10:25:00" u="1"/>
        <d v="2025-07-03T12:44:00" u="1"/>
        <d v="2025-07-03T15:00:00" u="1"/>
        <d v="2025-07-04T15:34:00" u="1"/>
        <d v="2025-07-03T16:11:00" u="1"/>
        <d v="2025-07-04T11:48:00" u="1"/>
        <d v="2025-07-03T17:52:00" u="1"/>
        <d v="2025-07-04T17:54:00" u="1"/>
        <d v="2025-07-04T10:11:00" u="1"/>
        <d v="2025-07-04T15:48:00" u="1"/>
        <d v="2025-07-04T17:46:00" u="1"/>
        <d v="2025-07-04T06:25:00" u="1"/>
        <d v="2025-07-03T13:46:00" u="1"/>
        <d v="2025-07-04T11:42:00" u="1"/>
        <d v="2025-07-03T16:16:00" u="1"/>
        <d v="2025-07-04T17:11:00" u="1"/>
        <d v="2025-07-04T09:42:00" u="1"/>
        <d v="2025-07-03T17:31:00" u="1"/>
        <d v="2025-07-04T13:57:00" u="1"/>
        <d v="2025-07-04T14:04:00" u="1"/>
        <d v="2025-07-03T18:50:00" u="1"/>
        <d v="2025-07-04T16:08:00" u="1"/>
        <d v="2025-07-04T10:40:00" u="1"/>
        <d v="2025-07-03T14:16:00" u="1"/>
        <d v="2025-06-27T15:15:00" u="1"/>
        <d v="2025-07-03T18:04:00" u="1"/>
        <d v="2025-07-03T17:59:00" u="1"/>
        <d v="2025-07-03T17:55:00" u="1"/>
        <d v="2025-07-04T10:08:00" u="1"/>
        <d v="2025-07-04T18:55:00" u="1"/>
        <d v="2025-07-03T14:53:00" u="1"/>
        <d v="2025-07-04T15:59:00" u="1"/>
        <d v="2025-07-04T18:47:00" u="1"/>
        <d v="2025-07-04T18:04:00" u="1"/>
        <d v="2025-07-04T07:24:00" u="1"/>
        <d v="2025-07-04T09:43:00" u="1"/>
        <d v="2025-07-04T05:35:00" u="1"/>
        <d v="2025-07-04T15:31:00" u="1"/>
        <d v="2025-06-02T05:54:00" u="1"/>
        <d v="2025-07-04T11:17:00" u="1"/>
        <d v="2025-07-04T14:01:00" u="1"/>
        <d v="2025-07-04T12:15:00" u="1"/>
        <d v="2025-07-03T12:29:00" u="1"/>
        <d v="2025-07-04T06:47:00" u="1"/>
        <d v="2025-07-02T19:41:00" u="1"/>
        <d v="2025-07-02T20:28:00" u="1"/>
        <d v="2025-07-02T20:30:00" u="1"/>
        <d v="2025-07-04T13:29:00" u="1"/>
        <d v="2025-07-04T13:32:00" u="1"/>
        <d v="2025-07-06T13:07:00" u="1"/>
        <d v="2025-07-06T20:34:00" u="1"/>
        <d v="2025-07-05T00:11:00" u="1"/>
        <d v="2025-07-05T07:46:00" u="1"/>
        <d v="2025-07-04T19:28:00" u="1"/>
        <d v="2025-07-04T19:27:00" u="1"/>
        <d v="2025-07-05T10:54:00" u="1"/>
        <d v="2025-07-05T10:55:00" u="1"/>
        <d v="2025-07-03T15:19:00" u="1"/>
        <d v="2025-07-03T22:17:00" u="1"/>
        <d v="2025-07-06T23:24:00" u="1"/>
        <d v="2025-07-04T10:24:00" u="1"/>
        <d v="2025-07-04T17:41:00" u="1"/>
        <d v="2025-07-03T14:52:00" u="1"/>
        <d v="2025-07-05T15:00:00" u="1"/>
        <d v="2025-07-06T22:07:00" u="1"/>
        <d v="2025-07-05T08:12:00" u="1"/>
        <d v="2025-07-07T00:59:00" u="1"/>
        <d v="2025-07-07T04:52:00" u="1"/>
        <d v="2025-07-05T00:59:00" u="1"/>
        <d v="2025-07-05T11:39:00" u="1"/>
        <d v="2025-07-05T23:50:00" u="1"/>
        <d v="2025-07-02T09:33:00" u="1"/>
        <d v="2025-07-01T13:46:00" u="1"/>
        <d v="2025-07-03T16:38:00" u="1"/>
        <d v="2025-07-03T17:27:00" u="1"/>
        <d v="2025-07-01T13:32:00" u="1"/>
        <d v="2025-07-03T12:25:00" u="1"/>
        <d v="2025-07-03T07:31:00" u="1"/>
        <d v="2025-07-02T13:36:00" u="1"/>
        <d v="2025-07-01T14:56:00" u="1"/>
        <d v="2025-07-01T11:25:00" u="1"/>
        <d v="2025-07-01T08:55:00" u="1"/>
        <d v="2025-06-09T13:38:00" u="1"/>
        <d v="2025-07-03T12:35:00" u="1"/>
        <d v="2025-07-03T16:20:00" u="1"/>
        <d v="2025-07-03T16:42:00" u="1"/>
        <d v="2025-06-28T10:44:00" u="1"/>
        <d v="2025-05-27T20:07:00" u="1"/>
        <d v="2025-07-02T09:31:00" u="1"/>
        <d v="2025-07-03T11:57:00" u="1"/>
        <d v="2025-07-03T15:06:00" u="1"/>
        <d v="2025-07-02T13:32:00" u="1"/>
        <d v="2025-06-30T10:42:00" u="1"/>
        <d v="2025-06-23T08:48:00" u="1"/>
        <d v="2025-06-26T00:00:00" u="1"/>
        <d v="2025-07-02T09:41:00" u="1"/>
        <d v="2025-07-03T19:06:00" u="1"/>
        <d v="2025-06-30T14:11:00" u="1"/>
        <d v="2025-06-30T11:36:00" u="1"/>
        <d v="2025-06-30T13:48:00" u="1"/>
        <d v="2025-06-26T14:31:00" u="1"/>
        <d v="2025-06-30T11:32:00" u="1"/>
        <d v="2025-07-02T17:09:00" u="1"/>
        <d v="2025-07-03T16:57:00" u="1"/>
        <d v="2025-07-02T17:56:00" u="1"/>
        <d v="2025-07-02T13:23:00" u="1"/>
        <d v="2025-07-03T12:36:00" u="1"/>
        <d v="2025-07-01T10:47:00" u="1"/>
        <d v="2025-07-03T14:37:00" u="1"/>
        <d v="2025-07-03T14:51:00" u="1"/>
        <d v="2025-04-30T18:33:00" u="1"/>
        <d v="2025-02-25T10:46:00" u="1"/>
        <d v="2025-06-26T11:47:00" u="1"/>
        <d v="2025-05-07T15:57:00" u="1"/>
        <d v="2025-04-30T10:41:00" u="1"/>
        <d v="2025-04-24T17:22:00" u="1"/>
        <d v="2025-06-25T18:41:00" u="1"/>
        <d v="2025-06-30T13:00:00" u="1"/>
        <d v="2025-05-05T11:55:00" u="1"/>
        <d v="2025-07-03T15:30:00" u="1"/>
        <d v="2025-07-03T15:17:00" u="1"/>
        <d v="2025-04-30T11:17:00" u="1"/>
        <d v="2025-03-31T16:54:00" u="1"/>
        <d v="2025-05-13T15:45:00" u="1"/>
        <d v="2025-05-05T17:17:00" u="1"/>
        <d v="2025-05-07T18:55:00" u="1"/>
        <d v="2025-05-08T10:03:00" u="1"/>
        <d v="2025-03-05T15:54:00" u="1"/>
        <d v="2025-04-30T11:19:00" u="1"/>
        <d v="2025-07-03T17:24:00" u="1"/>
        <d v="2025-04-28T10:24:00" u="1"/>
        <d v="2025-06-25T13:06:00" u="1"/>
        <d v="2025-07-01T17:42:00" u="1"/>
        <d v="2025-06-30T15:14:00" u="1"/>
        <d v="2025-07-03T19:38:00" u="1"/>
        <d v="2025-07-02T15:42:00" u="1"/>
        <d v="2025-07-03T15:55:00" u="1"/>
        <d v="2025-06-26T17:59:00" u="1"/>
        <d v="2025-07-02T16:29:00" u="1"/>
        <d v="2025-07-02T13:05:00" u="1"/>
        <d v="2025-07-03T15:15:00" u="1"/>
        <d v="2025-07-02T16:22:00" u="1"/>
        <d v="2025-07-01T15:16:00" u="1"/>
        <d v="2025-06-27T16:05:00" u="1"/>
        <d v="2025-07-01T17:12:00" u="1"/>
        <d v="2025-07-02T14:57:00" u="1"/>
        <d v="2025-07-02T12:51:00" u="1"/>
        <d v="2025-07-02T17:00:00" u="1"/>
        <d v="2025-07-02T15:39:00" u="1"/>
        <d v="2025-07-02T10:43:00" u="1"/>
        <d v="2025-07-02T16:41:00" u="1"/>
        <d v="2025-07-02T13:38:00" u="1"/>
        <d v="2025-06-27T18:58:00" u="1"/>
        <d v="2025-07-01T18:41:00" u="1"/>
        <d v="2025-07-01T15:00:00" u="1"/>
        <d v="2025-07-01T10:13:00" u="1"/>
        <d v="2025-07-02T12:12:00" u="1"/>
        <d v="2025-06-30T11:52:00" u="1"/>
        <d v="2025-07-01T10:52:00" u="1"/>
        <d v="2025-07-02T16:58:00" u="1"/>
        <d v="2025-07-02T16:24:00" u="1"/>
        <d v="2025-07-02T16:21:00" u="1"/>
        <d v="2025-06-26T17:26:00" u="1"/>
        <d v="2025-06-30T15:44:00" u="1"/>
        <d v="2025-07-02T13:01:00" u="1"/>
        <d v="2025-07-02T16:07:00" u="1"/>
        <d v="2025-06-26T10:23:00" u="1"/>
        <d v="2024-10-24T15:31:00" u="1"/>
        <d v="2025-07-02T10:01:00" u="1"/>
        <d v="2025-06-05T00:00:00" u="1"/>
        <d v="2025-07-01T16:32:00" u="1"/>
        <d v="2025-07-02T07:56:00" u="1"/>
        <d v="2025-07-02T17:50:00" u="1"/>
        <d v="2025-07-02T14:20:00" u="1"/>
        <d v="2025-07-03T03:28:00" u="1"/>
        <d v="2025-07-02T19:34:00" u="1"/>
        <d v="2025-07-01T18:22:00" u="1"/>
        <d v="2025-07-01T17:53:00" u="1"/>
        <d v="2025-07-01T18:14:00" u="1"/>
        <d v="2024-11-04T19:00:00" u="1"/>
        <d v="2025-07-02T08:58:00" u="1"/>
        <d v="2025-07-02T11:05:00" u="1"/>
        <d v="2025-07-02T16:01:00" u="1"/>
        <d v="2025-06-23T15:57:00" u="1"/>
        <d v="2025-07-02T13:47:00" u="1"/>
        <d v="2025-07-01T16:47:00" u="1"/>
        <d v="2025-07-02T09:17:00" u="1"/>
        <d v="2025-06-17T18:59:00" u="1"/>
        <d v="2025-07-02T11:29:00" u="1"/>
        <d v="2025-07-01T14:58:00" u="1"/>
        <d v="2025-04-30T12:48:00" u="1"/>
        <d v="2025-06-30T14:57:00" u="1"/>
        <d v="2025-07-02T13:20:00" u="1"/>
        <d v="2025-07-01T18:15:00" u="1"/>
        <d v="2025-07-01T15:45:00" u="1"/>
        <d v="2025-07-01T17:16:00" u="1"/>
        <d v="2025-07-01T17:05:00" u="1"/>
        <d v="2025-07-02T16:34:00" u="1"/>
        <d v="2025-07-01T17:11:00" u="1"/>
        <d v="2025-07-03T05:04:00" u="1"/>
        <d v="2025-07-02T17:59:00" u="1"/>
        <d v="2025-06-28T10:04:00" u="1"/>
        <d v="2025-06-27T16:10:00" u="1"/>
        <d v="2025-06-27T16:20:00" u="1"/>
        <d v="2025-06-27T16:17:00" u="1"/>
        <d v="2025-07-02T16:04:00" u="1"/>
        <d v="2025-07-02T16:18:00" u="1"/>
        <d v="2025-06-30T14:58:00" u="1"/>
        <d v="2025-06-30T08:48:00" u="1"/>
        <d v="2025-06-20T14:27:00" u="1"/>
        <d v="2025-06-23T12:39:00" u="1"/>
        <d v="2025-06-30T12:51:00" u="1"/>
        <d v="2025-07-01T12:46:00" u="1"/>
        <d v="2025-07-01T15:52:00" u="1"/>
        <d v="2025-06-30T12:19:00" u="1"/>
        <d v="2025-06-30T12:18:00" u="1"/>
        <d v="2025-06-30T15:29:00" u="1"/>
        <d v="2025-06-30T08:53:00" u="1"/>
        <d v="2025-06-26T07:35:00" u="1"/>
        <d v="2025-06-23T11:08:00" u="1"/>
        <d v="2025-07-01T15:58:00" u="1"/>
        <d v="2025-07-01T11:58:00" u="1"/>
        <d v="2025-07-01T12:07:00" u="1"/>
        <d v="2025-07-01T12:27:00" u="1"/>
        <d v="2025-07-01T16:35:00" u="1"/>
        <d v="2025-06-30T16:40:00" u="1"/>
        <d v="2025-07-01T15:11:00" u="1"/>
        <d v="2025-07-01T10:01:00" u="1"/>
        <d v="2025-06-30T13:52:00" u="1"/>
        <d v="2025-07-01T17:39:00" u="1"/>
        <d v="2025-06-30T18:00:00" u="1"/>
        <d v="2025-06-30T15:57:00" u="1"/>
        <d v="2025-07-01T15:08:00" u="1"/>
        <d v="2025-07-01T14:43:00" u="1"/>
        <d v="2025-06-30T20:52:00" u="1"/>
        <d v="2025-07-01T09:50:00" u="1"/>
        <d v="2025-06-30T13:02:00" u="1"/>
        <d v="2025-07-01T07:46:00" u="1"/>
        <d v="2025-01-13T12:11:00" u="1"/>
        <d v="2025-06-26T02:09:00" u="1"/>
        <d v="2025-06-25T12:08:00" u="1"/>
        <d v="2025-07-02T02:00:00" u="1"/>
        <d v="2025-06-25T10:46:00" u="1"/>
        <d v="2025-06-29T06:51:00" u="1"/>
        <d v="2025-06-30T03:24:00" u="1"/>
        <d v="2025-06-23T18:00:00" u="1"/>
        <d v="2025-06-27T03:59:00" u="1"/>
        <d v="2025-06-25T01:01:00" u="1"/>
        <d v="2025-06-30T17:16:00" u="1"/>
        <d v="2025-06-30T07:04:00" u="1"/>
        <d v="2025-06-27T01:00:00" u="1"/>
        <d v="2025-07-01T11:14:00" u="1"/>
        <d v="2025-07-01T10:03:00" u="1"/>
        <d v="2025-07-01T11:01:00" u="1"/>
        <d v="2025-07-01T16:46:00" u="1"/>
        <d v="2025-06-23T16:20:00" u="1"/>
        <d v="2025-07-01T12:34:00" u="1"/>
        <d v="2025-06-07T19:49:00" u="1"/>
        <d v="2025-05-22T19:49:00" u="1"/>
        <d v="2025-07-01T07:09:00" u="1"/>
        <d v="2025-06-13T13:41:00" u="1"/>
        <d v="2025-07-01T17:01:00" u="1"/>
        <d v="2025-06-30T16:02:00" u="1"/>
        <d v="2025-06-26T15:15:00" u="1"/>
        <d v="2025-06-23T07:49:00" u="1"/>
        <d v="2025-07-01T12:54:00" u="1"/>
        <d v="2025-06-24T03:14:00" u="1"/>
        <d v="2025-06-27T02:21:00" u="1"/>
        <d v="2025-07-02T05:17:00" u="1"/>
        <d v="2025-06-25T15:43:00" u="1"/>
        <d v="2025-06-25T04:00:00" u="1"/>
        <d v="2025-06-13T21:14:00" u="1"/>
        <d v="2025-06-09T10:56:00" u="1"/>
        <d v="2025-07-01T04:21:00" u="1"/>
        <d v="2025-07-01T14:40:00" u="1"/>
        <d v="2025-06-30T13:51:00" u="1"/>
        <d v="2025-06-30T09:36:00" u="1"/>
        <d v="2025-06-30T12:23:00" u="1"/>
        <d v="2025-06-30T09:58:00" u="1"/>
        <d v="2025-06-27T08:44:00" u="1"/>
        <d v="2025-06-30T10:23:00" u="1"/>
        <d v="2025-06-25T17:51:00" u="1"/>
        <d v="2025-06-27T13:32:00" u="1"/>
        <d v="2025-06-26T17:16:00" u="1"/>
        <d v="2025-06-30T12:17:00" u="1"/>
        <d v="2025-06-30T13:01:00" u="1"/>
        <d v="2025-06-27T06:39:00" u="1"/>
        <d v="2025-06-10T11:21:00" u="1"/>
        <d v="2025-06-16T13:30:00" u="1"/>
        <d v="2025-06-26T13:02:00" u="1"/>
        <d v="2025-06-25T08:56:00" u="1"/>
        <d v="2025-06-04T12:33:00" u="1"/>
        <d v="2025-06-25T08:51:00" u="1"/>
        <d v="2025-06-20T12:13:00" u="1"/>
        <d v="2025-06-30T15:24:00" u="1"/>
        <d v="2025-06-30T10:41:00" u="1"/>
        <d v="2025-06-30T09:04:00" u="1"/>
        <d v="2025-06-30T10:30:00" u="1"/>
        <d v="2025-06-12T15:47:00" u="1"/>
        <d v="2025-06-25T10:35:00" u="1"/>
        <d v="2025-06-24T18:52:00" u="1"/>
        <d v="2025-06-25T13:11:00" u="1"/>
        <d v="2025-06-23T17:11:00" u="1"/>
        <d v="2025-06-23T16:05:00" u="1"/>
        <d v="2025-06-24T16:46:00" u="1"/>
        <d v="2025-06-25T16:06:00" u="1"/>
        <d v="2025-06-27T15:16:00" u="1"/>
        <d v="2025-06-30T11:37:00" u="1"/>
        <d v="2025-06-30T14:41:00" u="1"/>
        <d v="2025-06-30T20:20:00" u="1"/>
        <d v="2025-06-25T07:30:00" u="1"/>
        <d v="2025-06-27T13:51:00" u="1"/>
        <d v="2025-06-30T07:55:00" u="1"/>
        <d v="2025-06-30T13:46:00" u="1"/>
        <d v="2025-06-30T11:25:00" u="1"/>
        <d v="2025-06-30T11:38:00" u="1"/>
        <d v="2025-06-30T07:39:00" u="1"/>
        <d v="2025-06-27T14:24:00" u="1"/>
        <d v="2025-06-27T09:35:00" u="1"/>
        <d v="2025-06-30T12:10:00" u="1"/>
        <d v="2025-06-30T06:54:00" u="1"/>
        <d v="2025-06-30T06:45:00" u="1"/>
        <d v="2025-06-30T12:54:00" u="1"/>
        <d v="2025-06-25T11:55:00" u="1"/>
        <d v="2025-01-24T17:11:00" u="1"/>
        <d v="2025-06-26T13:54:00" u="1"/>
        <d v="2025-06-27T18:56:00" u="1"/>
        <d v="2025-06-27T00:00:00" u="1"/>
        <d v="2025-06-25T08:50:00" u="1"/>
        <d v="2025-06-27T18:57:00" u="1"/>
        <d v="2025-06-27T19:01:00" u="1"/>
        <d v="2025-06-30T15:50:00" u="1"/>
        <d v="2025-06-30T15:43:00" u="1"/>
        <d v="2025-06-30T15:52:00" u="1"/>
        <d v="2025-06-30T15:41:00" u="1"/>
        <d v="2025-06-24T10:02:00" u="1"/>
        <d v="2025-06-26T14:51:00" u="1"/>
        <d v="2025-01-15T16:48:00" u="1"/>
        <d v="2025-06-26T10:25:00" u="1"/>
        <d v="2025-06-30T10:01:00" u="1"/>
        <d v="2025-06-30T10:40:00" u="1"/>
        <d v="2025-06-27T17:43:00" u="1"/>
        <d v="2025-06-27T17:28:00" u="1"/>
        <d v="2025-06-27T14:25:00" u="1"/>
        <d v="2025-06-25T13:48:00" u="1"/>
        <d v="2025-06-24T10:36:00" u="1"/>
        <d v="2025-06-26T11:31:00" u="1"/>
        <d v="2025-06-27T09:46:00" u="1"/>
        <d v="2025-06-27T08:27:00" u="1"/>
        <d v="2025-06-30T13:26:00" u="1"/>
        <d v="2025-06-30T18:11:00" u="1"/>
        <d v="2025-06-30T10:17:00" u="1"/>
        <d v="2025-06-24T14:48:00" u="1"/>
        <d v="2025-06-23T16:44:00" u="1"/>
        <d v="2025-06-09T12:04:00" u="1"/>
        <d v="2025-06-09T11:54:00" u="1"/>
        <d v="2025-06-10T11:38:00" u="1"/>
        <d v="2025-06-27T14:06:00" u="1"/>
        <d v="2025-06-25T18:22:00" u="1"/>
        <d v="2025-06-30T18:20:00" u="1"/>
        <d v="2025-06-18T17:45:00" u="1"/>
        <d v="2025-06-02T18:36:00" u="1"/>
        <d v="2025-06-03T11:07:00" u="1"/>
        <d v="2025-06-03T14:26:00" u="1"/>
        <d v="2025-06-30T09:20:00" u="1"/>
        <d v="2025-06-18T17:44:00" u="1"/>
        <d v="2025-06-30T14:07:00" u="1"/>
        <d v="2025-06-26T11:02:00" u="1"/>
        <d v="2025-06-27T16:21:00" u="1"/>
        <d v="2025-06-27T16:27:00" u="1"/>
        <d v="2025-06-23T14:26:00" u="1"/>
        <d v="2025-06-27T16:38:00" u="1"/>
        <d v="2025-06-30T08:57:00" u="1"/>
        <d v="2025-06-26T16:49:00" u="1"/>
        <d v="2025-06-10T22:14:00" u="1"/>
        <d v="2025-06-30T10:29:00" u="1"/>
        <d v="2025-06-30T14:33:00" u="1"/>
        <d v="2025-06-30T08:29:00" u="1"/>
        <d v="2025-06-26T17:51:00" u="1"/>
        <d v="2025-06-25T10:17:00" u="1"/>
        <d v="2025-06-30T17:12:00" u="1"/>
        <d v="2025-06-30T14:18:00" u="1"/>
        <d v="2025-06-25T09:37:00" u="1"/>
        <d v="2025-06-30T11:45:00" u="1"/>
        <d v="2025-06-30T08:49:00" u="1"/>
        <d v="2025-06-25T11:32:00" u="1"/>
        <d v="2025-06-26T19:08:00" u="1"/>
        <d v="2025-06-27T17:27:00" u="1"/>
        <d v="2025-06-27T12:05:00" u="1"/>
        <d v="2025-06-27T17:01:00" u="1"/>
        <d v="2025-06-27T16:41:00" u="1"/>
        <d v="2025-06-26T18:30:00" u="1"/>
        <d v="2025-06-26T12:30:00" u="1"/>
        <d v="2025-06-30T11:23:00" u="1"/>
        <d v="2025-06-28T09:52:00" u="1"/>
        <d v="2025-06-30T16:01:00" u="1"/>
        <d v="2025-07-01T05:59:00" u="1"/>
        <d v="2025-06-30T11:27:00" u="1"/>
        <d v="2025-06-26T16:38:00" u="1"/>
        <d v="2025-06-30T18:48:00" u="1"/>
        <d v="2025-06-23T14:04:00" u="1"/>
        <d v="2025-06-24T19:32:00" u="1"/>
        <d v="2025-06-26T14:46:00" u="1"/>
        <d v="2025-06-26T08:34:00" u="1"/>
        <d v="2025-06-30T14:37:00" u="1"/>
        <d v="2025-06-27T09:11:00" u="1"/>
        <d v="2025-06-26T08:41:00" u="1"/>
        <d v="2025-06-30T17:15:00" u="1"/>
        <d v="2025-06-26T08:45:00" u="1"/>
        <d v="2025-06-25T22:57:00" u="1"/>
        <d v="2025-06-24T14:05:00" u="1"/>
        <d v="2025-06-25T21:16:00" u="1"/>
        <d v="2025-06-26T08:27:00" u="1"/>
        <d v="2025-07-01T04:55:00" u="1"/>
        <d v="2025-07-01T04:54:00" u="1"/>
        <d v="2025-07-01T04:53:00" u="1"/>
        <d v="2025-06-30T14:31:00" u="1"/>
        <d v="2025-06-27T11:42:00" u="1"/>
        <d v="2025-06-24T14:33:00" u="1"/>
        <d v="2025-06-26T14:47:00" u="1"/>
        <d v="2025-06-25T10:30:00" u="1"/>
        <d v="2025-06-25T14:57:00" u="1"/>
        <d v="2025-06-25T14:46:00" u="1"/>
        <d v="2025-06-26T12:06:00" u="1"/>
        <d v="2025-06-24T15:31:00" u="1"/>
        <d v="2025-06-30T17:45:00" u="1"/>
        <d v="2025-06-30T16:23:00" u="1"/>
        <d v="2025-06-30T10:28:00" u="1"/>
        <d v="2025-06-27T11:38:00" u="1"/>
        <d v="2025-06-30T18:16:00" u="1"/>
        <d v="2025-06-25T15:41:00" u="1"/>
        <d v="2025-06-27T15:26:00" u="1"/>
        <d v="2025-06-27T16:18:00" u="1"/>
        <d v="2025-06-26T09:46:00" u="1"/>
        <d v="2025-06-24T17:43:00" u="1"/>
        <d v="2025-06-30T10:19:00" u="1"/>
        <d v="2025-06-30T13:24:00" u="1"/>
        <d v="2025-06-27T15:06:00" u="1"/>
        <d v="2025-06-30T13:27:00" u="1"/>
        <d v="2025-06-06T20:31:00" u="1"/>
        <d v="2025-06-28T17:16:00" u="1"/>
        <d v="2025-06-26T15:53:00" u="1"/>
        <d v="2025-06-30T16:35:00" u="1"/>
        <d v="2025-06-30T13:36:00" u="1"/>
        <d v="2025-06-30T16:16:00" u="1"/>
        <d v="2025-06-30T15:11:00" u="1"/>
        <d v="2025-06-06T15:50:00" u="1"/>
        <d v="2025-06-30T15:19:00" u="1"/>
        <d v="2025-06-27T14:13:00" u="1"/>
        <d v="2025-06-06T18:00:00" u="1"/>
        <d v="2025-06-27T11:35:00" u="1"/>
        <d v="2025-06-17T11:03:00" u="1"/>
        <d v="2025-06-26T06:55:00" u="1"/>
        <d v="2025-06-24T18:46:00" u="1"/>
        <d v="2025-06-30T11:08:00" u="1"/>
        <d v="2025-06-25T10:06:00" u="1"/>
        <d v="2025-06-24T19:12:00" u="1"/>
        <d v="2025-06-30T13:41:00" u="1"/>
        <d v="2025-06-25T19:25:00" u="1"/>
        <d v="2025-06-25T16:02:00" u="1"/>
        <d v="2025-06-30T13:40:00" u="1"/>
        <d v="2025-06-25T16:41:00" u="1"/>
        <d v="2025-06-27T16:37:00" u="1"/>
        <d v="2025-06-30T08:54:00" u="1"/>
        <d v="2025-06-27T07:07:00" u="1"/>
        <d v="2025-06-25T00:00:00" u="1"/>
        <d v="2025-06-24T23:27:00" u="1"/>
        <d v="2025-06-27T17:36:00" u="1"/>
        <d v="2025-06-26T17:25:00" u="1"/>
        <d v="2025-06-26T16:36:00" u="1"/>
        <d v="2025-06-26T17:00:00" u="1"/>
        <d v="2025-06-26T16:31:00" u="1"/>
        <d v="2025-06-26T17:05:00" u="1"/>
        <d v="2025-06-23T14:12:00" u="1"/>
        <d v="2025-06-24T19:02:00" u="1"/>
        <d v="2025-06-30T10:02:00" u="1"/>
        <d v="2025-06-26T12:13:00" u="1"/>
        <d v="2025-06-30T18:27:00" u="1"/>
        <d v="2025-06-23T13:55:00" u="1"/>
        <d v="2025-06-24T18:26:00" u="1"/>
        <d v="2025-06-26T11:17:00" u="1"/>
        <d v="2025-06-30T18:35:00" u="1"/>
        <d v="2025-06-25T13:33:00" u="1"/>
        <d v="2025-06-26T18:49:00" u="1"/>
        <d v="2025-06-30T15:55:00" u="1"/>
        <d v="2025-06-27T14:12:00" u="1"/>
        <d v="2025-06-27T15:23:00" u="1"/>
        <d v="2025-06-27T12:49:00" u="1"/>
        <d v="2025-06-12T17:37:00" u="1"/>
        <d v="2025-06-27T13:40:00" u="1"/>
        <d v="2025-06-27T13:42:00" u="1"/>
        <d v="2025-06-27T11:57:00" u="1"/>
        <d v="2025-06-27T11:33:00" u="1"/>
        <d v="2025-06-27T16:13:00" u="1"/>
        <d v="2025-06-27T16:01:00" u="1"/>
        <d v="2025-06-26T15:28:00" u="1"/>
        <d v="2025-06-26T14:36:00" u="1"/>
        <d v="2025-06-26T08:57:00" u="1"/>
        <d v="2025-06-27T11:48:00" u="1"/>
        <d v="2025-06-25T15:38:00" u="1"/>
        <d v="2025-06-27T09:33:00" u="1"/>
        <d v="2025-06-24T08:38:00" u="1"/>
        <d v="2025-06-27T16:15:00" u="1"/>
        <d v="2025-06-18T13:12:00" u="1"/>
        <d v="2025-06-28T12:01:00" u="1"/>
        <d v="2025-06-25T15:18:00" u="1"/>
        <d v="2025-06-27T17:13:00" u="1"/>
        <d v="2025-06-25T18:24:00" u="1"/>
        <d v="2025-06-25T17:43:00" u="1"/>
        <d v="2025-06-27T17:30:00" u="1"/>
        <d v="2025-06-25T16:39:00" u="1"/>
        <d v="2025-06-27T11:27:00" u="1"/>
        <d v="2025-06-26T09:11:00" u="1"/>
        <d v="2025-06-27T17:21:00" u="1"/>
        <d v="2025-06-27T14:55:00" u="1"/>
        <d v="2025-06-27T15:02:00" u="1"/>
        <d v="2025-06-26T08:29:00" u="1"/>
        <d v="2025-06-27T12:09:00" u="1"/>
        <d v="2025-02-09T00:00:00" u="1"/>
        <d v="2025-06-20T13:51:00" u="1"/>
        <d v="2025-06-24T15:30:00" u="1"/>
        <d v="2025-06-24T16:29:00" u="1"/>
        <d v="2025-06-24T09:40:00" u="1"/>
        <d v="2025-06-23T18:08:00" u="1"/>
        <d v="2025-06-23T17:15:00" u="1"/>
        <d v="2025-06-26T19:46:00" u="1"/>
        <d v="2025-06-27T10:41:00" u="1"/>
        <d v="2025-06-27T10:44:00" u="1"/>
        <d v="2025-06-26T07:18:00" u="1"/>
        <d v="2025-06-26T12:33:00" u="1"/>
        <d v="2025-06-25T11:52:00" u="1"/>
        <d v="2025-06-26T17:34:00" u="1"/>
        <d v="2025-06-27T18:46:00" u="1"/>
        <d v="2025-06-27T10:58:00" u="1"/>
        <d v="2025-06-27T08:23:00" u="1"/>
        <d v="2025-06-27T20:54:00" u="1"/>
        <d v="2025-06-26T23:27:00" u="1"/>
        <d v="2025-06-25T08:03:00" u="1"/>
        <d v="2025-06-26T16:11:00" u="1"/>
        <d v="2025-06-26T16:22:00" u="1"/>
        <d v="2025-06-26T16:27:00" u="1"/>
        <d v="2025-06-26T16:32:00" u="1"/>
        <d v="2025-06-26T15:57:00" u="1"/>
        <d v="2025-06-26T14:38:00" u="1"/>
        <d v="2025-06-26T15:18:00" u="1"/>
        <d v="2025-06-24T08:37:00" u="1"/>
        <d v="2025-06-26T08:49:00" u="1"/>
        <d v="2025-06-26T08:46:00" u="1"/>
        <d v="2025-06-25T14:44:00" u="1"/>
        <d v="2025-06-25T14:34:00" u="1"/>
        <d v="2025-06-20T10:11:00" u="1"/>
        <d v="2025-06-27T15:01:00" u="1"/>
        <d v="2025-06-27T13:55:00" u="1"/>
        <d v="2025-06-27T14:22:00" u="1"/>
        <d v="2025-06-26T17:36:00" u="1"/>
        <d v="2025-06-27T10:34:00" u="1"/>
        <d v="2025-05-26T07:38:00" u="1"/>
        <d v="2025-06-27T09:04:00" u="1"/>
        <d v="2025-06-27T17:47:00" u="1"/>
        <d v="2025-06-26T15:08:00" u="1"/>
        <d v="2025-06-27T06:44:00" u="1"/>
        <d v="2025-06-27T14:32:00" u="1"/>
        <d v="2025-06-27T13:29:00" u="1"/>
        <d v="2025-06-24T12:28:00" u="1"/>
        <d v="2025-06-12T13:33:00" u="1"/>
        <d v="2025-06-27T14:39:00" u="1"/>
        <d v="2025-06-27T13:38:00" u="1"/>
        <d v="2025-06-27T13:39:00" u="1"/>
        <d v="2025-06-27T12:02:00" u="1"/>
        <d v="2025-06-27T14:58:00" u="1"/>
        <d v="2025-06-27T15:50:00" u="1"/>
        <d v="2025-06-20T12:51:00" u="1"/>
        <d v="2025-06-20T12:52:00" u="1"/>
        <d v="2025-06-04T10:50:00" u="1"/>
        <d v="2025-06-25T18:02:00" u="1"/>
        <d v="2025-06-26T10:32:00" u="1"/>
        <d v="2025-06-24T17:59:00" u="1"/>
        <d v="2025-06-25T15:21:00" u="1"/>
        <d v="2025-06-25T08:47:00" u="1"/>
        <d v="2025-06-18T17:15:00" u="1"/>
        <d v="2025-06-26T13:51:00" u="1"/>
        <d v="2025-06-24T13:49:00" u="1"/>
        <d v="2025-06-24T18:57:00" u="1"/>
        <d v="2025-06-20T09:23:00" u="1"/>
        <d v="2025-06-23T13:51:00" u="1"/>
        <d v="2025-06-23T11:22:00" u="1"/>
        <d v="2025-06-25T14:28:00" u="1"/>
        <d v="2025-06-25T14:29:00" u="1"/>
        <d v="2025-06-26T13:00:00" u="1"/>
        <d v="2025-06-20T16:16:00" u="1"/>
        <d v="2025-06-20T16:51:00" u="1"/>
        <d v="2025-06-26T15:49:00" u="1"/>
        <d v="2025-06-26T16:06:00" u="1"/>
        <d v="2025-06-26T16:14:00" u="1"/>
        <d v="2025-06-26T16:20:00" u="1"/>
        <d v="2025-06-26T12:25:00" u="1"/>
        <d v="2025-06-26T12:53:00" u="1"/>
        <d v="2025-06-26T09:02:00" u="1"/>
        <d v="2025-06-26T08:52:00" u="1"/>
        <d v="2025-06-25T16:51:00" u="1"/>
        <d v="2025-06-25T14:40:00" u="1"/>
        <d v="2025-06-26T09:01:00" u="1"/>
        <d v="2025-06-26T11:53:00" u="1"/>
        <d v="2025-06-26T11:52:00" u="1"/>
        <d v="2025-06-26T11:57:00" u="1"/>
        <d v="2025-06-25T13:49:00" u="1"/>
        <d v="2025-06-26T07:02:00" u="1"/>
        <d v="2025-06-25T09:13:00" u="1"/>
        <d v="2025-06-26T15:24:00" u="1"/>
        <d v="2025-06-26T09:26:00" u="1"/>
        <d v="2025-06-20T08:34:00" u="1"/>
        <d v="2025-06-20T09:21:00" u="1"/>
        <d v="2025-06-24T10:30:00" u="1"/>
        <d v="2025-06-24T10:39:00" u="1"/>
        <d v="2025-06-24T10:42:00" u="1"/>
        <d v="2025-06-25T09:17:00" u="1"/>
        <d v="2025-06-26T17:35:00" u="1"/>
        <d v="2025-06-24T12:24:00" u="1"/>
        <d v="2025-06-26T10:24:00" u="1"/>
        <d v="2025-06-25T14:38:00" u="1"/>
        <d v="2025-06-24T13:50:00" u="1"/>
        <d v="2025-06-26T09:17:00" u="1"/>
        <d v="2025-06-26T14:57:00" u="1"/>
        <d v="2025-06-26T15:01:00" u="1"/>
        <d v="2025-06-26T12:22:00" u="1"/>
        <d v="2025-06-26T15:09:00" u="1"/>
        <d v="2025-06-26T15:19:00" u="1"/>
        <d v="2025-05-28T14:09:00" u="1"/>
        <d v="2025-06-26T16:46:00" u="1"/>
        <d v="2025-06-13T10:02:00" u="1"/>
        <d v="2025-06-06T15:30:00" u="1"/>
        <d v="2025-06-25T08:55:00" u="1"/>
        <d v="2025-05-05T09:03:00" u="1"/>
        <d v="2025-06-25T10:33:00" u="1"/>
        <d v="2025-06-25T11:25:00" u="1"/>
        <d v="2025-06-25T12:42:00" u="1"/>
        <d v="2025-06-25T12:48:00" u="1"/>
        <d v="2025-06-25T12:33:00" u="1"/>
        <d v="2025-06-17T11:39:00" u="1"/>
        <d v="2025-06-16T09:53:00" u="1"/>
        <d v="2025-06-25T12:16:00" u="1"/>
        <d v="2025-06-26T12:31:00" u="1"/>
        <d v="2025-06-26T16:16:00" u="1"/>
        <d v="2025-06-25T12:04:00" u="1"/>
        <d v="2025-06-25T13:07:00" u="1"/>
        <d v="2025-06-25T11:58:00" u="1"/>
        <d v="2025-06-25T12:11:00" u="1"/>
        <d v="2025-06-10T13:21:00" u="1"/>
        <d v="2025-06-18T15:06:00" u="1"/>
        <d v="2025-06-25T08:58:00" u="1"/>
        <d v="2025-06-11T15:19:00" u="1"/>
        <d v="2025-06-25T18:25:00" u="1"/>
        <d v="2025-06-10T15:33:00" u="1"/>
        <d v="2025-06-24T09:46:00" u="1"/>
        <d v="2025-06-23T14:43:00" u="1"/>
        <d v="2025-06-18T12:19:00" u="1"/>
        <d v="2025-06-25T13:03:00" u="1"/>
        <d v="2025-06-22T12:48:00" u="1"/>
        <d v="2025-06-11T09:13:00" u="1"/>
        <d v="2025-06-09T08:57:00" u="1"/>
        <d v="2025-06-24T17:22:00" u="1"/>
        <d v="2025-06-24T14:40:12" u="1"/>
        <d v="2025-06-24T14:40:00" u="1"/>
        <d v="2025-06-24T16:44:00" u="1"/>
        <d v="2025-06-24T16:19:00" u="1"/>
        <d v="2025-06-24T16:20:00" u="1"/>
        <d v="2025-06-24T16:26:00" u="1"/>
        <d v="2025-06-24T16:27:00" u="1"/>
        <d v="2025-06-25T15:47:00" u="1"/>
        <d v="2025-06-25T14:10:00" u="1"/>
        <d v="2025-06-20T15:34:00" u="1"/>
        <d v="2025-06-19T00:00:00" u="1"/>
        <d v="2025-06-25T18:27:00" u="1"/>
        <d v="2025-06-23T18:23:00" u="1"/>
        <d v="2025-06-25T08:23:00" u="1"/>
        <d v="2025-06-16T08:45:00" u="1"/>
        <d v="2025-05-28T00:00:00" u="1"/>
        <d v="2025-06-25T14:30:00" u="1"/>
        <d v="2025-06-19T07:58:00" u="1"/>
        <d v="2025-06-24T11:58:00" u="1"/>
        <d v="2025-05-14T15:07:00" u="1"/>
        <d v="2025-06-03T10:08:00" u="1"/>
        <d v="2025-06-18T14:03:00" u="1"/>
        <d v="2025-06-24T08:59:00" u="1"/>
        <d v="2025-06-24T09:41:00" u="1"/>
        <d v="2025-05-28T16:01:00" u="1"/>
        <d v="2025-06-04T07:43:00" u="1"/>
        <d v="2025-06-09T07:48:00" u="1"/>
        <d v="2025-06-25T14:35:00" u="1"/>
        <d v="2025-06-13T08:54:00" u="1"/>
        <d v="2025-06-12T12:31:00" u="1"/>
        <d v="2025-06-12T12:34:00" u="1"/>
        <d v="2025-06-12T12:37:00" u="1"/>
        <d v="2025-06-04T08:08:00" u="1"/>
        <d v="2025-06-04T08:10:00" u="1"/>
        <d v="2025-06-04T09:04:00" u="1"/>
        <d v="2025-06-06T08:49:00" u="1"/>
        <d v="2025-06-12T11:48:00" u="1"/>
        <d v="2025-06-12T12:06:00" u="1"/>
        <d v="2025-06-04T13:13:00" u="1"/>
        <d v="2025-06-06T07:19:00" u="1"/>
        <d v="2025-06-24T00:00:00" u="1"/>
        <d v="2025-06-06T14:12:00" u="1"/>
        <d v="2025-06-25T18:11:00" u="1"/>
        <d v="2025-06-25T18:31:00" u="1"/>
        <d v="2025-06-23T07:00:00" u="1"/>
        <d v="2025-06-12T15:36:00" u="1"/>
        <d v="2025-06-12T08:57:00" u="1"/>
        <d v="2025-06-24T09:32:00" u="1"/>
        <d v="2025-06-23T12:12:00" u="1"/>
        <d v="2025-06-13T08:01:00" u="1"/>
        <d v="2025-04-25T00:00:00" u="1"/>
        <d v="2025-06-24T07:54:00" u="1"/>
        <d v="2025-06-23T07:32:00" u="1"/>
        <d v="2025-06-23T13:53:00" u="1"/>
        <d v="2025-06-06T09:23:00" u="1"/>
        <d v="2024-12-13T13:42:00" u="1"/>
        <d v="2025-06-12T14:19:00" u="1"/>
        <d v="2025-06-16T10:35:00" u="1"/>
        <d v="2025-06-23T06:43:00" u="1"/>
        <d v="2025-06-23T06:42:00" u="1"/>
        <d v="2025-04-29T07:48:00" u="1"/>
        <d v="2025-06-11T11:36:00" u="1"/>
        <d v="2025-06-25T15:35:00" u="1"/>
        <d v="2025-06-25T15:29:00" u="1"/>
        <d v="2025-06-25T08:07:00" u="1"/>
        <d v="2025-06-25T17:45:00" u="1"/>
        <d v="2025-06-25T17:50:00" u="1"/>
        <d v="2025-06-25T10:54:00" u="1"/>
        <d v="2025-06-24T10:58:00" u="1"/>
        <d v="2025-06-24T10:49:00" u="1"/>
        <d v="2025-06-12T09:47:00" u="1"/>
        <d v="2025-06-14T18:36:00" u="1"/>
        <d v="2025-05-15T07:57:00" u="1"/>
        <d v="2025-06-14T18:51:00" u="1"/>
        <d v="2025-06-25T15:31:00" u="1"/>
        <d v="2025-06-24T15:32:00" u="1"/>
        <d v="2025-01-16T11:41:00" u="1"/>
        <d v="2025-06-16T08:51:00" u="1"/>
        <d v="2025-06-24T19:22:00" u="1"/>
        <d v="2025-06-19T09:57:00" u="1"/>
        <d v="2025-06-14T19:21:00" u="1"/>
        <d v="2025-06-25T11:00:00" u="1"/>
        <d v="2025-06-25T09:44:00" u="1"/>
        <d v="2025-06-24T10:11:00" u="1"/>
        <d v="2025-06-24T08:23:00" u="1"/>
        <d v="2025-06-23T17:56:00" u="1"/>
        <d v="2025-06-24T15:17:00" u="1"/>
        <d v="2025-06-23T11:07:00" u="1"/>
        <d v="2025-06-24T15:37:00" u="1"/>
        <d v="2025-06-24T10:57:00" u="1"/>
        <d v="2025-06-23T12:33:00" u="1"/>
        <d v="2025-06-23T11:55:00" u="1"/>
        <d v="2025-06-16T05:08:00" u="1"/>
        <d v="2025-06-23T09:16:00" u="1"/>
        <d v="2025-06-23T08:52:00" u="1"/>
        <d v="2025-06-23T08:41:00" u="1"/>
        <d v="2025-06-23T10:16:00" u="1"/>
        <d v="2025-06-20T13:30:00" u="1"/>
        <d v="2025-06-20T13:47:00" u="1"/>
        <d v="2025-06-24T09:53:00" u="1"/>
        <d v="2025-06-23T08:14:00" u="1"/>
        <d v="2025-06-23T10:05:00" u="1"/>
        <d v="2025-06-23T18:51:00" u="1"/>
        <d v="2025-06-18T18:11:00" u="1"/>
        <d v="2025-06-10T07:55:00" u="1"/>
        <d v="2025-06-16T11:01:00" u="1"/>
        <d v="2025-06-23T11:04:00" u="1"/>
        <d v="2025-06-17T10:08:00" u="1"/>
        <d v="2025-06-23T13:37:00" u="1"/>
        <d v="2025-06-23T10:48:00" u="1"/>
        <d v="2025-06-18T10:45:00" u="1"/>
        <d v="2025-06-17T14:27:00" u="1"/>
        <d v="2025-06-12T14:43:00" u="1"/>
        <d v="2025-05-26T06:10:00" u="1"/>
        <d v="2025-06-20T09:53:00" u="1"/>
        <d v="2025-06-23T13:52:00" u="1"/>
        <d v="2025-06-17T11:53:00" u="1"/>
        <d v="2025-06-24T12:55:00" u="1"/>
        <d v="2025-06-24T10:48:00" u="1"/>
        <d v="2025-06-23T14:49:00" u="1"/>
        <d v="2025-06-24T09:29:00" u="1"/>
        <d v="2025-06-24T09:35:00" u="1"/>
        <d v="2025-06-24T08:33:00" u="1"/>
        <d v="2025-06-24T08:35:00" u="1"/>
        <d v="2025-06-24T15:03:00" u="1"/>
        <d v="2025-06-24T13:41:00" u="1"/>
        <d v="2025-06-24T14:06:00" u="1"/>
        <d v="2025-06-24T13:37:00" u="1"/>
        <d v="2025-06-23T09:49:00" u="1"/>
        <d v="2025-06-23T08:11:00" u="1"/>
        <d v="2025-06-24T08:40:00" u="1"/>
        <d v="2025-06-23T12:18:00" u="1"/>
        <d v="2025-06-24T13:51:00" u="1"/>
        <d v="2025-06-24T14:02:00" u="1"/>
        <d v="2025-06-23T15:01:00" u="1"/>
        <d v="2025-06-23T15:00:00" u="1"/>
        <d v="2025-06-20T18:41:00" u="1"/>
        <d v="2025-06-20T18:39:00" u="1"/>
        <d v="2025-06-24T10:19:00" u="1"/>
        <d v="2025-06-24T10:18:00" u="1"/>
        <d v="2025-06-24T10:17:00" u="1"/>
        <d v="2025-06-23T14:00:00" u="1"/>
        <d v="2025-06-20T15:30:00" u="1"/>
        <d v="2025-06-20T09:22:00" u="1"/>
        <d v="2025-06-23T14:13:00" u="1"/>
        <d v="2025-06-23T14:23:00" u="1"/>
        <d v="2025-06-12T17:17:00" u="1"/>
        <d v="2025-06-20T11:51:00" u="1"/>
        <d v="2025-06-23T10:43:00" u="1"/>
        <d v="2025-06-24T11:29:00" u="1"/>
        <d v="2025-06-24T14:59:00" u="1"/>
        <d v="2025-06-24T13:44:00" u="1"/>
        <d v="2025-06-24T14:14:00" u="1"/>
        <d v="2025-06-23T17:45:00" u="1"/>
        <d v="2025-06-24T14:12:00" u="1"/>
        <d v="2025-06-23T15:04:00" u="1"/>
        <d v="2025-06-23T12:16:00" u="1"/>
        <d v="2025-06-24T10:45:00" u="1"/>
        <d v="2025-06-24T09:15:00" u="1"/>
        <d v="2025-06-23T11:46:00" u="1"/>
        <d v="2025-06-20T15:16:00" u="1"/>
        <d v="2025-06-23T17:39:00" u="1"/>
        <d v="2025-06-23T15:47:00" u="1"/>
        <d v="2025-06-23T14:29:00" u="1"/>
        <d v="2025-06-23T15:46:00" u="1"/>
        <d v="2025-06-24T18:43:00" u="1"/>
        <d v="2025-06-23T13:03:00" u="1"/>
        <d v="2025-06-23T11:03:00" u="1"/>
        <d v="2025-06-23T09:53:00" u="1"/>
        <d v="2025-06-23T15:45:00" u="1"/>
        <d v="2025-06-22T13:56:00" u="1"/>
        <d v="2025-06-23T16:51:00" u="1"/>
        <d v="2025-06-23T11:43:00" u="1"/>
        <d v="2025-04-01T15:04:00" u="1"/>
        <d v="2025-05-29T14:11:00" u="1"/>
        <d v="2025-05-17T11:46:00" u="1"/>
        <d v="2025-06-04T14:55:00" u="1"/>
        <d v="2025-06-13T15:43:00" u="1"/>
        <d v="2025-06-21T14:33:00" u="1"/>
        <d v="2025-02-12T16:00:00" u="1"/>
        <d v="2025-02-07T10:49:00" u="1"/>
        <d v="2025-02-21T15:33:00" u="1"/>
        <d v="2025-06-24T15:57:19" u="1"/>
        <d v="2025-06-24T18:48:00" u="1"/>
        <d v="2025-06-24T17:01:00" u="1"/>
        <d v="2025-06-24T20:44:00" u="1"/>
        <d v="2025-06-24T16:54:00" u="1"/>
        <d v="2025-06-24T17:00:00" u="1"/>
        <d v="2025-06-17T17:59:00" u="1"/>
        <d v="2025-06-25T00:19:00" u="1"/>
        <d v="2025-05-06T08:15:00" u="1"/>
        <d v="2025-05-16T22:30:00" u="1"/>
        <d v="2025-05-23T08:52:00" u="1"/>
        <d v="2025-05-19T13:34:00" u="1"/>
        <d v="2025-05-19T11:44:00" u="1"/>
        <d v="2025-05-19T13:36:00" u="1"/>
        <d v="2025-05-20T04:30:00" u="1"/>
        <d v="2025-05-19T00:00:00" u="1"/>
        <d v="2025-05-23T08:36:00" u="1"/>
        <d v="2025-05-26T08:26:00" u="1"/>
        <d v="2025-06-17T07:57:00" u="1"/>
        <d v="2025-05-19T12:31:00" u="1"/>
        <d v="2025-05-22T09:15:00" u="1"/>
        <d v="2025-05-26T06:46:00" u="1"/>
        <d v="2025-05-23T07:52:00" u="1"/>
        <d v="2025-05-26T00:00:00" u="1"/>
        <d v="2025-05-20T19:10:00" u="1"/>
        <d v="2025-05-22T11:50:00" u="1"/>
        <d v="2025-06-23T16:18:00" u="1"/>
        <d v="2025-06-24T13:23:00" u="1"/>
        <d v="2025-05-20T10:39:00" u="1"/>
        <d v="2025-05-22T10:49:00" u="1"/>
        <d v="2025-05-27T15:29:00" u="1"/>
        <d v="2025-05-27T19:19:00" u="1"/>
        <d v="2025-05-23T12:13:00" u="1"/>
        <d v="2025-05-15T09:43:00" u="1"/>
        <d v="2025-05-27T04:07:00" u="1"/>
        <d v="2025-05-23T13:35:00" u="1"/>
        <d v="2025-05-21T00:00:00" u="1"/>
        <d v="2025-03-21T07:40:00" u="1"/>
        <d v="2025-06-24T13:38:00" u="1"/>
        <d v="2025-05-26T07:26:00" u="1"/>
        <d v="2025-05-26T07:24:00" u="1"/>
        <d v="2025-05-20T16:28:00" u="1"/>
        <d v="2025-05-05T09:41:00" u="1"/>
        <d v="2025-05-23T08:37:00" u="1"/>
        <d v="2025-05-27T11:31:00" u="1"/>
        <d v="2025-05-22T06:47:00" u="1"/>
        <d v="2025-05-13T00:00:00" u="1"/>
        <d v="2025-05-12T12:41:00" u="1"/>
        <d v="2025-05-28T17:30:00" u="1"/>
        <d v="2025-05-19T12:33:00" u="1"/>
        <d v="2025-05-15T07:49:00" u="1"/>
        <d v="2025-05-20T00:00:00" u="1"/>
        <d v="2025-05-27T15:11:00" u="1"/>
        <d v="2025-05-22T13:20:00" u="1"/>
        <d v="2025-05-20T08:31:00" u="1"/>
        <d v="2025-05-19T11:46:00" u="1"/>
        <d v="2025-05-19T15:32:00" u="1"/>
        <d v="2025-05-23T10:07:00" u="1"/>
        <d v="2025-05-26T10:38:00" u="1"/>
        <d v="2025-05-27T13:54:00" u="1"/>
        <d v="2025-05-20T14:36:00" u="1"/>
        <d v="2025-05-27T08:39:00" u="1"/>
        <d v="2025-05-27T08:50:00" u="1"/>
        <d v="2025-04-29T08:09:00" u="1"/>
        <d v="2025-05-26T07:00:00" u="1"/>
        <d v="2025-04-08T15:50:00" u="1"/>
        <d v="2025-04-11T09:06:00" u="1"/>
        <d v="2025-03-20T06:23:00" u="1"/>
        <d v="2025-05-26T07:18:00" u="1"/>
        <d v="2025-05-16T10:16:00" u="1"/>
        <d v="2025-05-23T15:41:00" u="1"/>
        <d v="2025-04-08T15:52:00" u="1"/>
        <d v="2025-05-16T07:27:00" u="1"/>
        <d v="2024-11-28T00:00:00" u="1"/>
        <d v="2025-05-19T15:17:00" u="1"/>
        <d v="2025-05-23T11:25:00" u="1"/>
        <d v="2025-05-15T00:00:00" u="1"/>
        <d v="2025-02-27T06:25:00" u="1"/>
        <d v="2025-05-28T09:03:00" u="1"/>
        <d v="2025-03-24T12:55:00" u="1"/>
        <d v="2025-03-31T07:48:00" u="1"/>
        <d v="2025-05-20T16:30:00" u="1"/>
        <d v="2025-04-11T07:32:00" u="1"/>
        <d v="2025-05-22T11:49:00" u="1"/>
        <d v="2025-05-16T07:19:00" u="1"/>
        <d v="2025-05-22T10:00:00" u="1"/>
        <d v="2025-05-19T13:29:00" u="1"/>
        <d v="2025-05-23T07:53:00" u="1"/>
        <d v="2025-03-06T06:44:00" u="1"/>
        <d v="2025-03-06T07:21:00" u="1"/>
        <d v="2025-06-18T04:59:00" u="1"/>
        <d v="2025-05-23T19:14:00" u="1"/>
        <d v="2025-06-18T05:25:00" u="1"/>
        <d v="2025-06-19T03:54:00" u="1"/>
        <d v="2025-06-20T00:59:00" u="1"/>
        <d v="2025-06-20T03:00:00" u="1"/>
        <d v="2025-05-23T12:46:00" u="1"/>
        <d v="2025-05-16T07:14:00" u="1"/>
        <d v="2025-05-05T13:29:00" u="1"/>
        <d v="2025-05-15T18:00:00" u="1"/>
        <d v="2025-05-21T19:00:00" u="1"/>
        <d v="2025-06-18T13:00:00" u="1"/>
        <d v="2025-05-26T09:14:00" u="1"/>
        <d v="2025-06-24T19:57:00" u="1"/>
        <d v="2025-05-30T08:18:00" u="1"/>
        <d v="2025-05-30T08:23:00" u="1"/>
        <d v="2025-06-18T17:17:00" u="1"/>
        <d v="2025-05-23T08:28:00" u="1"/>
        <d v="2025-05-20T13:08:00" u="1"/>
        <d v="2025-05-16T00:00:00" u="1"/>
        <d v="2025-06-12T08:45:00" u="1"/>
        <d v="2025-05-23T11:17:00" u="1"/>
        <d v="2025-05-23T09:10:00" u="1"/>
        <d v="2025-05-23T08:09:00" u="1"/>
        <d v="2025-05-19T12:18:00" u="1"/>
        <d v="2025-03-05T00:00:00" u="1"/>
        <d v="2025-05-29T15:22:00" u="1"/>
        <d v="2025-05-04T00:00:00" u="1"/>
        <d v="2025-05-29T08:18:00" u="1"/>
        <d v="2025-05-30T10:12:00" u="1"/>
        <d v="2025-05-07T10:06:00" u="1"/>
        <d v="2025-06-17T15:31:00" u="1"/>
        <d v="2025-05-22T10:39:00" u="1"/>
        <d v="2025-03-21T13:38:00" u="1"/>
        <d v="2025-06-06T19:17:00" u="1"/>
        <d v="2025-06-16T10:17:00" u="1"/>
        <d v="2025-06-18T14:57:00" u="1"/>
        <d v="2025-04-29T10:01:00" u="1"/>
        <d v="2025-04-29T10:00:00" u="1"/>
        <d v="2025-05-16T10:21:00" u="1"/>
        <d v="2025-05-16T09:22:00" u="1"/>
        <d v="2025-06-09T11:47:00" u="1"/>
        <d v="2025-06-24T19:38:00" u="1"/>
        <d v="2025-06-24T15:28:00" u="1"/>
        <d v="2025-06-23T09:52:00" u="1"/>
        <d v="2025-05-26T12:23:00" u="1"/>
        <d v="2025-06-17T04:20:00" u="1"/>
        <d v="2025-05-21T02:44:00" u="1"/>
        <d v="2025-06-24T17:11:00" u="1"/>
        <d v="2025-05-23T10:45:00" u="1"/>
        <d v="2025-05-16T14:21:00" u="1"/>
        <d v="2025-03-18T00:00:00" u="1"/>
        <d v="2025-05-23T09:55:00" u="1"/>
        <d v="2025-05-16T08:01:00" u="1"/>
        <d v="2025-05-23T08:50:00" u="1"/>
        <d v="2025-03-19T07:39:00" u="1"/>
        <d v="2025-06-20T07:09:00" u="1"/>
        <d v="2025-06-23T17:22:00" u="1"/>
        <d v="2025-06-17T15:34:00" u="1"/>
        <d v="2025-06-18T17:26:00" u="1"/>
        <d v="2025-06-04T11:37:00" u="1"/>
        <d v="2025-06-23T16:47:00" u="1"/>
        <d v="2025-06-24T16:18:00" u="1"/>
        <d v="2025-06-23T11:38:00" u="1"/>
        <d v="2025-06-04T00:00:00" u="1"/>
        <d v="2025-06-17T16:18:00" u="1"/>
        <d v="2025-06-16T16:28:00" u="1"/>
        <d v="2025-06-20T09:43:00" u="1"/>
        <d v="2025-06-20T14:35:00" u="1"/>
        <d v="2025-06-23T07:04:00" u="1"/>
        <d v="2025-06-09T12:25:00" u="1"/>
        <d v="2025-06-23T11:29:00" u="1"/>
        <d v="2025-06-23T09:18:00" u="1"/>
        <d v="2025-06-18T18:18:00" u="1"/>
        <d v="2025-06-23T12:54:00" u="1"/>
        <d v="2025-06-18T16:21:00" u="1"/>
        <d v="2025-06-10T09:40:00" u="1"/>
        <d v="2025-06-13T15:15:00" u="1"/>
        <d v="2025-06-23T08:43:00" u="1"/>
        <d v="2025-06-09T13:54:00" u="1"/>
        <d v="2025-06-20T11:34:00" u="1"/>
        <d v="2025-06-18T16:46:00" u="1"/>
        <d v="2025-06-20T11:22:00" u="1"/>
        <d v="2025-06-23T11:12:00" u="1"/>
        <d v="2025-06-23T11:13:00" u="1"/>
        <d v="2025-06-23T12:38:00" u="1"/>
        <d v="2025-06-23T11:56:00" u="1"/>
        <d v="2025-06-23T15:19:00" u="1"/>
        <d v="2025-06-23T16:23:00" u="1"/>
        <d v="2025-06-17T09:20:00" u="1"/>
        <d v="2025-06-17T09:17:00" u="1"/>
        <d v="2025-06-18T14:40:00" u="1"/>
        <d v="2025-06-23T11:32:00" u="1"/>
        <d v="2025-06-18T16:59:00" u="1"/>
        <d v="2025-06-21T12:17:00" u="1"/>
        <d v="2025-06-23T09:45:00" u="1"/>
        <d v="2025-06-16T17:04:00" u="1"/>
        <d v="2025-06-23T13:18:00" u="1"/>
        <d v="2025-06-18T22:30:00" u="1"/>
        <d v="2025-06-20T14:30:00" u="1"/>
        <d v="2025-06-23T15:56:00" u="1"/>
        <d v="2025-06-23T16:09:00" u="1"/>
        <d v="2025-06-23T15:20:00" u="1"/>
        <d v="2025-06-23T14:37:00" u="1"/>
        <d v="2025-06-20T13:38:00" u="1"/>
        <d v="2025-06-20T15:48:00" u="1"/>
        <d v="2025-06-20T16:27:00" u="1"/>
        <d v="2025-06-20T16:50:00" u="1"/>
        <d v="2025-06-20T17:05:00" u="1"/>
        <d v="2025-06-20T10:49:00" u="1"/>
        <d v="2025-06-18T17:43:00" u="1"/>
        <d v="2025-06-20T13:15:00" u="1"/>
        <d v="2025-06-20T15:04:00" u="1"/>
        <d v="2025-06-20T15:59:00" u="1"/>
        <d v="2025-06-20T16:07:00" u="1"/>
        <d v="2025-06-21T14:22:00" u="1"/>
        <d v="2025-06-20T13:56:00" u="1"/>
        <d v="2025-06-20T14:39:00" u="1"/>
        <d v="2025-06-19T16:38:00" u="1"/>
        <d v="2025-06-23T16:49:00" u="1"/>
        <d v="2025-06-18T16:19:00" u="1"/>
        <d v="2025-06-23T13:02:00" u="1"/>
        <d v="2025-06-23T13:05:00" u="1"/>
        <d v="2025-06-23T14:59:00" u="1"/>
        <d v="2025-06-02T12:44:00" u="1"/>
        <d v="2025-06-04T13:45:00" u="1"/>
        <d v="2025-06-23T14:19:00" u="1"/>
        <d v="2025-06-20T16:18:00" u="1"/>
        <d v="2025-06-23T14:55:00" u="1"/>
        <d v="2025-06-20T14:13:00" u="1"/>
        <d v="2025-06-16T15:29:00" u="1"/>
        <d v="2025-05-11T15:18:00" u="1"/>
        <d v="2025-06-23T13:11:00" u="1"/>
        <d v="2025-06-23T10:29:00" u="1"/>
        <d v="2025-06-23T17:20:00" u="1"/>
        <d v="2025-06-18T18:05:00" u="1"/>
        <d v="2025-06-13T09:41:00" u="1"/>
        <d v="2025-06-20T13:06:00" u="1"/>
        <d v="2025-06-05T15:00:00" u="1"/>
        <d v="2025-06-20T14:55:00" u="1"/>
        <d v="2025-06-20T09:45:00" u="1"/>
        <d v="2025-06-23T11:49:00" u="1"/>
        <d v="2025-06-23T11:21:00" u="1"/>
        <d v="2025-06-20T12:06:00" u="1"/>
        <d v="2025-06-16T08:32:00" u="1"/>
        <d v="2025-06-23T08:20:00" u="1"/>
        <d v="2025-06-23T20:40:00" u="1"/>
        <d v="2025-06-18T16:16:00" u="1"/>
        <d v="2025-06-16T15:51:00" u="1"/>
        <d v="2025-06-18T15:30:00" u="1"/>
        <d v="2025-06-16T14:03:00" u="1"/>
        <d v="2025-06-20T16:55:00" u="1"/>
        <d v="2025-06-18T16:47:00" u="1"/>
        <d v="2025-06-19T12:23:00" u="1"/>
        <d v="2025-06-06T13:19:00" u="1"/>
        <d v="2025-06-18T10:02:00" u="1"/>
        <d v="2025-06-18T08:08:00" u="1"/>
        <d v="2025-06-18T15:42:00" u="1"/>
        <d v="2025-06-18T18:24:00" u="1"/>
        <d v="2025-06-20T18:54:00" u="1"/>
        <d v="2025-06-18T16:22:00" u="1"/>
        <d v="2025-06-20T15:45:00" u="1"/>
        <d v="2025-06-20T10:33:00" u="1"/>
        <d v="2025-06-17T17:17:00" u="1"/>
        <d v="2025-06-20T15:33:00" u="1"/>
        <d v="2025-06-17T11:31:00" u="1"/>
        <d v="2025-06-17T11:56:00" u="1"/>
        <d v="2025-06-18T12:12:00" u="1"/>
        <d v="2025-06-18T10:30:00" u="1"/>
        <d v="2025-06-17T17:00:00" u="1"/>
        <d v="2025-06-17T14:39:00" u="1"/>
        <d v="2025-06-20T14:52:00" u="1"/>
        <d v="2025-06-20T16:09:00" u="1"/>
        <d v="2025-06-18T17:49:00" u="1"/>
        <d v="2025-06-20T15:39:00" u="1"/>
        <d v="2025-06-20T13:18:00" u="1"/>
        <d v="2025-06-20T11:13:00" u="1"/>
        <d v="2025-06-17T10:15:00" u="1"/>
        <d v="2025-06-20T08:08:00" u="1"/>
        <d v="2025-06-20T18:19:00" u="1"/>
        <d v="2025-06-16T17:49:00" u="1"/>
        <d v="2025-06-17T11:28:00" u="1"/>
        <d v="2025-06-17T08:38:00" u="1"/>
        <d v="2025-06-16T09:55:00" u="1"/>
        <d v="2025-06-18T12:29:00" u="1"/>
        <d v="2025-06-18T20:01:00" u="1"/>
        <d v="2025-06-17T12:04:00" u="1"/>
        <d v="2025-06-17T17:44:00" u="1"/>
        <d v="2025-06-20T16:36:00" u="1"/>
        <d v="2025-06-20T16:35:00" u="1"/>
        <d v="2025-06-18T14:41:00" u="1"/>
        <d v="2025-06-18T14:42:00" u="1"/>
        <d v="2025-05-28T16:11:00" u="1"/>
        <d v="2025-06-16T15:48:00" u="1"/>
        <d v="2025-06-09T13:17:00" u="1"/>
        <d v="2025-06-20T13:40:00" u="1"/>
        <d v="2025-06-18T15:59:00" u="1"/>
        <d v="2025-06-18T12:33:00" u="1"/>
        <d v="2025-06-17T21:40:00" u="1"/>
        <d v="2025-06-17T16:37:00" u="1"/>
        <d v="2025-06-18T15:53:00" u="1"/>
        <d v="2025-06-17T09:33:00" u="1"/>
        <d v="2025-06-06T08:18:00" u="1"/>
        <d v="2025-06-06T10:05:00" u="1"/>
        <d v="2025-06-13T16:40:00" u="1"/>
        <d v="2025-06-17T11:19:00" u="1"/>
        <d v="2025-06-16T14:30:00" u="1"/>
        <d v="2025-06-17T11:42:00" u="1"/>
        <d v="2025-06-17T11:26:00" u="1"/>
        <d v="2025-06-18T13:16:00" u="1"/>
        <d v="2025-06-18T11:59:00" u="1"/>
        <d v="2025-05-28T14:26:00" u="1"/>
        <d v="2025-05-30T10:49:00" u="1"/>
        <d v="2025-06-18T14:54:00" u="1"/>
        <d v="2025-06-18T00:49:00" u="1"/>
        <d v="2025-06-20T11:14:00" u="1"/>
        <d v="2025-06-20T10:52:00" u="1"/>
        <d v="2025-06-13T16:20:00" u="1"/>
        <d v="2025-06-18T12:59:00" u="1"/>
        <d v="2025-06-17T12:36:00" u="1"/>
        <d v="2025-06-20T12:15:00" u="1"/>
        <d v="2025-06-14T17:32:00" u="1"/>
        <d v="2025-06-15T20:59:00" u="1"/>
        <d v="2025-06-18T09:09:00" u="1"/>
        <d v="2025-06-10T17:07:00" u="1"/>
        <d v="2025-06-18T17:04:00" u="1"/>
        <d v="2025-06-19T20:09:00" u="1"/>
        <d v="2025-06-18T15:17:00" u="1"/>
        <d v="2025-06-16T09:45:00" u="1"/>
        <d v="2025-06-18T10:27:00" u="1"/>
        <d v="2025-06-17T18:07:00" u="1"/>
        <d v="2025-06-17T09:52:00" u="1"/>
        <d v="2025-06-17T10:23:00" u="1"/>
        <d v="2025-06-06T15:57:00" u="1"/>
        <d v="2025-06-18T08:27:00" u="1"/>
        <d v="2025-06-17T17:22:00" u="1"/>
        <d v="2025-06-17T14:11:00" u="1"/>
        <d v="2025-06-17T08:57:00" u="1"/>
        <d v="2025-06-13T12:19:00" u="1"/>
        <d v="2025-06-13T11:28:00" u="1"/>
        <d v="2025-06-17T11:52:00" u="1"/>
        <d v="2025-06-18T17:42:00" u="1"/>
        <d v="2025-06-18T17:41:00" u="1"/>
        <d v="2025-06-18T17:46:00" u="1"/>
        <d v="2025-06-18T16:39:00" u="1"/>
        <d v="2025-06-18T17:51:00" u="1"/>
        <d v="2025-06-06T18:47:00" u="1"/>
        <d v="2025-06-17T16:19:00" u="1"/>
        <d v="2025-06-18T18:02:00" u="1"/>
        <d v="2025-06-16T15:21:00" u="1"/>
        <d v="2025-06-17T15:10:00" u="1"/>
        <d v="2025-06-04T15:47:00" u="1"/>
        <d v="2025-06-18T13:45:00" u="1"/>
        <d v="2025-06-18T15:05:00" u="1"/>
        <d v="2025-06-18T13:35:00" u="1"/>
        <d v="2025-06-20T06:59:00" u="1"/>
        <d v="2025-06-20T15:15:00" u="1"/>
        <d v="2025-06-20T15:23:00" u="1"/>
        <d v="2025-06-13T16:48:00" u="1"/>
        <d v="2025-06-03T11:56:00" u="1"/>
        <d v="2025-06-02T07:48:00" u="1"/>
        <d v="2025-06-20T07:27:00" u="1"/>
        <d v="2025-06-12T15:40:00" u="1"/>
        <d v="2025-06-20T11:00:00" u="1"/>
        <d v="2025-06-20T06:17:00" u="1"/>
        <d v="2025-06-20T07:56:00" u="1"/>
        <d v="2025-06-19T15:23:00" u="1"/>
        <d v="2025-06-18T15:25:00" u="1"/>
        <d v="2025-06-20T13:44:00" u="1"/>
        <d v="2025-06-18T18:15:00" u="1"/>
        <d v="2025-06-18T18:49:00" u="1"/>
        <d v="2025-06-04T02:28:00" u="1"/>
        <d v="2025-06-20T18:04:00" u="1"/>
        <d v="2025-06-17T12:49:00" u="1"/>
        <d v="2025-06-17T12:47:00" u="1"/>
        <d v="2025-06-15T15:41:00" u="1"/>
        <d v="2025-06-02T16:23:00" u="1"/>
        <d v="2025-06-16T13:18:00" u="1"/>
        <d v="2025-06-11T16:24:00" u="1"/>
        <d v="2025-06-21T12:25:00" u="1"/>
        <d v="2025-06-10T14:23:00" u="1"/>
        <d v="2025-06-09T00:00:00" u="1"/>
        <d v="2025-06-09T13:36:00" u="1"/>
        <d v="2025-06-05T09:19:00" u="1"/>
        <d v="2025-06-06T19:37:00" u="1"/>
        <d v="2025-06-06T19:32:00" u="1"/>
        <d v="2025-06-05T17:08:00" u="1"/>
        <d v="2025-06-06T13:54:00" u="1"/>
        <d v="2025-06-02T16:48:00" u="1"/>
        <d v="2025-06-02T15:02:00" u="1"/>
        <d v="2025-06-05T08:59:00" u="1"/>
        <d v="2025-06-17T20:56:00" u="1"/>
        <d v="2025-06-17T19:01:00" u="1"/>
        <d v="2025-06-17T18:54:00" u="1"/>
        <d v="2025-06-11T13:07:00" u="1"/>
        <d v="2025-06-11T14:49:00" u="1"/>
        <d v="2025-06-11T12:41:00" u="1"/>
        <d v="2025-06-11T12:13:00" u="1"/>
        <d v="2025-06-11T12:02:00" u="1"/>
        <d v="2025-06-12T16:39:00" u="1"/>
        <d v="2025-06-16T17:18:00" u="1"/>
        <d v="2025-06-13T16:34:00" u="1"/>
        <d v="2025-06-17T11:36:00" u="1"/>
        <d v="2025-06-17T07:32:00" u="1"/>
        <d v="2025-06-17T07:31:00" u="1"/>
        <d v="2025-06-17T14:14:00" u="1"/>
        <d v="2025-06-18T07:07:00" u="1"/>
        <d v="2025-06-18T08:48:00" u="1"/>
        <d v="2025-06-18T07:30:00" u="1"/>
        <d v="2025-06-18T07:33:00" u="1"/>
        <d v="2025-06-12T16:45:00" u="1"/>
        <d v="2025-06-12T13:20:00" u="1"/>
        <d v="2025-06-17T14:36:00" u="1"/>
        <d v="2025-06-13T11:12:00" u="1"/>
        <d v="2025-06-12T17:14:00" u="1"/>
        <d v="2025-06-11T14:08:00" u="1"/>
        <d v="2025-05-22T16:38:00" u="1"/>
        <d v="2025-06-11T18:12:00" u="1"/>
        <d v="2025-06-13T14:19:00" u="1"/>
        <d v="2025-06-11T08:34:00" u="1"/>
        <d v="2025-06-16T17:59:00" u="1"/>
        <d v="2025-06-16T19:01:00" u="1"/>
        <d v="2025-06-12T15:07:00" u="1"/>
        <d v="2025-06-16T17:42:00" u="1"/>
        <d v="2025-06-11T18:15:00" u="1"/>
        <d v="2025-06-19T21:18:00" u="1"/>
        <d v="2025-06-17T21:02:00" u="1"/>
        <d v="2025-06-16T16:01:00" u="1"/>
        <d v="2025-06-16T15:59:00" u="1"/>
        <d v="2025-06-13T15:31:00" u="1"/>
        <d v="2025-06-13T11:53:00" u="1"/>
        <d v="2025-06-13T12:37:00" u="1"/>
        <d v="2025-06-18T16:25:00" u="1"/>
        <d v="2025-06-18T15:38:00" u="1"/>
        <d v="2025-06-18T15:39:00" u="1"/>
        <d v="2025-06-18T15:41:00" u="1"/>
        <d v="2025-06-18T13:31:00" u="1"/>
        <d v="2025-06-18T12:31:00" u="1"/>
        <d v="2025-06-18T19:22:00" u="1"/>
        <d v="2025-06-18T15:28:00" u="1"/>
        <d v="2025-06-18T11:11:00" u="1"/>
        <d v="2025-06-18T11:45:00" u="1"/>
        <d v="2025-06-18T12:13:00" u="1"/>
        <d v="2025-06-18T11:13:00" u="1"/>
        <d v="2025-06-18T10:25:00" u="1"/>
        <d v="2025-06-17T17:08:00" u="1"/>
        <d v="2025-06-17T16:07:00" u="1"/>
        <d v="2025-06-18T09:25:00" u="1"/>
        <d v="2025-06-18T09:29:00" u="1"/>
        <d v="2025-06-18T09:34:00" u="1"/>
        <d v="2025-06-18T09:37:00" u="1"/>
        <d v="2025-06-18T09:42:00" u="1"/>
        <d v="2025-06-18T14:16:00" u="1"/>
        <d v="2025-06-17T18:09:00" u="1"/>
        <d v="2025-06-18T11:19:00" u="1"/>
        <d v="2025-06-17T09:22:00" u="1"/>
        <d v="2025-06-17T14:35:00" u="1"/>
        <d v="2025-06-17T14:12:00" u="1"/>
        <d v="2025-05-20T15:41:00" u="1"/>
        <d v="2025-06-18T11:56:00" u="1"/>
        <d v="2025-06-18T10:16:00" u="1"/>
        <d v="2025-06-18T13:30:00" u="1"/>
        <d v="2025-06-18T13:29:00" u="1"/>
        <d v="2025-06-18T13:52:00" u="1"/>
        <d v="2025-06-18T17:10:00" u="1"/>
        <d v="2025-06-18T18:14:00" u="1"/>
        <d v="2025-06-18T18:00:00" u="1"/>
        <d v="2025-06-18T10:33:00" u="1"/>
        <d v="2025-06-18T13:25:00" u="1"/>
        <d v="2025-06-18T14:24:00" u="1"/>
        <d v="2025-06-18T10:17:00" u="1"/>
        <d v="2025-06-16T16:42:00" u="1"/>
        <d v="2025-06-18T18:31:00" u="1"/>
        <d v="2025-06-18T13:19:00" u="1"/>
        <d v="2025-06-18T15:23:00" u="1"/>
        <d v="2025-05-20T01:23:00" u="1"/>
        <d v="2025-06-06T13:32:00" u="1"/>
        <d v="2025-06-06T14:34:00" u="1"/>
        <d v="2025-06-05T15:33:00" u="1"/>
        <d v="2025-06-04T17:15:00" u="1"/>
        <d v="2025-06-04T17:25:00" u="1"/>
        <d v="2025-06-04T17:03:00" u="1"/>
        <d v="2025-06-04T10:30:00" u="1"/>
        <d v="2025-06-04T10:38:00" u="1"/>
        <d v="2025-06-06T17:51:00" u="1"/>
        <d v="2025-06-06T00:00:00" u="1"/>
        <d v="2025-06-05T09:35:00" u="1"/>
        <d v="2025-06-05T19:16:00" u="1"/>
        <d v="2025-06-02T10:25:00" u="1"/>
        <d v="2025-06-13T10:59:00" u="1"/>
        <d v="2025-06-13T11:21:00" u="1"/>
        <d v="2025-06-02T13:33:00" u="1"/>
        <d v="2025-06-11T08:25:00" u="1"/>
        <d v="2025-06-11T08:26:00" u="1"/>
        <d v="2025-06-16T13:24:00" u="1"/>
        <d v="2025-06-16T13:23:00" u="1"/>
        <d v="2025-06-13T14:31:00" u="1"/>
        <d v="2025-06-16T09:39:00" u="1"/>
        <d v="2025-06-16T09:41:00" u="1"/>
        <d v="2025-06-16T09:47:00" u="1"/>
        <d v="2025-06-16T11:48:00" u="1"/>
        <d v="2025-06-16T11:46:00" u="1"/>
        <d v="2025-06-16T09:34:00" u="1"/>
        <d v="2025-06-16T12:39:00" u="1"/>
        <d v="2025-06-14T14:37:00" u="1"/>
        <d v="2025-06-10T13:01:00" u="1"/>
        <d v="2025-06-11T10:45:00" u="1"/>
        <d v="2025-06-16T14:10:00" u="1"/>
        <d v="2025-06-11T13:41:00" u="1"/>
        <d v="2025-06-16T17:36:00" u="1"/>
        <d v="2025-06-12T15:37:00" u="1"/>
        <d v="2025-06-13T11:03:00" u="1"/>
        <d v="2025-06-13T16:43:00" u="1"/>
        <d v="2025-06-10T09:27:00" u="1"/>
        <d v="2025-06-10T09:29:00" u="1"/>
        <d v="2025-06-10T09:36:00" u="1"/>
        <d v="2025-06-10T10:57:00" u="1"/>
        <d v="2025-06-10T10:58:00" u="1"/>
        <d v="2025-06-09T15:52:00" u="1"/>
        <d v="2025-06-10T06:44:00" u="1"/>
        <d v="2025-06-10T14:55:00" u="1"/>
        <d v="2025-06-11T06:33:00" u="1"/>
        <d v="2025-06-11T06:36:00" u="1"/>
        <d v="2025-06-11T07:00:00" u="1"/>
        <d v="2025-06-11T14:12:00" u="1"/>
        <d v="2025-06-11T14:16:00" u="1"/>
        <d v="2025-06-11T14:27:00" u="1"/>
        <d v="2025-06-11T13:43:00" u="1"/>
        <d v="2025-06-11T14:58:00" u="1"/>
        <d v="2025-06-11T15:01:00" u="1"/>
        <d v="2025-06-11T15:04:00" u="1"/>
        <d v="2025-06-11T15:13:00" u="1"/>
        <d v="2025-06-11T15:15:00" u="1"/>
        <d v="2025-06-11T15:23:00" u="1"/>
        <d v="2025-06-12T06:54:00" u="1"/>
        <d v="2025-06-12T09:08:00" u="1"/>
        <d v="2025-06-12T09:17:00" u="1"/>
        <d v="2025-06-16T07:02:00" u="1"/>
        <d v="2025-06-13T13:25:00" u="1"/>
        <d v="2025-06-13T15:28:00" u="1"/>
        <d v="2025-06-12T15:53:00" u="1"/>
        <d v="2025-06-13T15:04:00" u="1"/>
        <d v="2025-06-13T14:10:00" u="1"/>
        <d v="2025-06-12T09:42:00" u="1"/>
        <d v="2025-06-16T12:33:00" u="1"/>
        <d v="2025-06-13T14:18:00" u="1"/>
        <d v="2025-06-13T19:20:00" u="1"/>
        <d v="2025-06-13T19:26:00" u="1"/>
        <d v="2025-06-12T15:38:00" u="1"/>
        <d v="2025-06-11T15:47:00" u="1"/>
        <d v="2025-06-09T08:02:00" u="1"/>
        <d v="2025-06-12T14:04:00" u="1"/>
        <d v="2025-06-12T12:44:00" u="1"/>
        <d v="2025-06-05T10:02:00" u="1"/>
        <d v="2025-06-16T08:13:00" u="1"/>
        <d v="2025-06-17T12:02:00" u="1"/>
        <d v="2025-06-13T11:17:00" u="1"/>
        <d v="2025-06-17T14:43:00" u="1"/>
        <d v="2025-06-16T15:46:00" u="1"/>
        <d v="2025-06-17T13:23:00" u="1"/>
        <d v="2025-06-17T06:10:00" u="1"/>
        <d v="2025-06-12T17:15:00" u="1"/>
        <d v="2025-06-12T17:13:00" u="1"/>
        <d v="2025-06-16T17:40:00" u="1"/>
        <d v="2025-06-16T17:44:00" u="1"/>
        <d v="2025-06-17T11:37:00" u="1"/>
        <d v="2025-06-13T18:28:00" u="1"/>
        <d v="2025-06-17T12:25:00" u="1"/>
        <d v="2025-06-17T12:57:00" u="1"/>
        <d v="2025-06-17T14:37:00" u="1"/>
        <d v="2025-06-17T15:28:00" u="1"/>
        <d v="2025-06-17T11:22:00" u="1"/>
        <d v="2025-06-17T15:42:00" u="1"/>
        <d v="2025-06-17T11:29:00" u="1"/>
        <d v="2025-06-17T18:20:00" u="1"/>
        <d v="2025-06-17T13:58:00" u="1"/>
        <d v="2025-06-17T19:36:00" u="1"/>
        <d v="2025-06-17T09:28:00" u="1"/>
        <d v="2025-06-17T12:35:00" u="1"/>
        <d v="2025-06-17T11:47:00" u="1"/>
        <d v="2025-06-17T14:46:00" u="1"/>
        <d v="2025-06-17T12:58:00" u="1"/>
        <d v="2025-06-17T09:04:00" u="1"/>
        <d v="2025-06-17T13:11:00" u="1"/>
        <d v="2025-06-17T10:34:00" u="1"/>
        <d v="2025-06-17T14:48:00" u="1"/>
        <d v="2025-06-17T11:45:00" u="1"/>
        <d v="2025-06-13T13:38:00" u="1"/>
        <d v="2025-06-13T14:01:00" u="1"/>
        <d v="2025-06-06T12:10:00" u="1"/>
        <d v="2025-06-17T12:54:00" u="1"/>
        <d v="2025-06-17T13:22:00" u="1"/>
        <d v="2025-06-05T06:42:00" u="1"/>
        <d v="2025-06-10T17:20:00" u="1"/>
        <d v="2025-06-02T13:26:00" u="1"/>
        <d v="2025-06-06T12:03:00" u="1"/>
        <d v="2025-06-05T11:24:00" u="1"/>
        <d v="2025-06-05T18:30:00" u="1"/>
        <d v="2025-06-05T15:23:00" u="1"/>
        <d v="2025-06-06T12:34:00" u="1"/>
        <d v="2025-06-06T11:28:00" u="1"/>
        <d v="2025-06-13T09:22:00" u="1"/>
        <d v="2025-06-14T13:26:00" u="1"/>
        <d v="2025-06-13T17:01:00" u="1"/>
        <d v="2025-06-13T17:24:00" u="1"/>
        <d v="2025-06-13T12:34:00" u="1"/>
        <d v="2025-06-13T11:42:00" u="1"/>
        <d v="2025-06-13T11:46:00" u="1"/>
        <d v="2025-06-13T11:47:00" u="1"/>
        <d v="2025-06-13T13:44:00" u="1"/>
        <d v="2025-06-13T08:45:00" u="1"/>
        <d v="2025-06-13T14:56:00" u="1"/>
        <d v="2025-06-11T17:42:00" u="1"/>
        <d v="2025-06-11T11:22:00" u="1"/>
        <d v="2025-06-13T14:54:00" u="1"/>
        <d v="2025-06-13T14:53:00" u="1"/>
        <d v="2025-06-13T13:29:00" u="1"/>
        <d v="2025-06-13T14:33:00" u="1"/>
        <d v="2025-06-13T12:50:00" u="1"/>
        <d v="2025-06-14T09:14:00" u="1"/>
        <d v="2025-06-11T12:11:00" u="1"/>
        <d v="2025-06-11T17:24:00" u="1"/>
        <d v="2025-06-11T17:29:00" u="1"/>
        <d v="2025-06-12T17:58:00" u="1"/>
        <d v="2025-06-11T00:00:00" u="1"/>
        <d v="2025-06-13T16:51:00" u="1"/>
        <d v="2025-06-13T17:36:00" u="1"/>
        <d v="2025-06-13T11:38:00" u="1"/>
        <d v="2025-06-11T20:23:00" u="1"/>
        <d v="2025-06-12T17:10:00" u="1"/>
        <d v="2025-06-13T18:12:00" u="1"/>
        <d v="2025-06-13T18:08:00" u="1"/>
        <d v="2025-06-13T09:50:00" u="1"/>
        <d v="2025-06-11T14:42:00" u="1"/>
        <d v="2025-06-10T14:35:00" u="1"/>
        <d v="2025-06-13T13:54:00" u="1"/>
        <d v="2025-06-12T13:21:00" u="1"/>
        <d v="2025-06-11T15:59:00" u="1"/>
        <d v="2025-06-13T09:48:00" u="1"/>
        <d v="2025-06-09T08:49:00" u="1"/>
        <d v="2025-06-09T07:23:00" u="1"/>
        <d v="2025-06-09T09:57:00" u="1"/>
        <d v="2025-06-09T10:09:00" u="1"/>
        <d v="2025-06-13T12:15:00" u="1"/>
        <d v="2025-06-14T13:08:00" u="1"/>
        <d v="2025-06-13T19:45:00" u="1"/>
        <d v="2025-06-13T16:27:00" u="1"/>
        <d v="2025-06-13T16:05:00" u="1"/>
        <d v="2025-06-13T15:27:00" u="1"/>
        <d v="2025-06-13T15:02:00" u="1"/>
        <d v="2025-06-13T13:15:00" u="1"/>
        <d v="2025-06-13T13:09:00" u="1"/>
        <d v="2025-06-13T09:00:00" u="1"/>
        <d v="2025-06-15T21:21:00" u="1"/>
        <d v="2025-06-11T16:35:00" u="1"/>
        <d v="2025-06-13T20:39:00" u="1"/>
        <d v="2025-06-13T16:30:00" u="1"/>
        <d v="2025-06-13T18:33:00" u="1"/>
        <d v="2025-06-16T11:04:00" u="1"/>
        <d v="2025-06-16T16:06:00" u="1"/>
        <d v="2025-06-16T11:31:00" u="1"/>
        <d v="2025-06-16T15:14:00" u="1"/>
        <d v="2025-06-16T13:13:00" u="1"/>
        <d v="2025-06-16T13:47:00" u="1"/>
        <d v="2025-06-16T09:16:00" u="1"/>
        <d v="2025-06-16T11:54:00" u="1"/>
        <d v="2025-06-16T06:58:00" u="1"/>
        <d v="2025-06-16T07:16:00" u="1"/>
        <d v="2025-06-16T07:55:00" u="1"/>
        <d v="2025-06-16T10:38:00" u="1"/>
        <d v="2025-06-13T14:47:00" u="1"/>
        <d v="2025-06-13T14:45:00" u="1"/>
        <d v="2025-06-13T15:48:00" u="1"/>
        <d v="2025-06-13T15:47:00" u="1"/>
        <d v="2025-06-13T12:16:00" u="1"/>
        <d v="2025-06-13T14:39:00" u="1"/>
        <d v="2025-06-13T11:40:00" u="1"/>
        <d v="2025-06-13T14:11:00" u="1"/>
        <d v="2025-06-13T10:32:00" u="1"/>
        <d v="2025-06-13T21:03:00" u="1"/>
        <d v="2025-06-16T14:28:00" u="1"/>
        <d v="2025-06-16T12:27:00" u="1"/>
        <d v="2025-06-16T13:51:00" u="1"/>
        <d v="2025-06-15T00:00:00" u="1"/>
        <d v="2025-05-21T15:47:00" u="1"/>
        <d v="2025-05-21T15:52:00" u="1"/>
        <d v="2025-06-16T13:28:00" u="1"/>
        <d v="2025-06-15T16:19:00" u="1"/>
        <d v="2025-06-16T18:09:00" u="1"/>
        <d v="2025-06-16T18:20:00" u="1"/>
        <d v="2025-06-16T18:19:00" u="1"/>
        <d v="2025-06-16T17:20:00" u="1"/>
        <d v="2025-06-16T18:18:00" u="1"/>
        <d v="2025-06-16T13:21:00" u="1"/>
        <d v="2025-06-16T13:27:00" u="1"/>
        <d v="2025-06-16T13:43:00" u="1"/>
        <d v="2025-06-16T13:53:00" u="1"/>
        <d v="2025-06-16T13:49:00" u="1"/>
        <d v="2025-06-13T17:54:00" u="1"/>
        <d v="2025-06-13T16:53:00" u="1"/>
        <d v="2025-06-13T12:18:00" u="1"/>
        <d v="2025-06-16T06:25:00" u="1"/>
        <d v="2025-06-16T11:13:00" u="1"/>
        <d v="2025-06-13T16:45:00" u="1"/>
        <d v="2025-06-16T16:37:00" u="1"/>
        <d v="2025-06-16T10:08:00" u="1"/>
        <d v="2025-06-16T17:43:00" u="1"/>
        <d v="2025-06-16T19:12:00" u="1"/>
        <d v="2025-06-16T21:13:00" u="1"/>
        <d v="2025-06-16T06:36:00" u="1"/>
        <d v="2025-06-12T14:41:00" u="1"/>
        <d v="2025-06-16T11:21:00" u="1"/>
        <d v="2025-06-16T16:31:00" u="1"/>
        <d v="2025-06-16T13:03:00" u="1"/>
        <d v="2025-06-13T10:39:00" u="1"/>
        <d v="2025-06-13T15:58:00" u="1"/>
        <d v="2025-06-16T10:04:00" u="1"/>
        <d v="2025-05-13T04:56:00" u="1"/>
        <d v="2025-05-20T01:03:00" u="1"/>
        <d v="2025-05-21T19:20:00" u="1"/>
        <d v="2025-05-21T03:00:00" u="1"/>
        <d v="2025-05-21T19:22:00" u="1"/>
        <d v="2025-05-21T01:11:00" u="1"/>
        <d v="2025-05-22T03:37:00" u="1"/>
        <d v="2025-05-21T19:07:20" u="1"/>
        <d v="2025-05-21T19:07:00" u="1"/>
        <d v="2025-05-21T19:04:00" u="1"/>
        <d v="2025-05-29T01:04:00" u="1"/>
        <d v="2025-06-03T01:16:00" u="1"/>
        <d v="2025-06-01T04:46:00" u="1"/>
        <d v="2025-05-29T03:45:00" u="1"/>
        <d v="2025-05-31T00:59:00" u="1"/>
        <d v="2025-05-30T04:31:00" u="1"/>
        <d v="2025-05-23T02:19:00" u="1"/>
        <d v="2025-06-02T02:59:00" u="1"/>
        <d v="2025-05-30T01:01:00" u="1"/>
        <d v="2025-06-03T05:36:00" u="1"/>
        <d v="2025-05-30T04:57:00" u="1"/>
        <d v="2025-06-01T07:28:00" u="1"/>
        <d v="2025-05-30T05:42:00" u="1"/>
        <d v="2025-05-31T02:49:00" u="1"/>
        <d v="2025-06-02T07:24:00" u="1"/>
        <d v="2025-05-24T03:15:00" u="1"/>
        <d v="2025-05-24T04:01:00" u="1"/>
        <d v="2025-05-27T04:02:00" u="1"/>
        <d v="2025-05-28T04:09:00" u="1"/>
        <d v="2025-06-02T04:59:00" u="1"/>
        <d v="2025-06-01T00:59:00" u="1"/>
        <d v="2025-06-03T02:21:00" u="1"/>
        <d v="2025-06-09T08:10:00" u="1"/>
        <d v="2025-06-11T17:07:00" u="1"/>
        <d v="2025-06-12T18:52:00" u="1"/>
        <d v="2025-06-11T17:06:00" u="1"/>
        <d v="2025-06-11T10:19:00" u="1"/>
        <d v="2025-06-06T19:53:00" u="1"/>
        <d v="2025-06-12T04:12:00" u="1"/>
        <d v="2025-06-09T20:31:00" u="1"/>
        <d v="2025-06-11T00:59:00" u="1"/>
        <d v="2025-06-05T14:13:00" u="1"/>
        <d v="2025-06-10T16:26:00" u="1"/>
        <d v="2025-06-12T12:01:00" u="1"/>
        <d v="2025-06-06T10:07:00" u="1"/>
        <d v="2025-06-08T07:04:00" u="1"/>
        <d v="2025-06-09T04:59:00" u="1"/>
        <d v="2025-06-10T10:20:00" u="1"/>
        <d v="2025-06-05T14:12:00" u="1"/>
        <d v="2025-06-11T05:14:00" u="1"/>
        <d v="2025-06-10T10:45:00" u="1"/>
        <d v="2025-06-13T18:02:00" u="1"/>
        <d v="2025-06-13T13:00:00" u="1"/>
        <d v="2025-06-13T14:46:00" u="1"/>
        <d v="2025-06-13T10:47:00" u="1"/>
        <d v="2025-06-13T13:21:00" u="1"/>
        <d v="2025-06-13T13:18:00" u="1"/>
        <d v="2025-06-13T13:20:00" u="1"/>
        <d v="2025-06-13T08:44:00" u="1"/>
        <d v="2025-06-12T16:51:00" u="1"/>
        <d v="2025-06-13T08:09:00" u="1"/>
        <d v="2025-06-13T14:26:00" u="1"/>
        <d v="2025-06-13T13:52:00" u="1"/>
        <d v="2025-06-12T09:23:00" u="1"/>
        <d v="2025-06-13T11:27:00" u="1"/>
        <d v="2025-06-13T15:00:00" u="1"/>
        <d v="2025-06-13T10:17:00" u="1"/>
        <d v="2025-06-13T16:35:00" u="1"/>
        <d v="2025-06-13T16:39:00" u="1"/>
        <d v="2025-06-13T10:34:00" u="1"/>
        <d v="2025-06-13T10:20:00" u="1"/>
        <d v="2025-06-13T18:03:00" u="1"/>
        <d v="2025-06-14T00:00:00" u="1"/>
        <d v="2025-06-13T10:45:00" u="1"/>
        <d v="2025-06-04T14:50:00" u="1"/>
        <d v="2025-06-13T16:37:00" u="1"/>
        <d v="2025-06-13T09:43:00" u="1"/>
        <d v="2025-06-13T12:43:00" u="1"/>
        <d v="2025-06-12T14:24:00" u="1"/>
        <d v="2025-06-12T09:15:00" u="1"/>
        <d v="2025-06-13T14:29:00" u="1"/>
        <d v="2025-06-13T05:35:00" u="1"/>
        <d v="2025-06-15T13:43:00" u="1"/>
        <d v="2025-06-13T13:35:00" u="1"/>
        <d v="2025-06-13T14:48:00" u="1"/>
        <d v="2025-06-13T11:34:00" u="1"/>
        <d v="2025-06-12T20:42:00" u="1"/>
        <d v="2025-06-12T10:57:00" u="1"/>
        <d v="2025-06-13T16:01:00" u="1"/>
        <d v="2025-06-13T14:21:00" u="1"/>
        <d v="2025-06-16T03:46:00" u="1"/>
        <d v="2025-06-13T00:59:00" u="1"/>
        <d v="2025-06-13T04:46:00" u="1"/>
        <d v="2025-06-13T11:11:00" u="1"/>
        <d v="2025-06-14T02:59:00" u="1"/>
        <d v="2025-06-14T22:22:00" u="1"/>
        <d v="2025-06-11T08:27:00" u="1"/>
        <d v="2025-06-13T12:27:00" u="1"/>
        <d v="2025-01-01T00:00:00" u="1"/>
        <d v="2025-03-11T16:50:00" u="1"/>
        <d v="2025-04-19T19:21:00" u="1"/>
        <d v="2025-05-21T17:52:00" u="1"/>
        <d v="2025-05-26T18:51:00" u="1"/>
        <d v="2025-05-25T09:38:00" u="1"/>
        <d v="2025-05-22T15:23:00" u="1"/>
        <d v="2025-05-30T16:59:00" u="1"/>
        <d v="2025-05-27T09:22:00" u="1"/>
        <d v="2025-05-22T18:00:00" u="1"/>
        <d v="2025-05-30T15:41:00" u="1"/>
        <d v="2025-05-26T10:18:00" u="1"/>
        <d v="2025-06-02T09:29:00" u="1"/>
        <d v="2025-06-11T15:42:00" u="1"/>
        <d v="2025-06-11T08:08:00" u="1"/>
        <d v="2025-06-10T13:27:00" u="1"/>
        <d v="2025-06-02T15:56:00" u="1"/>
        <d v="2025-06-12T14:18:00" u="1"/>
        <d v="2025-06-11T19:31:00" u="1"/>
        <d v="2025-06-11T09:10:00" u="1"/>
        <d v="2025-06-10T18:03:00" u="1"/>
        <d v="2025-06-10T17:26:00" u="1"/>
        <d v="2025-06-10T16:25:00" u="1"/>
        <d v="2025-06-10T16:19:00" u="1"/>
        <d v="2025-06-10T16:12:00" u="1"/>
        <d v="2025-06-10T16:04:00" u="1"/>
        <d v="2025-06-10T15:09:00" u="1"/>
        <d v="2025-06-10T15:26:00" u="1"/>
        <d v="2025-06-10T18:43:00" u="1"/>
        <d v="2025-06-10T14:08:00" u="1"/>
        <d v="2025-06-10T14:15:00" u="1"/>
        <d v="2025-06-04T12:31:00" u="1"/>
        <d v="2025-06-10T15:11:00" u="1"/>
        <d v="2025-06-10T15:12:00" u="1"/>
        <d v="2025-06-10T16:58:00" u="1"/>
        <d v="2025-06-10T20:55:00" u="1"/>
        <d v="2025-06-10T18:11:00" u="1"/>
        <d v="2025-06-10T20:31:00" u="1"/>
        <d v="2025-06-04T16:14:00" u="1"/>
        <d v="2025-06-09T11:00:00" u="1"/>
        <d v="2025-06-11T09:14:00" u="1"/>
        <d v="2025-06-04T11:00:00" u="1"/>
        <d v="2025-06-04T12:10:00" u="1"/>
        <d v="2025-05-22T12:53:00" u="1"/>
        <d v="2025-06-03T10:09:00" u="1"/>
        <d v="2025-06-11T14:38:00" u="1"/>
        <d v="2025-06-04T15:31:00" u="1"/>
        <d v="2025-06-06T12:45:00" u="1"/>
        <d v="2025-06-09T16:25:00" u="1"/>
        <d v="2025-06-09T15:21:00" u="1"/>
        <d v="2025-06-12T11:26:00" u="1"/>
        <d v="2025-06-11T09:45:00" u="1"/>
        <d v="2025-06-11T09:42:00" u="1"/>
        <d v="2025-06-11T09:28:00" u="1"/>
        <d v="2025-06-11T09:36:00" u="1"/>
        <d v="2025-06-10T18:38:00" u="1"/>
        <d v="2025-06-10T18:34:00" u="1"/>
        <d v="2025-06-10T18:32:00" u="1"/>
        <d v="2025-06-12T08:44:00" u="1"/>
        <d v="2025-06-11T08:41:00" u="1"/>
        <d v="2025-06-11T08:42:00" u="1"/>
        <d v="2025-06-12T14:09:00" u="1"/>
        <d v="2025-06-12T14:30:00" u="1"/>
        <d v="2025-06-11T08:51:00" u="1"/>
        <d v="2025-06-11T17:32:00" u="1"/>
        <d v="2025-06-12T12:04:00" u="1"/>
        <d v="2025-06-12T11:47:00" u="1"/>
        <d v="2025-06-12T14:47:00" u="1"/>
        <d v="2025-06-12T14:25:00" u="1"/>
        <d v="2025-06-12T08:20:00" u="1"/>
        <d v="2025-06-12T11:16:00" u="1"/>
        <d v="2025-06-11T16:36:00" u="1"/>
        <d v="2025-06-11T12:09:00" u="1"/>
        <d v="2025-06-06T12:47:00" u="1"/>
        <d v="2025-06-06T12:51:00" u="1"/>
        <d v="2025-06-10T10:19:00" u="1"/>
        <d v="2025-06-11T16:38:00" u="1"/>
        <d v="2025-06-11T16:39:00" u="1"/>
        <d v="2025-06-12T11:51:00" u="1"/>
        <d v="2025-06-09T16:01:00" u="1"/>
        <d v="2025-06-12T17:52:00" u="1"/>
        <d v="2025-06-12T16:40:00" u="1"/>
        <d v="2025-06-12T16:41:00" u="1"/>
        <d v="2025-06-11T08:30:00" u="1"/>
        <d v="2025-06-12T13:14:00" u="1"/>
        <d v="2025-06-11T10:23:00" u="1"/>
        <d v="2025-06-11T18:26:00" u="1"/>
        <d v="2025-06-11T18:25:00" u="1"/>
        <d v="2025-06-11T11:25:00" u="1"/>
        <d v="2025-06-12T18:43:00" u="1"/>
        <d v="2025-06-12T11:21:00" u="1"/>
        <d v="2025-06-12T14:17:00" u="1"/>
        <d v="2025-06-11T15:54:00" u="1"/>
        <d v="2025-06-12T17:31:00" u="1"/>
        <d v="2025-06-12T13:12:00" u="1"/>
        <d v="2025-06-05T18:02:00" u="1"/>
        <d v="2025-05-20T04:39:00" u="1"/>
        <d v="2025-06-11T18:43:00" u="1"/>
        <d v="2025-06-12T17:49:00" u="1"/>
        <d v="2025-06-12T18:12:00" u="1"/>
        <d v="2025-06-12T12:54:00" u="1"/>
        <d v="2025-06-12T20:00:00" u="1"/>
        <d v="2025-06-12T19:34:00" u="1"/>
        <d v="2025-06-12T13:30:00" u="1"/>
        <d v="2025-06-12T18:02:00" u="1"/>
        <d v="2025-06-12T19:40:00" u="1"/>
        <d v="2025-06-12T14:49:00" u="1"/>
        <d v="2025-06-12T07:21:00" u="1"/>
        <d v="2025-06-03T12:22:00" u="1"/>
        <d v="2025-06-12T09:14:00" u="1"/>
        <d v="2025-06-10T09:06:00" u="1"/>
        <d v="2025-06-12T09:26:00" u="1"/>
        <d v="2025-06-12T11:31:00" u="1"/>
        <d v="2025-06-12T06:46:00" u="1"/>
        <d v="2025-06-12T08:53:00" u="1"/>
        <d v="2025-06-12T10:14:00" u="1"/>
        <d v="2025-06-12T10:29:00" u="1"/>
        <d v="2025-06-11T09:30:00" u="1"/>
        <d v="2025-06-12T11:17:00" u="1"/>
        <d v="2025-06-12T11:30:00" u="1"/>
        <d v="2025-06-12T13:15:00" u="1"/>
        <d v="2025-06-12T14:46:00" u="1"/>
        <d v="2025-06-12T15:48:00" u="1"/>
        <d v="2025-06-12T12:53:00" u="1"/>
        <d v="2025-06-12T15:17:00" u="1"/>
        <d v="2025-06-11T12:08:00" u="1"/>
        <d v="2025-06-11T18:06:00" u="1"/>
        <d v="2025-06-12T08:23:00" u="1"/>
        <d v="2025-06-12T15:58:00" u="1"/>
        <d v="2025-06-12T16:52:00" u="1"/>
        <d v="2025-06-12T17:12:00" u="1"/>
        <d v="2025-06-12T16:06:00" u="1"/>
        <d v="2025-06-12T17:22:00" u="1"/>
        <d v="2025-06-12T18:28:00" u="1"/>
        <d v="2025-02-12T12:13:00" u="1"/>
        <d v="2025-06-06T08:24:00" u="1"/>
        <d v="2025-06-10T15:08:00" u="1"/>
        <d v="2025-06-09T09:49:00" u="1"/>
        <d v="2025-06-09T13:18:00" u="1"/>
        <d v="2025-06-09T12:10:00" u="1"/>
        <d v="2025-06-10T15:05:00" u="1"/>
        <d v="2025-06-09T16:18:00" u="1"/>
        <d v="2025-06-10T15:10:00" u="1"/>
        <d v="2025-06-10T06:27:00" u="1"/>
        <d v="2025-06-04T09:49:00" u="1"/>
        <d v="2025-05-29T00:00:00" u="1"/>
        <d v="2025-06-09T08:06:00" u="1"/>
        <d v="2025-06-10T10:07:00" u="1"/>
        <d v="2025-06-09T16:13:00" u="1"/>
        <d v="2025-06-10T14:49:00" u="1"/>
        <d v="2025-06-10T09:39:00" u="1"/>
        <d v="2025-06-06T09:45:00" u="1"/>
        <d v="2025-05-30T13:14:00" u="1"/>
        <d v="2025-06-06T13:24:00" u="1"/>
        <d v="2025-06-06T13:53:00" u="1"/>
        <d v="2025-06-06T14:03:00" u="1"/>
        <d v="2025-06-10T06:22:00" u="1"/>
        <d v="2025-06-10T06:50:00" u="1"/>
        <d v="2025-06-10T10:13:00" u="1"/>
        <d v="2025-06-10T10:23:00" u="1"/>
        <d v="2025-06-10T10:26:00" u="1"/>
        <d v="2025-06-04T14:02:00" u="1"/>
        <d v="2025-06-10T09:44:00" u="1"/>
        <d v="2025-06-10T09:54:00" u="1"/>
        <d v="2025-06-10T09:57:00" u="1"/>
        <d v="2025-06-10T15:29:00" u="1"/>
        <d v="2025-06-10T06:40:00" u="1"/>
        <d v="2025-06-06T14:26:00" u="1"/>
        <d v="2025-06-09T12:36:00" u="1"/>
        <d v="2025-06-10T09:52:00" u="1"/>
        <d v="2025-06-09T16:10:00" u="1"/>
        <d v="2025-06-09T12:33:00" u="1"/>
        <d v="2025-06-10T10:30:00" u="1"/>
        <d v="2025-06-10T08:46:00" u="1"/>
        <d v="2025-06-06T13:49:00" u="1"/>
        <d v="2025-06-10T16:32:00" u="1"/>
        <d v="2025-06-10T16:40:00" u="1"/>
        <d v="2025-06-10T14:46:00" u="1"/>
        <d v="2025-06-09T16:23:00" u="1"/>
        <d v="2025-06-09T15:42:00" u="1"/>
        <d v="2025-06-10T06:53:00" u="1"/>
        <d v="2025-06-04T12:39:00" u="1"/>
        <d v="2025-06-10T11:26:00" u="1"/>
        <d v="2025-06-10T23:21:00" u="1"/>
        <d v="2025-06-10T16:22:00" u="1"/>
        <d v="2025-06-10T18:00:00" u="1"/>
        <d v="2025-06-11T15:05:00" u="1"/>
        <d v="2025-06-11T13:52:00" u="1"/>
        <d v="2025-06-10T08:33:00" u="1"/>
        <d v="2025-06-11T16:44:00" u="1"/>
        <d v="2025-06-11T13:02:00" u="1"/>
        <d v="2025-06-11T15:45:00" u="1"/>
        <d v="2025-06-11T09:48:00" u="1"/>
        <d v="2025-06-10T16:20:00" u="1"/>
        <d v="2025-06-10T12:20:00" u="1"/>
        <d v="2025-06-11T12:19:00" u="1"/>
        <d v="2025-06-11T09:17:00" u="1"/>
        <d v="2025-06-10T12:09:00" u="1"/>
        <d v="2025-06-11T07:47:00" u="1"/>
        <d v="2025-06-10T12:41:00" u="1"/>
        <d v="2025-06-11T16:16:00" u="1"/>
        <d v="2025-06-11T16:11:00" u="1"/>
        <d v="2025-06-11T17:17:00" u="1"/>
        <d v="2025-06-11T10:07:00" u="1"/>
        <d v="2025-06-11T11:00:00" u="1"/>
        <d v="2025-06-04T10:33:00" u="1"/>
        <d v="2025-06-10T18:22:00" u="1"/>
        <d v="2025-06-11T20:48:00" u="1"/>
        <d v="2025-06-11T18:23:00" u="1"/>
        <d v="2025-06-11T06:52:00" u="1"/>
        <d v="2025-06-11T18:02:00" u="1"/>
        <d v="2025-06-05T17:57:00" u="1"/>
        <d v="2025-06-05T17:46:00" u="1"/>
        <d v="2025-06-05T17:52:00" u="1"/>
        <d v="2025-06-11T17:43:00" u="1"/>
        <d v="2025-06-11T14:39:00" u="1"/>
        <d v="2025-05-15T13:38:00" u="1"/>
        <d v="2025-06-11T06:30:00" u="1"/>
        <d v="2025-06-11T07:02:00" u="1"/>
        <d v="2025-06-11T06:41:00" u="1"/>
        <d v="2025-03-31T11:35:00" u="1"/>
        <d v="2025-03-28T06:08:00" u="1"/>
        <d v="2025-05-30T16:36:00" u="1"/>
        <d v="2025-05-22T17:36:00" u="1"/>
        <d v="2025-05-22T10:08:00" u="1"/>
        <d v="2025-05-22T15:53:00" u="1"/>
        <d v="2025-05-23T18:29:00" u="1"/>
        <d v="2025-05-30T09:21:00" u="1"/>
        <d v="2025-06-06T20:02:00" u="1"/>
        <d v="2025-06-06T15:07:00" u="1"/>
        <d v="2025-06-09T10:46:00" u="1"/>
        <d v="2025-05-06T00:00:00" u="1"/>
        <d v="2025-04-29T00:00:00" u="1"/>
        <d v="2025-06-09T09:45:00" u="1"/>
        <d v="2025-06-08T22:21:00" u="1"/>
        <d v="2025-06-06T16:01:00" u="1"/>
        <d v="2025-06-06T16:06:00" u="1"/>
        <d v="2025-06-06T17:29:00" u="1"/>
        <d v="2025-06-09T13:35:00" u="1"/>
        <d v="2025-06-09T13:39:00" u="1"/>
        <d v="2025-06-07T09:56:00" u="1"/>
        <d v="2025-06-03T20:00:00" u="1"/>
        <d v="2025-06-06T17:27:00" u="1"/>
        <d v="2025-06-06T14:58:00" u="1"/>
        <d v="2025-06-09T14:35:00" u="1"/>
        <d v="2025-06-08T09:09:00" u="1"/>
        <d v="2025-06-04T18:41:00" u="1"/>
        <d v="2025-06-05T15:20:00" u="1"/>
        <d v="2025-06-07T19:00:00" u="1"/>
        <d v="2025-06-06T14:16:00" u="1"/>
        <d v="2025-05-08T13:06:00" u="1"/>
        <d v="2025-06-06T10:32:00" u="1"/>
        <d v="2025-06-09T02:06:00" u="1"/>
        <d v="2025-06-09T04:49:00" u="1"/>
        <d v="2025-06-05T08:41:00" u="1"/>
        <d v="2025-06-05T11:32:00" u="1"/>
        <d v="2025-06-05T16:53:00" u="1"/>
        <d v="2025-06-05T09:50:00" u="1"/>
        <d v="2025-06-03T08:00:00" u="1"/>
        <d v="2025-06-09T15:18:00" u="1"/>
        <d v="2025-06-09T10:39:00" u="1"/>
        <d v="2025-06-09T11:53:00" u="1"/>
        <d v="2025-06-09T12:19:00" u="1"/>
        <d v="2025-06-10T16:13:00" u="1"/>
        <d v="2025-06-10T11:36:00" u="1"/>
        <d v="2025-06-10T18:36:00" u="1"/>
        <d v="2025-06-10T15:45:00" u="1"/>
        <d v="2025-06-09T17:55:00" u="1"/>
        <d v="2025-06-10T16:03:00" u="1"/>
        <d v="2025-06-10T17:36:00" u="1"/>
        <d v="2025-06-10T15:41:00" u="1"/>
        <d v="2025-06-09T11:55:00" u="1"/>
        <d v="2025-06-10T16:38:00" u="1"/>
        <d v="2025-06-10T12:02:00" u="1"/>
        <d v="2025-06-10T14:29:00" u="1"/>
        <d v="2025-06-10T17:09:00" u="1"/>
        <d v="2025-06-10T10:53:17" u="1"/>
        <d v="2025-06-10T10:54:10" u="1"/>
        <d v="2025-06-10T14:27:00" u="1"/>
        <d v="2025-06-10T17:55:00" u="1"/>
        <d v="2025-06-10T21:34:00" u="1"/>
        <d v="2025-06-10T18:56:00" u="1"/>
        <d v="2025-06-10T19:00:00" u="1"/>
        <d v="2025-06-10T09:53:00" u="1"/>
        <d v="2025-06-10T17:00:00" u="1"/>
        <d v="2025-06-09T18:32:00" u="1"/>
        <d v="2025-06-10T14:38:00" u="1"/>
        <d v="2025-02-25T12:26:00" u="1"/>
        <d v="2025-06-10T16:36:00" u="1"/>
        <d v="2025-05-02T17:14:00" u="1"/>
        <d v="2025-05-27T18:00:00" u="1"/>
        <d v="2025-05-29T13:10:00" u="1"/>
        <d v="2025-05-22T10:45:00" u="1"/>
        <d v="2025-06-09T17:57:00" u="1"/>
        <d v="2025-06-02T15:37:00" u="1"/>
        <d v="2025-06-03T08:08:00" u="1"/>
        <d v="2025-06-06T08:44:00" u="1"/>
        <d v="2025-06-06T07:32:00" u="1"/>
        <d v="2025-06-06T17:08:00" u="1"/>
        <d v="2025-06-06T16:19:00" u="1"/>
        <d v="2025-06-06T16:03:00" u="1"/>
        <d v="2025-06-06T16:51:00" u="1"/>
        <d v="2025-06-06T14:49:00" u="1"/>
        <d v="2025-06-06T13:47:00" u="1"/>
        <d v="2025-06-06T13:01:00" u="1"/>
        <d v="2025-06-06T15:31:00" u="1"/>
        <d v="2025-06-05T14:55:00" u="1"/>
        <d v="2025-06-06T12:23:00" u="1"/>
        <d v="2025-06-05T11:56:00" u="1"/>
        <d v="2025-06-05T13:13:00" u="1"/>
        <d v="2025-06-05T09:21:00" u="1"/>
        <d v="2025-06-05T14:42:00" u="1"/>
        <d v="2025-06-05T08:23:00" u="1"/>
        <d v="2025-06-05T09:22:00" u="1"/>
        <d v="2025-06-06T14:17:00" u="1"/>
        <d v="2025-06-06T13:18:00" u="1"/>
        <d v="2025-06-06T16:02:00" u="1"/>
        <d v="2025-06-06T15:33:00" u="1"/>
        <d v="2025-06-03T14:07:00" u="1"/>
        <d v="2025-06-04T08:06:00" u="1"/>
        <d v="2025-06-04T07:57:00" u="1"/>
        <d v="2025-06-06T15:53:00" u="1"/>
        <d v="2025-06-05T08:06:00" u="1"/>
        <d v="2025-06-05T08:11:00" u="1"/>
        <d v="2025-06-05T10:21:00" u="1"/>
        <d v="2025-06-02T15:38:00" u="1"/>
        <d v="2025-06-03T15:22:00" u="1"/>
        <d v="2025-06-05T16:18:00" u="1"/>
        <d v="2025-06-02T11:30:00" u="1"/>
        <d v="2025-06-09T18:11:00" u="1"/>
        <d v="2025-06-06T13:43:00" u="1"/>
        <d v="2025-06-04T15:36:00" u="1"/>
        <d v="2025-06-06T15:16:00" u="1"/>
        <d v="2025-06-06T06:25:00" u="1"/>
        <d v="2025-06-05T08:48:00" u="1"/>
        <d v="2025-06-05T05:48:00" u="1"/>
        <d v="2025-06-05T01:51:00" u="1"/>
        <d v="2025-06-04T13:29:00" u="1"/>
        <d v="2025-06-04T13:47:00" u="1"/>
        <d v="2025-06-03T10:03:00" u="1"/>
        <d v="2025-06-02T12:40:00" u="1"/>
        <d v="2025-06-06T10:01:00" u="1"/>
        <d v="2025-06-06T14:06:00" u="1"/>
        <d v="2025-06-06T14:15:00" u="1"/>
        <d v="2025-06-04T13:23:00" u="1"/>
        <d v="2025-06-06T09:56:00" u="1"/>
        <d v="2025-06-02T16:04:00" u="1"/>
        <d v="2025-06-04T15:51:00" u="1"/>
        <d v="2025-06-04T15:53:00" u="1"/>
        <d v="2025-06-06T15:59:00" u="1"/>
        <d v="2025-06-04T08:09:00" u="1"/>
        <d v="2025-06-04T12:36:00" u="1"/>
        <d v="2025-06-04T14:09:00" u="1"/>
        <d v="2025-06-06T06:55:00" u="1"/>
        <d v="2025-06-06T15:19:00" u="1"/>
        <d v="2025-06-06T10:11:00" u="1"/>
        <d v="2025-06-09T16:02:00" u="1"/>
        <d v="2025-06-09T14:58:00" u="1"/>
        <d v="2025-06-09T13:58:00" u="1"/>
        <d v="2025-06-09T10:22:00" u="1"/>
        <d v="2025-06-09T10:15:00" u="1"/>
        <d v="2025-06-09T19:42:00" u="1"/>
        <d v="2025-06-06T18:04:00" u="1"/>
        <d v="2025-06-06T17:22:00" u="1"/>
        <d v="2025-06-09T08:27:00" u="1"/>
        <d v="2025-06-09T11:15:00" u="1"/>
        <d v="2025-06-09T20:26:00" u="1"/>
        <d v="2025-06-06T19:30:00" u="1"/>
        <d v="2025-06-07T09:28:00" u="1"/>
        <d v="2025-06-09T09:30:00" u="1"/>
        <d v="2025-06-07T10:38:00" u="1"/>
        <d v="2025-06-07T10:42:00" u="1"/>
        <d v="2025-06-07T16:08:00" u="1"/>
        <d v="2025-06-09T15:47:00" u="1"/>
        <d v="2025-06-09T17:09:00" u="1"/>
        <d v="2025-06-09T11:23:00" u="1"/>
        <d v="2025-06-09T10:01:00" u="1"/>
        <d v="2025-06-09T13:25:00" u="1"/>
        <d v="2025-06-09T09:39:00" u="1"/>
        <d v="2025-06-03T11:59:00" u="1"/>
        <d v="2025-05-27T09:38:00" u="1"/>
        <d v="2025-06-09T12:08:00" u="1"/>
        <d v="2025-06-09T12:39:00" u="1"/>
        <d v="2025-06-09T13:46:00" u="1"/>
        <d v="2025-06-06T09:32:00" u="1"/>
        <d v="2025-06-09T14:57:00" u="1"/>
        <d v="2025-06-09T14:56:00" u="1"/>
        <d v="2025-06-09T09:26:00" u="1"/>
        <d v="2025-06-09T10:05:00" u="1"/>
        <d v="2025-06-09T16:22:00" u="1"/>
        <d v="2025-06-09T17:37:00" u="1"/>
        <d v="2025-06-09T08:03:00" u="1"/>
        <d v="2025-06-06T16:11:00" u="1"/>
        <d v="2025-06-09T07:42:00" u="1"/>
        <d v="2025-06-09T08:12:00" u="1"/>
        <d v="2025-06-09T08:43:00" u="1"/>
        <d v="2025-06-09T08:50:00" u="1"/>
        <d v="2025-06-09T09:33:00" u="1"/>
        <d v="2025-06-09T09:38:00" u="1"/>
        <d v="2025-06-09T07:12:00" u="1"/>
        <d v="2025-06-06T15:08:00" u="1"/>
        <d v="2025-06-09T11:29:00" u="1"/>
        <d v="2025-06-06T15:45:00" u="1"/>
        <d v="2025-06-06T16:27:00" u="1"/>
        <d v="2025-06-06T16:35:00" u="1"/>
        <d v="2025-06-06T18:17:00" u="1"/>
        <d v="2025-06-09T18:39:00" u="1"/>
        <d v="2025-06-09T17:48:00" u="1"/>
        <d v="2025-06-09T15:41:00" u="1"/>
        <d v="2025-06-09T15:26:00" u="1"/>
        <d v="2025-06-09T12:22:00" u="1"/>
        <d v="2025-06-06T14:31:00" u="1"/>
        <d v="2025-06-08T13:59:00" u="1"/>
        <d v="2025-06-09T08:16:00" u="1"/>
        <d v="2025-06-09T16:38:00" u="1"/>
        <d v="2025-06-09T11:07:00" u="1"/>
        <d v="2025-06-09T01:46:00" u="1"/>
        <d v="2025-06-09T12:30:00" u="1"/>
        <d v="2025-06-09T12:56:00" u="1"/>
        <d v="2025-06-09T04:50:00" u="1"/>
        <d v="2025-06-05T11:11:00" u="1"/>
        <d v="2025-06-09T17:44:00" u="1"/>
        <d v="2025-06-06T11:02:00" u="1"/>
        <d v="2025-06-09T15:11:00" u="1"/>
        <d v="2025-06-09T16:00:00" u="1"/>
        <d v="2025-06-06T18:50:00" u="1"/>
        <d v="2025-06-09T10:26:00" u="1"/>
        <d v="2025-06-06T03:37:00" u="1"/>
        <d v="2025-06-09T05:23:00" u="1"/>
        <d v="2025-06-09T10:19:00" u="1"/>
        <d v="2025-06-09T07:05:00" u="1"/>
        <d v="2025-05-22T11:00:00" u="1"/>
        <d v="2025-05-05T13:21:00" u="1"/>
        <d v="2025-03-28T16:14:00" u="1"/>
        <d v="2025-04-01T09:35:00" u="1"/>
        <d v="2025-05-29T09:44:00" u="1"/>
        <d v="2025-05-27T14:11:00" u="1"/>
        <d v="2025-06-04T15:48:00" u="1"/>
        <d v="2025-03-21T11:59:00" u="1"/>
        <d v="2025-06-05T07:43:00" u="1"/>
        <d v="2025-06-06T09:34:00" u="1"/>
        <d v="2025-06-05T17:39:00" u="1"/>
        <d v="2025-06-04T14:03:00" u="1"/>
        <d v="2025-06-06T07:26:00" u="1"/>
        <d v="2025-06-06T07:28:00" u="1"/>
        <d v="2025-06-05T12:24:00" u="1"/>
        <d v="2025-06-03T15:23:00" u="1"/>
        <d v="2025-06-05T17:27:00" u="1"/>
        <d v="2025-06-05T18:23:00" u="1"/>
        <d v="2025-06-05T18:35:00" u="1"/>
        <d v="2025-06-05T13:02:00" u="1"/>
        <d v="2025-06-06T10:51:00" u="1"/>
        <d v="2025-06-05T16:49:00" u="1"/>
        <d v="2025-06-06T12:29:00" u="1"/>
        <d v="2025-06-04T08:40:00" u="1"/>
        <d v="2025-06-05T16:23:00" u="1"/>
        <d v="2025-06-05T10:18:00" u="1"/>
        <d v="2025-06-05T15:10:00" u="1"/>
        <d v="2025-06-05T15:35:00" u="1"/>
        <d v="2025-06-05T16:00:00" u="1"/>
        <d v="2025-06-06T09:38:00" u="1"/>
        <d v="2025-06-06T14:22:00" u="1"/>
        <d v="2025-04-08T09:19:00" u="1"/>
        <d v="2025-05-20T14:33:00" u="1"/>
        <d v="2025-05-30T13:56:00" u="1"/>
        <d v="2025-06-06T08:14:00" u="1"/>
        <d v="2025-04-22T11:55:00" u="1"/>
        <d v="2025-06-06T15:15:00" u="1"/>
        <d v="2025-06-06T17:59:00" u="1"/>
        <d v="2025-06-02T16:46:00" u="1"/>
        <d v="2025-06-06T06:52:00" u="1"/>
        <d v="2025-06-06T06:57:00" u="1"/>
        <d v="2025-06-06T06:41:00" u="1"/>
        <d v="2025-06-06T06:47:00" u="1"/>
        <d v="2025-06-06T15:20:00" u="1"/>
        <d v="2025-06-06T05:16:00" u="1"/>
        <d v="2025-06-05T17:22:00" u="1"/>
        <d v="2025-06-05T17:05:00" u="1"/>
        <d v="2025-06-06T03:48:00" u="1"/>
        <d v="2025-06-05T17:16:00" u="1"/>
        <d v="2025-06-06T15:46:00" u="1"/>
        <d v="2025-06-06T15:39:00" u="1"/>
        <d v="2025-06-06T18:15:00" u="1"/>
        <d v="2025-04-24T12:06:00" u="1"/>
        <d v="2025-04-29T08:36:00" u="1"/>
        <d v="2025-05-05T08:25:00" u="1"/>
        <d v="2025-04-04T08:00:00" u="1"/>
        <d v="2025-03-10T06:52:00" u="1"/>
        <d v="2025-01-29T12:07:00" u="1"/>
        <d v="2025-02-06T05:26:00" u="1"/>
        <d v="2025-05-07T09:25:00" u="1"/>
        <d v="2025-03-31T08:29:00" u="1"/>
        <d v="2025-03-21T09:34:00" u="1"/>
        <d v="2025-05-21T15:58:00" u="1"/>
        <d v="2025-05-08T15:06:00" u="1"/>
        <d v="2025-05-19T14:53:00" u="1"/>
        <d v="2025-04-23T14:29:00" u="1"/>
        <d v="2025-01-31T12:06:00" u="1"/>
        <d v="2025-05-21T07:21:00" u="1"/>
        <d v="2025-06-02T13:43:00" u="1"/>
        <d v="2025-06-02T13:32:00" u="1"/>
        <d v="2025-05-29T13:54:00" u="1"/>
        <d v="2025-05-22T00:00:00" u="1"/>
        <d v="2025-05-27T10:19:00" u="1"/>
        <d v="2025-05-27T14:49:00" u="1"/>
        <d v="2025-05-02T11:27:00" u="1"/>
        <d v="2025-04-14T08:22:00" u="1"/>
        <d v="2025-05-22T15:47:00" u="1"/>
        <d v="2025-05-26T08:13:00" u="1"/>
        <d v="2024-10-29T10:05:00" u="1"/>
        <d v="2025-05-28T10:00:00" u="1"/>
        <d v="2024-12-12T00:00:00" u="1"/>
        <d v="2025-06-02T09:07:00" u="1"/>
        <d v="2025-06-05T11:53:00" u="1"/>
        <d v="2025-06-05T10:57:00" u="1"/>
        <d v="2025-06-05T15:26:00" u="1"/>
        <d v="2025-06-03T15:53:00" u="1"/>
        <d v="2025-06-05T17:53:00" u="1"/>
        <d v="2025-06-05T19:40:00" u="1"/>
        <d v="2025-06-05T18:46:00" u="1"/>
        <d v="2025-06-05T18:22:00" u="1"/>
        <d v="2025-06-05T16:03:00" u="1"/>
        <d v="2025-06-03T17:53:00" u="1"/>
        <d v="2025-06-05T08:49:00" u="1"/>
        <d v="2025-06-05T11:06:00" u="1"/>
        <d v="2025-06-05T08:31:00" u="1"/>
        <d v="2025-06-03T14:27:00" u="1"/>
        <d v="2025-06-04T16:29:00" u="1"/>
        <d v="2025-06-05T10:24:00" u="1"/>
        <d v="2025-06-05T10:52:00" u="1"/>
        <d v="2025-06-05T13:05:00" u="1"/>
        <d v="2025-06-05T13:08:00" u="1"/>
        <d v="2025-06-05T14:40:00" u="1"/>
        <d v="2025-06-05T17:37:00" u="1"/>
        <d v="2025-06-05T11:51:00" u="1"/>
        <d v="2025-06-05T11:54:00" u="1"/>
        <d v="2025-06-05T15:07:00" u="1"/>
        <d v="2025-06-04T01:15:00" u="1"/>
        <d v="2025-06-05T13:14:00" u="1"/>
        <d v="2025-06-03T17:38:00" u="1"/>
        <d v="2025-06-05T15:36:00" u="1"/>
        <d v="2025-06-05T11:15:00" u="1"/>
        <d v="2025-06-04T12:45:00" u="1"/>
        <d v="2025-06-05T15:41:00" u="1"/>
        <d v="2025-06-05T11:16:00" u="1"/>
        <d v="2025-06-05T11:37:00" u="1"/>
        <d v="2025-06-05T17:38:00" u="1"/>
        <d v="2025-05-29T14:21:00" u="1"/>
        <d v="2025-06-05T19:17:00" u="1"/>
        <d v="2025-06-05T10:46:00" u="1"/>
        <d v="2025-06-05T17:20:00" u="1"/>
        <d v="2025-06-05T15:06:00" u="1"/>
        <d v="2025-06-05T19:08:00" u="1"/>
        <d v="2025-06-05T14:34:00" u="1"/>
        <d v="2025-06-05T15:47:00" u="1"/>
        <d v="2025-06-05T06:56:00" u="1"/>
        <d v="2025-06-05T05:05:00" u="1"/>
        <d v="2025-06-05T15:49:00" u="1"/>
        <d v="2025-06-05T14:15:00" u="1"/>
        <d v="2025-06-05T14:19:00" u="1"/>
        <d v="2025-06-04T14:40:00" u="1"/>
        <d v="2025-06-05T09:02:00" u="1"/>
        <d v="2025-06-05T13:51:00" u="1"/>
        <d v="2025-06-05T07:28:00" u="1"/>
        <d v="2025-06-05T07:35:00" u="1"/>
        <d v="2025-06-03T13:18:00" u="1"/>
        <d v="2025-06-04T16:16:00" u="1"/>
        <d v="2025-06-05T05:47:00" u="1"/>
        <d v="2025-06-05T05:42:00" u="1"/>
        <d v="2025-06-05T06:45:00" u="1"/>
        <d v="2025-06-04T10:09:00" u="1"/>
        <d v="2025-06-05T08:44:00" u="1"/>
        <d v="2025-06-04T07:15:00" u="1"/>
        <d v="2025-06-02T10:47:00" u="1"/>
        <d v="2025-06-02T09:35:00" u="1"/>
        <d v="2025-06-02T09:38:00" u="1"/>
        <d v="2025-06-02T09:34:00" u="1"/>
        <d v="2025-05-28T15:57:00" u="1"/>
        <d v="2025-05-30T15:35:00" u="1"/>
        <d v="2025-05-30T05:34:00" u="1"/>
        <d v="2025-05-30T11:21:00" u="1"/>
        <d v="2025-05-30T12:39:00" u="1"/>
        <d v="2025-05-26T13:14:00" u="1"/>
        <d v="2025-06-02T14:39:00" u="1"/>
        <d v="2025-05-31T12:23:00" u="1"/>
        <d v="2025-06-02T09:57:00" u="1"/>
        <d v="2025-06-02T10:32:00" u="1"/>
        <d v="2025-06-02T12:46:00" u="1"/>
        <d v="2025-06-02T12:15:00" u="1"/>
        <d v="2025-06-02T13:29:00" u="1"/>
        <d v="2025-05-30T13:58:00" u="1"/>
        <d v="2025-05-23T00:00:00" u="1"/>
        <d v="2025-05-27T19:27:00" u="1"/>
        <d v="2025-06-02T16:55:00" u="1"/>
        <d v="2025-05-21T10:52:00" u="1"/>
        <d v="2025-05-30T10:20:00" u="1"/>
        <d v="2025-05-28T11:47:00" u="1"/>
        <d v="2025-06-03T16:37:00" u="1"/>
        <d v="2025-05-20T11:40:00" u="1"/>
        <d v="2025-06-04T16:51:00" u="1"/>
        <d v="2025-06-04T19:00:00" u="1"/>
        <d v="2025-06-04T17:50:00" u="1"/>
        <d v="2025-06-04T17:41:00" u="1"/>
        <d v="2025-06-04T17:47:00" u="1"/>
        <d v="2025-06-02T16:35:00" u="1"/>
        <d v="2025-06-02T15:59:00" u="1"/>
        <d v="2025-06-02T15:32:00" u="1"/>
        <d v="2025-06-02T15:35:00" u="1"/>
        <d v="2025-06-03T15:12:00" u="1"/>
        <d v="2025-06-03T17:33:00" u="1"/>
        <d v="2025-06-05T18:00:00" u="1"/>
        <d v="2025-06-04T18:00:00" u="1"/>
        <d v="2025-06-04T09:03:00" u="1"/>
        <d v="2025-06-04T08:55:00" u="1"/>
        <d v="2025-06-03T13:27:00" u="1"/>
        <d v="2025-06-03T18:10:00" u="1"/>
        <d v="2025-06-03T18:21:00" u="1"/>
        <d v="2025-06-04T09:34:00" u="1"/>
        <d v="2025-06-04T10:17:00" u="1"/>
        <d v="2025-06-02T16:16:00" u="1"/>
        <d v="2025-06-03T18:12:00" u="1"/>
        <d v="2025-06-03T15:30:00" u="1"/>
        <d v="2025-06-03T18:22:00" u="1"/>
        <d v="2025-06-03T11:44:00" u="1"/>
        <d v="2025-06-03T10:06:00" u="1"/>
        <d v="2025-06-03T14:49:00" u="1"/>
        <d v="2025-06-03T15:36:00" u="1"/>
        <d v="2025-06-04T07:10:00" u="1"/>
        <d v="2025-06-03T13:41:00" u="1"/>
        <d v="2025-06-03T07:33:00" u="1"/>
        <d v="2025-06-02T15:58:00" u="1"/>
        <d v="2025-06-03T06:30:00" u="1"/>
        <d v="2025-06-03T06:43:00" u="1"/>
        <d v="2025-06-03T06:51:00" u="1"/>
        <d v="2025-06-03T07:25:00" u="1"/>
        <d v="2025-06-02T13:34:00" u="1"/>
        <d v="2025-06-04T07:52:00" u="1"/>
        <d v="2025-06-04T14:39:00" u="1"/>
        <d v="2025-06-04T15:14:00" u="1"/>
        <d v="2025-06-04T15:33:00" u="1"/>
        <d v="2025-05-27T07:24:00" u="1"/>
        <d v="2025-06-04T14:05:00" u="1"/>
        <d v="2025-06-02T13:57:00" u="1"/>
        <d v="2025-06-02T19:16:00" u="1"/>
        <d v="2025-06-03T07:21:00" u="1"/>
        <d v="2025-06-03T07:26:00" u="1"/>
        <d v="2025-06-03T08:24:00" u="1"/>
        <d v="2025-06-03T10:48:00" u="1"/>
        <d v="2025-06-03T17:24:00" u="1"/>
        <d v="2025-06-03T13:53:00" u="1"/>
        <d v="2025-06-03T00:00:00" u="1"/>
        <d v="2025-06-04T12:26:00" u="1"/>
        <d v="2025-06-03T10:18:00" u="1"/>
        <d v="2025-06-02T08:48:00" u="1"/>
        <d v="2025-06-03T19:14:00" u="1"/>
        <d v="2025-06-02T15:04:00" u="1"/>
        <d v="2025-06-03T08:58:00" u="1"/>
        <d v="2025-06-03T14:53:00" u="1"/>
        <d v="2025-05-29T11:40:00" u="1"/>
        <d v="2025-05-21T15:01:00" u="1"/>
        <d v="2025-06-02T13:30:00" u="1"/>
        <d v="2025-06-03T08:44:00" u="1"/>
        <d v="2025-06-04T15:29:00" u="1"/>
        <d v="2025-06-04T09:07:00" u="1"/>
        <d v="2025-06-03T19:32:00" u="1"/>
        <d v="2025-06-02T18:24:00" u="1"/>
        <d v="2025-06-03T09:29:00" u="1"/>
        <d v="2025-06-03T11:09:00" u="1"/>
        <d v="2025-06-02T21:57:00" u="1"/>
        <d v="2025-06-03T17:41:00" u="1"/>
        <d v="2025-06-03T16:59:00" u="1"/>
        <d v="2025-06-03T17:21:00" u="1"/>
        <d v="2025-06-04T18:20:00" u="1"/>
        <d v="2025-06-04T16:24:00" u="1"/>
        <d v="2025-06-04T14:53:00" u="1"/>
        <d v="2025-06-04T12:13:00" u="1"/>
        <d v="2025-06-04T09:40:00" u="1"/>
        <d v="2025-06-04T10:48:00" u="1"/>
        <d v="2025-06-02T14:02:00" u="1"/>
        <d v="2025-06-02T17:40:00" u="1"/>
        <d v="2025-06-03T13:21:00" u="1"/>
        <d v="2025-06-04T08:44:00" u="1"/>
        <d v="2025-06-04T18:09:00" u="1"/>
        <d v="2025-06-03T15:18:00" u="1"/>
        <d v="2025-06-04T19:30:00" u="1"/>
        <d v="2025-06-04T09:32:00" u="1"/>
        <d v="2025-06-03T19:27:00" u="1"/>
        <d v="2025-06-03T17:23:00" u="1"/>
        <d v="2025-06-03T17:14:00" u="1"/>
        <d v="2025-06-03T13:19:00" u="1"/>
        <d v="2025-06-03T09:00:00" u="1"/>
        <d v="2025-06-03T14:57:00" u="1"/>
        <d v="2025-06-03T16:03:00" u="1"/>
        <d v="2025-06-03T12:08:00" u="1"/>
        <d v="2025-06-04T17:28:00" u="1"/>
        <d v="2025-06-04T15:23:00" u="1"/>
        <d v="2025-06-04T09:12:00" u="1"/>
        <d v="2025-06-03T09:17:00" u="1"/>
        <d v="2025-06-04T18:42:00" u="1"/>
        <d v="2025-06-04T17:49:00" u="1"/>
        <d v="2025-06-03T18:35:00" u="1"/>
        <d v="2025-06-04T05:02:00" u="1"/>
        <d v="2025-06-04T08:47:00" u="1"/>
        <d v="2025-06-03T16:48:00" u="1"/>
        <d v="2025-06-04T07:40:00" u="1"/>
        <d v="2025-06-03T18:45:00" u="1"/>
        <d v="2025-06-04T12:57:00" u="1"/>
        <d v="2025-06-03T19:20:00" u="1"/>
        <d v="2025-06-04T08:27:00" u="1"/>
        <d v="2025-06-04T04:17:00" u="1"/>
        <d v="2025-06-04T11:45:00" u="1"/>
        <d v="2025-06-04T12:28:00" u="1"/>
        <d v="2025-06-04T07:08:00" u="1"/>
        <d v="2025-06-04T09:06:00" u="1"/>
        <d v="2025-06-04T16:04:00" u="1"/>
        <d v="2025-06-04T08:59:00" u="1"/>
        <d v="2025-06-04T10:28:00" u="1"/>
        <d v="2025-06-03T10:15:00" u="1"/>
        <d v="2025-06-04T13:44:00" u="1"/>
        <d v="2025-06-04T14:27:00" u="1"/>
        <d v="2025-05-06T07:03:00" u="1"/>
        <d v="2025-04-24T13:17:00" u="1"/>
        <d v="2025-06-04T20:20:00" u="1"/>
        <d v="2025-06-03T14:08:00" u="1"/>
        <d v="2025-06-03T08:50:00" u="1"/>
        <d v="2025-06-03T12:15:00" u="1"/>
        <d v="2025-06-04T21:01:00" u="1"/>
        <d v="2025-06-04T20:07:00" u="1"/>
        <d v="2025-02-05T13:50:00" u="1"/>
        <d v="2025-03-14T13:23:00" u="1"/>
        <d v="2025-03-26T13:59:00" u="1"/>
        <d v="2025-05-19T08:08:00" u="1"/>
        <d v="2025-05-09T11:00:00" u="1"/>
        <d v="2025-05-14T04:46:00" u="1"/>
        <d v="2025-05-20T16:21:00" u="1"/>
        <d v="2025-05-20T14:09:00" u="1"/>
        <d v="2025-05-19T08:21:00" u="1"/>
        <d v="2025-05-20T13:20:00" u="1"/>
        <d v="2025-05-20T15:45:00" u="1"/>
        <d v="2025-03-28T14:26:00" u="1"/>
        <d v="2025-05-21T12:42:00" u="1"/>
        <d v="2025-05-20T12:02:00" u="1"/>
        <d v="2025-05-20T09:46:00" u="1"/>
        <d v="2025-05-27T20:06:00" u="1"/>
        <d v="2025-05-30T14:51:00" u="1"/>
        <d v="2025-05-26T07:23:00" u="1"/>
        <d v="2025-05-23T07:46:00" u="1"/>
        <d v="2025-05-09T07:25:00" u="1"/>
        <d v="2025-05-23T13:12:00" u="1"/>
        <d v="2025-05-30T09:41:00" u="1"/>
        <d v="2025-05-27T09:51:00" u="1"/>
        <d v="2025-05-27T09:03:00" u="1"/>
        <d v="2025-05-21T17:10:00" u="1"/>
        <d v="2025-06-03T15:39:00" u="1"/>
        <d v="2025-06-03T15:11:00" u="1"/>
        <d v="2025-06-03T15:06:00" u="1"/>
        <d v="2025-06-03T16:17:00" u="1"/>
        <d v="2025-06-03T14:38:00" u="1"/>
        <d v="2025-06-03T10:55:00" u="1"/>
        <d v="2025-06-03T10:52:00" u="1"/>
        <d v="2025-05-30T10:40:00" u="1"/>
        <d v="2025-06-02T19:52:00" u="1"/>
        <d v="2025-06-02T16:33:00" u="1"/>
        <d v="2025-06-02T17:26:00" u="1"/>
        <d v="2025-06-02T15:19:00" u="1"/>
        <d v="2025-06-03T21:24:00" u="1"/>
        <d v="2025-06-03T11:36:00" u="1"/>
        <d v="2025-06-02T18:21:00" u="1"/>
        <d v="2025-06-02T18:16:00" u="1"/>
        <d v="2025-06-03T14:15:00" u="1"/>
        <d v="2025-06-02T19:19:00" u="1"/>
        <d v="2025-05-30T11:38:00" u="1"/>
        <d v="2025-06-03T18:37:00" u="1"/>
        <d v="2025-06-03T18:28:00" u="1"/>
        <d v="2025-06-03T12:38:00" u="1"/>
        <d v="2025-06-03T15:29:00" u="1"/>
        <d v="2025-06-02T15:07:00" u="1"/>
        <d v="2025-05-28T17:42:00" u="1"/>
        <d v="2025-05-30T17:31:00" u="1"/>
        <d v="2025-05-30T17:30:00" u="1"/>
        <d v="2025-05-30T16:23:00" u="1"/>
        <d v="2025-06-03T09:52:00" u="1"/>
        <d v="2025-06-03T15:48:00" u="1"/>
        <d v="2025-06-03T14:51:00" u="1"/>
        <d v="2025-06-03T14:52:00" u="1"/>
        <d v="2025-06-03T15:07:00" u="1"/>
        <d v="2025-06-03T15:10:00" u="1"/>
        <d v="2025-06-02T16:05:00" u="1"/>
        <d v="2025-06-03T14:30:00" u="1"/>
        <d v="2025-06-03T14:25:00" u="1"/>
        <d v="2025-06-03T16:39:00" u="1"/>
        <d v="2025-06-03T10:10:00" u="1"/>
        <d v="2025-06-02T20:22:00" u="1"/>
        <d v="2025-06-02T16:49:00" u="1"/>
        <d v="2025-06-02T16:51:00" u="1"/>
        <d v="2025-06-03T16:09:00" u="1"/>
        <d v="2025-06-03T16:08:00" u="1"/>
        <d v="2025-06-03T20:31:00" u="1"/>
        <d v="2025-06-03T20:30:00" u="1"/>
        <d v="2025-06-03T15:04:00" u="1"/>
        <d v="2025-06-03T15:01:00" u="1"/>
        <d v="2025-06-03T13:49:00" u="1"/>
        <d v="2025-06-03T15:28:00" u="1"/>
        <d v="2025-06-03T16:27:00" u="1"/>
        <d v="2025-06-03T06:29:00" u="1"/>
        <d v="2025-06-03T06:37:00" u="1"/>
        <d v="2025-06-03T07:19:00" u="1"/>
        <d v="2025-06-03T07:34:00" u="1"/>
        <d v="2025-06-03T07:36:00" u="1"/>
        <d v="2025-06-03T21:40:00" u="1"/>
        <d v="2025-06-03T14:20:00" u="1"/>
        <d v="2025-06-03T04:41:00" u="1"/>
        <d v="2025-05-29T13:30:00" u="1"/>
        <d v="2025-06-03T11:57:00" u="1"/>
        <d v="2025-06-03T09:05:00" u="1"/>
        <d v="2025-06-03T02:49:00" u="1"/>
        <d v="2025-06-03T12:48:00" u="1"/>
        <d v="2025-06-03T12:01:00" u="1"/>
        <d v="2025-06-01T01:11:00" u="1"/>
        <d v="2025-06-02T17:58:00" u="1"/>
        <d v="2025-06-03T17:08:00" u="1"/>
        <d v="2025-04-22T20:00:00" u="1"/>
        <d v="2025-06-03T12:26:00" u="1"/>
        <d v="2025-06-03T02:16:00" u="1"/>
        <d v="2025-06-02T11:53:00" u="1"/>
        <d v="2025-06-03T10:50:00" u="1"/>
        <d v="2025-05-30T18:56:00" u="1"/>
        <d v="2025-05-30T19:25:00" u="1"/>
        <d v="2025-05-30T17:25:00" u="1"/>
        <d v="2025-06-02T16:26:00" u="1"/>
        <d v="2025-05-30T19:12:00" u="1"/>
        <d v="2025-05-30T19:11:00" u="1"/>
        <d v="2025-05-27T14:03:00" u="1"/>
        <d v="2025-05-31T11:00:00" u="1"/>
        <d v="2025-05-05T18:44:00" u="1"/>
        <d v="2025-05-20T11:02:00" u="1"/>
        <d v="2025-05-21T12:15:00" u="1"/>
        <d v="2025-05-30T09:40:00" u="1"/>
        <d v="2025-05-27T16:22:00" u="1"/>
        <d v="2025-05-22T17:50:00" u="1"/>
        <d v="2025-05-29T16:49:00" u="1"/>
        <d v="2025-05-29T11:00:00" u="1"/>
        <d v="2025-05-29T12:39:00" u="1"/>
        <d v="2025-05-13T11:57:00" u="1"/>
        <d v="2025-05-30T10:18:00" u="1"/>
        <d v="2025-05-29T16:15:00" u="1"/>
        <d v="2025-05-21T17:25:00" u="1"/>
        <d v="2025-05-23T12:45:00" u="1"/>
        <d v="2025-06-02T09:33:00" u="1"/>
        <d v="2025-06-02T15:33:00" u="1"/>
        <d v="2025-06-02T11:32:00" u="1"/>
        <d v="2025-05-30T18:32:00" u="1"/>
        <d v="2025-06-02T11:00:00" u="1"/>
        <d v="2025-06-02T10:14:00" u="1"/>
        <d v="2025-06-02T18:01:00" u="1"/>
        <d v="2025-06-02T17:11:00" u="1"/>
        <d v="2025-06-02T18:02:00" u="1"/>
        <d v="2025-06-02T13:23:00" u="1"/>
        <d v="2025-06-02T12:20:00" u="1"/>
        <d v="2025-06-02T12:35:00" u="1"/>
        <d v="2025-06-02T14:25:00" u="1"/>
        <d v="2025-06-02T13:03:00" u="1"/>
        <d v="2025-06-02T14:43:00" u="1"/>
        <d v="2025-05-30T17:10:00" u="1"/>
        <d v="2025-05-30T17:13:00" u="1"/>
        <d v="2025-05-30T09:46:00" u="1"/>
        <d v="2025-05-29T14:49:00" u="1"/>
        <d v="2025-06-02T17:59:00" u="1"/>
        <d v="2025-06-02T08:34:00" u="1"/>
        <d v="2025-06-02T11:47:00" u="1"/>
        <d v="2025-06-02T17:27:00" u="1"/>
        <d v="2025-06-02T11:35:00" u="1"/>
        <d v="2025-05-19T15:19:00" u="1"/>
        <d v="2025-06-02T13:25:00" u="1"/>
        <d v="2025-06-02T12:11:00" u="1"/>
        <d v="2025-06-02T12:30:00" u="1"/>
        <d v="2025-05-29T12:59:00" u="1"/>
        <d v="2025-06-02T08:23:00" u="1"/>
        <d v="2025-06-02T08:32:00" u="1"/>
        <d v="2025-06-02T11:43:00" u="1"/>
        <d v="2025-06-02T06:43:00" u="1"/>
        <d v="2025-06-02T06:27:00" u="1"/>
        <d v="2025-06-02T04:03:00" u="1"/>
        <d v="2025-06-02T05:01:00" u="1"/>
        <d v="2025-06-02T12:57:00" u="1"/>
        <d v="2025-05-30T13:54:00" u="1"/>
        <d v="2025-06-02T08:22:00" u="1"/>
        <d v="2025-06-02T08:39:00" u="1"/>
        <d v="2025-06-02T01:13:00" u="1"/>
        <d v="2025-06-02T04:10:00" u="1"/>
        <d v="2025-06-02T15:48:00" u="1"/>
        <d v="2025-06-02T13:16:00" u="1"/>
        <d v="2025-06-02T12:06:00" u="1"/>
        <d v="2025-06-02T15:29:00" u="1"/>
        <d v="2025-06-02T15:23:00" u="1"/>
        <d v="2025-06-02T13:22:00" u="1"/>
        <d v="2025-05-30T15:40:00" u="1"/>
        <d v="2025-05-30T16:00:00" u="1"/>
        <d v="2025-05-30T16:51:00" u="1"/>
        <d v="2025-05-30T16:24:00" u="1"/>
        <d v="2025-06-02T06:45:00" u="1"/>
        <d v="2025-05-16T16:55:00" u="1"/>
        <d v="2025-05-31T16:12:00" u="1"/>
        <d v="2025-06-02T09:04:00" u="1"/>
        <d v="2025-06-02T08:40:00" u="1"/>
        <d v="2025-05-30T15:24:00" u="1"/>
        <d v="2025-05-21T14:03:00" u="1"/>
        <d v="2025-05-06T10:18:00" u="1"/>
        <d v="2025-05-14T19:00:00" u="1"/>
        <d v="2025-05-14T15:15:00" u="1"/>
        <d v="2025-05-08T16:04:00" u="1"/>
        <d v="2025-05-16T09:14:00" u="1"/>
        <d v="2025-05-16T09:29:00" u="1"/>
        <d v="2025-05-19T13:56:00" u="1"/>
        <d v="2025-05-15T18:40:00" u="1"/>
        <d v="2025-05-14T09:00:00" u="1"/>
        <d v="2025-05-14T00:00:00" u="1"/>
        <d v="2025-05-20T10:14:00" u="1"/>
        <d v="2025-05-21T17:13:00" u="1"/>
        <d v="2025-05-21T08:12:00" u="1"/>
        <d v="2025-05-21T10:59:00" u="1"/>
        <d v="2025-05-20T09:13:00" u="1"/>
        <d v="2025-05-21T15:56:00" u="1"/>
        <d v="2025-05-20T17:55:00" u="1"/>
        <d v="2025-05-21T15:40:00" u="1"/>
        <d v="2025-05-20T18:52:00" u="1"/>
        <d v="2025-05-27T07:38:00" u="1"/>
        <d v="2025-05-13T06:43:00" u="1"/>
        <d v="2025-05-21T13:43:00" u="1"/>
        <d v="2025-05-21T15:36:00" u="1"/>
        <d v="2025-05-21T16:44:00" u="1"/>
        <d v="2025-05-20T17:19:00" u="1"/>
        <d v="2025-05-23T11:12:00" u="1"/>
        <d v="2025-05-28T14:31:00" u="1"/>
        <d v="2025-05-26T16:30:00" u="1"/>
        <d v="2025-05-28T15:55:00" u="1"/>
        <d v="2025-05-28T14:18:00" u="1"/>
        <d v="2025-05-22T14:04:00" u="1"/>
        <d v="2025-05-19T17:40:00" u="1"/>
        <d v="2025-05-26T13:36:00" u="1"/>
        <d v="2025-05-12T14:03:00" u="1"/>
        <d v="2025-05-26T14:16:00" u="1"/>
        <d v="2025-05-26T10:58:00" u="1"/>
        <d v="2025-05-27T14:19:00" u="1"/>
        <d v="2025-05-23T11:56:00" u="1"/>
        <d v="2025-05-23T09:47:00" u="1"/>
        <d v="2025-05-27T16:52:00" u="1"/>
        <d v="2025-05-27T17:04:00" u="1"/>
        <d v="2025-05-28T17:07:00" u="1"/>
        <d v="2025-05-27T17:45:00" u="1"/>
        <d v="2025-05-27T15:22:00" u="1"/>
        <d v="2025-05-26T07:55:00" u="1"/>
        <d v="2025-05-28T12:02:00" u="1"/>
        <d v="2025-05-27T10:29:00" u="1"/>
        <d v="2025-05-28T17:23:00" u="1"/>
        <d v="2025-05-28T11:24:00" u="1"/>
        <d v="2025-05-28T15:25:00" u="1"/>
        <d v="2025-05-27T07:34:00" u="1"/>
        <d v="2025-05-27T07:49:00" u="1"/>
        <d v="2025-05-28T18:10:00" u="1"/>
        <d v="2025-05-26T18:09:00" u="1"/>
        <d v="2025-05-26T18:13:00" u="1"/>
        <d v="2025-05-26T18:12:00" u="1"/>
        <d v="2025-05-23T09:45:00" u="1"/>
        <d v="2025-04-10T10:04:00" u="1"/>
        <d v="2025-02-27T10:42:00" u="1"/>
        <d v="2025-05-27T13:06:00" u="1"/>
        <d v="2025-04-30T16:49:00" u="1"/>
        <d v="2025-05-26T19:38:00" u="1"/>
        <d v="2025-05-27T15:35:00" u="1"/>
        <d v="2025-05-23T15:44:00" u="1"/>
        <d v="2025-05-27T10:43:00" u="1"/>
        <d v="2025-05-28T11:29:00" u="1"/>
        <d v="2025-05-28T11:26:00" u="1"/>
        <d v="2025-05-26T14:46:00" u="1"/>
        <d v="2025-05-26T11:25:00" u="1"/>
        <d v="2025-05-28T07:06:00" u="1"/>
        <d v="2025-05-27T15:20:00" u="1"/>
        <d v="2025-05-27T20:16:00" u="1"/>
        <d v="2025-05-26T11:35:00" u="1"/>
        <d v="2025-05-16T10:49:00" u="1"/>
        <d v="2025-05-29T14:57:00" u="1"/>
        <d v="2025-05-29T14:27:00" u="1"/>
        <d v="2025-05-29T10:58:00" u="1"/>
        <d v="2025-05-29T10:49:00" u="1"/>
        <d v="2025-05-29T10:46:00" u="1"/>
        <d v="2025-05-29T13:47:00" u="1"/>
        <d v="2025-05-29T07:32:00" u="1"/>
        <d v="2025-05-29T14:06:00" u="1"/>
        <d v="2025-05-29T09:46:00" u="1"/>
        <d v="2025-05-29T15:58:00" u="1"/>
        <d v="2025-05-29T14:47:00" u="1"/>
        <d v="2025-05-29T16:48:00" u="1"/>
        <d v="2025-05-29T11:50:00" u="1"/>
        <d v="2025-05-29T11:52:00" u="1"/>
        <d v="2025-05-29T11:53:00" u="1"/>
        <d v="2025-05-29T15:20:00" u="1"/>
        <d v="2025-05-29T14:35:00" u="1"/>
        <d v="2025-05-28T14:20:00" u="1"/>
        <d v="2025-05-29T09:49:00" u="1"/>
        <d v="2025-05-29T12:27:00" u="1"/>
        <d v="2025-05-29T12:26:00" u="1"/>
        <d v="2025-05-29T16:16:00" u="1"/>
        <d v="2025-05-29T10:54:00" u="1"/>
        <d v="2025-05-29T11:03:00" u="1"/>
        <d v="2025-05-29T12:46:00" u="1"/>
        <d v="2025-05-29T16:07:00" u="1"/>
        <d v="2025-05-29T16:00:00" u="1"/>
        <d v="2025-05-29T08:06:00" u="1"/>
        <d v="2025-05-29T17:22:00" u="1"/>
        <d v="2025-05-29T12:16:00" u="1"/>
        <d v="2025-05-29T17:24:00" u="1"/>
        <d v="2025-05-29T15:37:00" u="1"/>
        <d v="2025-05-29T19:08:00" u="1"/>
        <d v="2025-05-29T19:00:00" u="1"/>
        <d v="2025-05-29T16:43:00" u="1"/>
        <d v="2025-05-29T17:41:00" u="1"/>
        <d v="2025-05-29T16:41:00" u="1"/>
        <d v="2025-05-29T09:27:00" u="1"/>
        <d v="2025-05-29T11:45:00" u="1"/>
        <d v="2025-05-27T13:32:00" u="1"/>
        <d v="2025-05-29T08:24:00" u="1"/>
        <d v="2025-05-28T16:12:00" u="1"/>
        <d v="2025-05-29T12:28:00" u="1"/>
        <d v="2025-05-29T11:55:00" u="1"/>
        <d v="2025-05-29T15:31:00" u="1"/>
        <d v="2025-05-15T19:23:00" u="1"/>
        <d v="2025-05-29T16:02:00" u="1"/>
        <d v="2025-05-29T15:28:00" u="1"/>
        <d v="2025-05-29T20:14:00" u="1"/>
        <d v="2025-05-30T03:56:00" u="1"/>
        <d v="2025-05-29T17:33:00" u="1"/>
        <d v="2025-05-29T13:48:00" u="1"/>
        <d v="2025-05-29T17:10:00" u="1"/>
        <d v="2025-05-29T04:35:00" u="1"/>
        <d v="2025-05-29T18:47:00" u="1"/>
        <d v="2025-05-29T04:31:00" u="1"/>
        <d v="2025-05-29T13:36:00" u="1"/>
        <d v="2025-05-29T18:23:00" u="1"/>
        <d v="2025-05-29T15:47:00" u="1"/>
        <d v="2025-05-29T15:50:00" u="1"/>
        <d v="2025-05-29T15:06:00" u="1"/>
        <d v="2025-05-12T13:19:00" u="1"/>
        <d v="2025-05-29T09:39:00" u="1"/>
        <d v="2025-05-29T16:52:00" u="1"/>
        <d v="2025-05-28T13:42:00" u="1"/>
        <d v="2025-05-29T17:12:00" u="1"/>
        <d v="2025-05-29T11:11:00" u="1"/>
        <d v="2025-05-29T15:18:00" u="1"/>
        <d v="2025-05-29T15:27:00" u="1"/>
        <d v="2025-05-29T13:57:00" u="1"/>
        <d v="2025-05-29T08:59:00" u="1"/>
        <d v="2025-05-29T18:00:00" u="1"/>
        <d v="2025-04-01T00:00:00" u="1"/>
        <d v="2025-04-10T09:39:00" u="1"/>
        <d v="2025-05-16T13:05:00" u="1"/>
        <d v="2025-05-14T12:23:00" u="1"/>
        <d v="2025-05-16T10:44:00" u="1"/>
        <d v="2025-05-16T10:04:00" u="1"/>
        <d v="2025-05-20T09:24:00" u="1"/>
        <d v="2025-05-20T12:22:00" u="1"/>
        <d v="2025-05-26T15:52:00" u="1"/>
        <d v="2025-05-23T19:22:00" u="1"/>
        <d v="2025-05-26T19:33:00" u="1"/>
        <d v="2025-05-23T08:34:00" u="1"/>
        <d v="2025-05-23T17:54:00" u="1"/>
        <d v="2025-05-26T08:29:00" u="1"/>
        <d v="2025-05-27T10:06:00" u="1"/>
        <d v="2025-05-23T15:34:00" u="1"/>
        <d v="2025-05-23T15:35:00" u="1"/>
        <d v="2025-05-22T13:41:00" u="1"/>
        <d v="2025-05-23T16:34:00" u="1"/>
        <d v="2025-05-26T09:28:00" u="1"/>
        <d v="2025-05-26T15:43:00" u="1"/>
        <d v="2025-05-26T13:03:00" u="1"/>
        <d v="2025-05-26T14:28:00" u="1"/>
        <d v="2025-05-26T11:11:00" u="1"/>
        <d v="2025-05-26T21:24:00" u="1"/>
        <d v="2025-05-27T08:21:00" u="1"/>
        <d v="2025-05-27T07:10:00" u="1"/>
        <d v="2025-05-26T16:34:00" u="1"/>
        <d v="2025-05-26T12:09:00" u="1"/>
        <d v="2025-05-23T10:11:00" u="1"/>
        <d v="2025-05-26T14:15:00" u="1"/>
        <d v="2025-05-27T10:58:00" u="1"/>
        <d v="2025-05-27T08:43:00" u="1"/>
        <d v="2025-05-22T14:14:00" u="1"/>
        <d v="2025-05-22T14:10:00" u="1"/>
        <d v="2025-05-26T17:38:00" u="1"/>
        <d v="2025-05-26T10:21:00" u="1"/>
        <d v="2025-05-26T09:39:00" u="1"/>
        <d v="2025-05-27T09:02:00" u="1"/>
        <d v="2025-05-26T16:57:00" u="1"/>
        <d v="2025-05-27T08:46:00" u="1"/>
        <d v="2025-05-22T13:29:00" u="1"/>
        <d v="2025-05-22T16:31:00" u="1"/>
        <d v="2025-05-23T10:20:00" u="1"/>
        <d v="2025-05-26T14:40:00" u="1"/>
        <d v="2025-05-26T08:15:00" u="1"/>
        <d v="2025-05-22T15:38:00" u="1"/>
        <d v="2025-05-27T15:59:00" u="1"/>
        <d v="2025-05-27T13:20:00" u="1"/>
        <d v="2025-05-27T12:48:00" u="1"/>
        <d v="2025-05-28T11:45:00" u="1"/>
        <d v="2025-05-28T11:35:00" u="1"/>
        <d v="2025-05-28T17:02:00" u="1"/>
        <d v="2025-05-28T14:00:00" u="1"/>
        <d v="2025-05-28T14:50:00" u="1"/>
        <d v="2025-05-28T13:29:00" u="1"/>
        <d v="2025-05-28T12:46:00" u="1"/>
        <d v="2025-05-28T13:32:00" u="1"/>
        <d v="2025-05-28T13:37:00" u="1"/>
        <d v="2025-05-28T13:30:00" u="1"/>
        <d v="2025-05-28T15:29:00" u="1"/>
        <d v="2025-05-28T16:05:00" u="1"/>
        <d v="2025-05-28T14:15:00" u="1"/>
        <d v="2025-05-28T12:52:00" u="1"/>
        <d v="2025-05-28T12:55:00" u="1"/>
        <d v="2025-05-28T12:58:00" u="1"/>
        <d v="2025-05-28T13:07:00" u="1"/>
        <d v="2025-05-28T13:11:00" u="1"/>
        <d v="2025-05-28T13:17:00" u="1"/>
        <d v="2025-05-28T13:41:00" u="1"/>
        <d v="2025-05-28T13:39:00" u="1"/>
        <d v="2025-05-28T20:10:00" u="1"/>
        <d v="2025-05-28T11:33:00" u="1"/>
        <d v="2025-05-27T22:45:00" u="1"/>
        <d v="2025-05-27T15:12:00" u="1"/>
        <d v="2025-05-27T17:06:00" u="1"/>
        <d v="2025-05-28T11:07:00" u="1"/>
        <d v="2025-05-27T16:11:00" u="1"/>
        <d v="2025-05-28T14:04:00" u="1"/>
        <d v="2025-05-26T15:28:00" u="1"/>
        <d v="2025-05-28T13:38:00" u="1"/>
        <d v="2025-05-26T09:10:00" u="1"/>
        <d v="2025-05-26T12:58:00" u="1"/>
        <d v="2025-05-28T08:58:00" u="1"/>
        <d v="2025-05-27T16:09:00" u="1"/>
        <d v="2025-05-27T16:04:00" u="1"/>
        <d v="2025-05-28T10:21:00" u="1"/>
        <d v="2025-05-28T14:45:00" u="1"/>
        <d v="2025-05-28T07:57:00" u="1"/>
        <d v="2025-05-28T16:41:00" u="1"/>
        <d v="2025-05-28T15:22:00" u="1"/>
        <d v="2025-05-28T13:47:00" u="1"/>
        <d v="2025-05-28T08:03:00" u="1"/>
        <d v="2025-05-26T11:13:00" u="1"/>
        <d v="2025-05-28T15:43:00" u="1"/>
        <d v="2025-05-27T16:58:00" u="1"/>
        <d v="2025-05-28T18:56:00" u="1"/>
        <d v="2025-05-28T18:55:00" u="1"/>
        <d v="2025-05-28T18:43:00" u="1"/>
        <d v="2025-05-13T11:40:00" u="1"/>
        <d v="2025-05-13T11:27:00" u="1"/>
        <d v="2025-05-28T19:21:00" u="1"/>
        <d v="2025-05-28T21:32:00" u="1"/>
        <d v="2025-05-28T14:14:00" u="1"/>
        <d v="2025-05-28T14:11:00" u="1"/>
        <d v="2025-05-28T14:06:00" u="1"/>
        <d v="2025-05-27T14:12:00" u="1"/>
        <d v="2025-05-28T07:36:00" u="1"/>
        <d v="2025-05-28T18:12:00" u="1"/>
        <d v="2025-05-28T15:52:00" u="1"/>
        <d v="2025-05-27T14:15:00" u="1"/>
        <d v="2025-05-28T06:36:00" u="1"/>
        <d v="2025-05-28T09:50:00" u="1"/>
        <d v="2025-05-28T08:47:00" u="1"/>
        <d v="2025-05-28T12:30:00" u="1"/>
        <d v="2025-05-28T19:16:00" u="1"/>
        <d v="2025-05-28T15:33:00" u="1"/>
        <d v="2025-05-27T12:34:00" u="1"/>
        <d v="2025-05-28T17:19:00" u="1"/>
        <d v="2025-05-27T18:54:00" u="1"/>
        <d v="2025-05-28T13:59:00" u="1"/>
        <d v="2025-05-28T16:44:00" u="1"/>
        <d v="2025-05-28T01:41:00" u="1"/>
        <d v="2025-05-28T12:48:00" u="1"/>
        <d v="2025-05-28T10:16:00" u="1"/>
        <d v="2025-05-28T08:00:00" u="1"/>
        <d v="2025-05-28T11:41:00" u="1"/>
        <d v="2025-05-28T12:47:00" u="1"/>
        <d v="2025-05-28T14:24:00" u="1"/>
        <d v="2025-05-28T08:12:00" u="1"/>
        <d v="2025-05-27T16:06:00" u="1"/>
        <d v="2025-05-28T08:28:00" u="1"/>
        <d v="2025-05-28T16:08:00" u="1"/>
        <d v="2025-05-28T10:41:00" u="1"/>
        <d v="2025-05-28T18:47:00" u="1"/>
        <d v="2025-05-28T18:48:00" u="1"/>
        <d v="2025-05-28T12:13:00" u="1"/>
        <d v="2025-04-16T16:11:00" u="1"/>
        <d v="2025-04-04T16:27:00" u="1"/>
        <d v="2025-05-02T16:03:00" u="1"/>
        <d v="2025-05-12T07:14:00" u="1"/>
        <d v="2025-05-08T16:14:00" u="1"/>
        <d v="2025-04-26T17:23:00" u="1"/>
        <d v="2025-05-14T08:37:00" u="1"/>
        <d v="2025-05-16T16:22:00" u="1"/>
        <d v="2025-05-18T07:29:00" u="1"/>
        <d v="2025-05-16T14:54:00" u="1"/>
        <d v="2025-05-19T06:57:00" u="1"/>
        <d v="2025-05-15T14:02:00" u="1"/>
        <d v="2025-05-16T16:49:00" u="1"/>
        <d v="2025-05-14T10:53:00" u="1"/>
        <d v="2025-05-16T11:08:00" u="1"/>
        <d v="2025-05-16T16:59:00" u="1"/>
        <d v="2025-05-11T10:53:00" u="1"/>
        <d v="2025-05-19T14:36:00" u="1"/>
        <d v="2025-05-20T17:24:00" u="1"/>
        <d v="2025-05-21T09:01:00" u="1"/>
        <d v="2025-05-21T12:14:00" u="1"/>
        <d v="2025-05-16T19:04:00" u="1"/>
        <d v="2025-05-20T07:51:00" u="1"/>
        <d v="2025-05-19T12:06:00" u="1"/>
        <d v="2025-05-19T14:58:00" u="1"/>
        <d v="2025-05-20T18:55:00" u="1"/>
        <d v="2025-05-21T10:57:00" u="1"/>
        <d v="2025-05-02T08:02:00" u="1"/>
        <d v="2025-05-20T15:37:00" u="1"/>
        <d v="2025-05-19T20:27:00" u="1"/>
        <d v="2025-05-19T09:48:00" u="1"/>
        <d v="2025-05-23T12:12:00" u="1"/>
        <d v="2025-05-26T08:59:00" u="1"/>
        <d v="2025-05-26T09:09:00" u="1"/>
        <d v="2025-05-23T20:49:00" u="1"/>
        <d v="2025-05-24T08:09:00" u="1"/>
        <d v="2025-05-23T16:50:00" u="1"/>
        <d v="2025-05-23T15:47:00" u="1"/>
        <d v="2025-05-23T14:27:00" u="1"/>
        <d v="2025-05-23T11:49:00" u="1"/>
        <d v="2025-05-23T14:25:00" u="1"/>
        <d v="2025-05-23T09:33:00" u="1"/>
        <d v="2025-05-22T14:02:00" u="1"/>
        <d v="2025-05-22T12:25:00" u="1"/>
        <d v="2025-05-26T07:05:00" u="1"/>
        <d v="2025-05-26T08:43:00" u="1"/>
        <d v="2025-05-26T08:31:00" u="1"/>
        <d v="2025-05-23T15:33:00" u="1"/>
        <d v="2025-05-26T13:10:00" u="1"/>
        <d v="2025-05-24T07:28:00" u="1"/>
        <d v="2025-05-23T16:05:00" u="1"/>
        <d v="2025-05-23T13:48:00" u="1"/>
        <d v="2025-05-23T14:17:00" u="1"/>
        <d v="2025-05-23T14:19:00" u="1"/>
        <d v="2025-05-23T14:40:00" u="1"/>
        <d v="2025-05-26T08:22:00" u="1"/>
        <d v="2025-05-26T07:58:00" u="1"/>
        <d v="2025-05-26T08:02:00" u="1"/>
        <d v="2025-05-26T07:15:00" u="1"/>
        <d v="2025-05-26T07:10:00" u="1"/>
        <d v="2025-05-22T10:05:00" u="1"/>
        <d v="2025-05-26T07:35:00" u="1"/>
        <d v="2025-05-22T12:32:00" u="1"/>
        <d v="2025-05-22T07:05:00" u="1"/>
        <d v="2025-05-23T13:11:00" u="1"/>
        <d v="2025-05-21T19:13:00" u="1"/>
        <d v="2025-05-22T12:19:00" u="1"/>
        <d v="2025-05-23T11:38:00" u="1"/>
        <d v="2025-05-23T14:53:00" u="1"/>
        <d v="2025-05-23T15:20:00" u="1"/>
        <d v="2025-05-22T17:24:00" u="1"/>
        <d v="2025-05-23T15:00:00" u="1"/>
        <d v="2025-05-22T11:02:00" u="1"/>
        <d v="2025-05-22T15:50:00" u="1"/>
        <d v="2025-05-26T09:12:00" u="1"/>
        <d v="2025-05-23T15:51:00" u="1"/>
        <d v="2025-05-23T22:03:00" u="1"/>
        <d v="2025-05-22T09:45:00" u="1"/>
        <d v="2025-05-21T18:45:00" u="1"/>
        <d v="2025-05-23T08:16:00" u="1"/>
        <d v="2025-05-23T13:01:00" u="1"/>
        <d v="2025-05-21T13:34:00" u="1"/>
        <d v="2025-05-23T17:15:00" u="1"/>
        <d v="2025-05-23T10:21:00" u="1"/>
        <d v="2025-05-23T17:08:00" u="1"/>
        <d v="2025-05-23T14:13:00" u="1"/>
        <d v="2025-05-22T08:27:00" u="1"/>
        <d v="2025-05-22T13:03:00" u="1"/>
        <d v="2025-05-23T12:09:00" u="1"/>
        <d v="2025-05-26T12:34:00" u="1"/>
        <d v="2025-05-26T17:58:00" u="1"/>
        <d v="2025-05-26T17:06:00" u="1"/>
        <d v="2025-05-26T15:25:00" u="1"/>
        <d v="2025-05-26T18:20:00" u="1"/>
        <d v="2025-05-26T14:03:00" u="1"/>
        <d v="2025-05-26T16:18:00" u="1"/>
        <d v="2025-05-23T16:29:00" u="1"/>
        <d v="2025-05-14T08:08:00" u="1"/>
        <d v="2025-05-26T09:22:00" u="1"/>
        <d v="2025-05-26T13:50:00" u="1"/>
        <d v="2025-05-26T11:37:00" u="1"/>
        <d v="2025-05-26T11:26:00" u="1"/>
        <d v="2025-05-26T13:11:00" u="1"/>
        <d v="2025-05-26T13:35:00" u="1"/>
        <d v="2025-05-26T13:38:00" u="1"/>
        <d v="2025-05-26T13:46:00" u="1"/>
        <d v="2025-05-26T14:06:00" u="1"/>
        <d v="2025-05-26T14:23:00" u="1"/>
        <d v="2025-05-26T15:15:00" u="1"/>
        <d v="2025-05-26T15:18:00" u="1"/>
        <d v="2025-05-26T15:47:00" u="1"/>
        <d v="2025-05-26T12:45:00" u="1"/>
        <d v="2025-05-26T19:03:00" u="1"/>
        <d v="2025-05-26T16:08:00" u="1"/>
        <d v="2025-05-21T17:38:00" u="1"/>
        <d v="2025-05-26T15:02:00" u="1"/>
        <d v="2025-05-26T11:07:00" u="1"/>
        <d v="2025-05-26T11:06:00" u="1"/>
        <d v="2025-05-26T18:17:00" u="1"/>
        <d v="2025-05-26T17:43:00" u="1"/>
        <d v="2025-05-26T13:22:00" u="1"/>
        <d v="2025-05-26T17:45:00" u="1"/>
        <d v="2025-05-26T17:44:00" u="1"/>
        <d v="2025-05-26T11:39:00" u="1"/>
        <d v="2025-05-26T11:59:00" u="1"/>
        <d v="2025-05-26T15:20:00" u="1"/>
        <d v="2025-05-26T18:04:00" u="1"/>
        <d v="2025-05-26T17:36:00" u="1"/>
        <d v="2025-05-26T15:58:00" u="1"/>
        <d v="2025-05-26T15:16:00" u="1"/>
        <d v="2025-05-06T10:16:00" u="1"/>
        <d v="2025-05-26T06:03:00" u="1"/>
        <d v="2025-05-26T06:53:00" u="1"/>
        <d v="2025-05-26T14:51:00" u="1"/>
        <d v="2025-05-26T18:39:00" u="1"/>
        <d v="2025-05-26T16:52:00" u="1"/>
        <d v="2025-05-26T13:13:00" u="1"/>
        <d v="2025-05-26T05:53:00" u="1"/>
        <d v="2025-05-26T06:51:00" u="1"/>
        <d v="2025-05-26T05:07:00" u="1"/>
        <d v="2025-05-26T23:55:00" u="1"/>
        <d v="2025-05-26T13:32:00" u="1"/>
        <d v="2025-05-26T08:05:00" u="1"/>
        <d v="2025-05-26T19:25:00" u="1"/>
        <d v="2025-05-26T14:30:00" u="1"/>
        <d v="2025-05-26T12:51:00" u="1"/>
        <d v="2025-05-26T17:48:00" u="1"/>
        <d v="2025-05-12T15:55:00" u="1"/>
        <d v="2025-05-08T17:00:00" u="1"/>
        <d v="2025-05-12T17:08:00" u="1"/>
        <d v="2025-05-19T09:05:00" u="1"/>
        <d v="2025-05-14T14:56:00" u="1"/>
        <d v="2025-05-14T13:57:00" u="1"/>
        <d v="2025-05-16T17:32:00" u="1"/>
        <d v="2025-05-16T17:33:00" u="1"/>
        <d v="2025-05-15T14:16:00" u="1"/>
        <d v="2025-05-05T00:00:00" u="1"/>
        <d v="2025-05-19T18:45:00" u="1"/>
        <d v="2025-05-20T08:48:00" u="1"/>
        <d v="2025-05-19T14:50:00" u="1"/>
        <d v="2025-05-20T07:18:00" u="1"/>
        <d v="2025-05-20T17:06:00" u="1"/>
        <d v="2025-05-20T12:48:00" u="1"/>
        <d v="2025-05-20T17:07:00" u="1"/>
        <d v="2025-05-20T14:47:00" u="1"/>
        <d v="2025-05-20T09:00:00" u="1"/>
        <d v="2025-05-22T16:47:00" u="1"/>
        <d v="2025-05-21T13:07:00" u="1"/>
        <d v="2025-05-23T15:39:00" u="1"/>
        <d v="2025-05-23T11:46:00" u="1"/>
        <d v="2025-05-22T16:07:00" u="1"/>
        <d v="2025-05-22T14:17:00" u="1"/>
        <d v="2025-05-23T09:04:00" u="1"/>
        <d v="2025-05-22T17:46:00" u="1"/>
        <d v="2025-05-22T15:40:00" u="1"/>
        <d v="2025-05-23T13:45:00" u="1"/>
        <d v="2025-05-23T14:47:00" u="1"/>
        <d v="2025-05-22T16:28:00" u="1"/>
        <d v="2025-05-19T13:04:00" u="1"/>
        <d v="2025-05-23T14:50:00" u="1"/>
        <d v="2025-05-23T09:26:00" u="1"/>
        <d v="2025-05-22T12:33:00" u="1"/>
        <d v="2025-05-23T09:46:00" u="1"/>
        <d v="2025-05-23T13:26:00" u="1"/>
        <d v="2025-05-23T13:27:00" u="1"/>
        <d v="2025-05-22T18:17:00" u="1"/>
        <d v="2025-05-22T09:02:00" u="1"/>
        <d v="2025-05-23T13:21:00" u="1"/>
        <d v="2025-05-22T17:13:00" u="1"/>
        <d v="2025-05-22T13:06:00" u="1"/>
        <d v="2025-05-19T13:46:00" u="1"/>
        <d v="2025-05-22T09:01:00" u="1"/>
        <d v="2025-05-22T08:41:00" u="1"/>
        <d v="2025-05-22T07:41:00" u="1"/>
        <d v="2025-05-23T11:58:00" u="1"/>
        <d v="2025-05-23T12:03:00" u="1"/>
        <d v="2025-05-22T14:00:00" u="1"/>
        <d v="2025-05-23T11:21:00" u="1"/>
        <d v="2025-05-21T19:17:00" u="1"/>
        <d v="2025-05-22T12:38:00" u="1"/>
        <d v="2025-05-21T14:17:00" u="1"/>
        <d v="2025-05-23T11:31:00" u="1"/>
        <d v="2025-05-22T13:59:00" u="1"/>
        <d v="2025-05-23T10:04:00" u="1"/>
        <d v="2025-05-21T16:54:00" u="1"/>
        <d v="2025-05-22T16:11:00" u="1"/>
        <d v="2025-05-21T17:43:00" u="1"/>
        <d v="2025-05-22T13:14:00" u="1"/>
        <d v="2025-05-23T18:03:00" u="1"/>
        <d v="2025-05-23T13:33:00" u="1"/>
        <d v="2025-05-23T19:00:00" u="1"/>
        <d v="2025-05-25T00:00:00" u="1"/>
        <d v="2025-05-23T19:28:00" u="1"/>
        <d v="2025-05-23T16:28:00" u="1"/>
        <d v="2025-05-23T16:19:00" u="1"/>
        <d v="2025-05-23T15:45:00" u="1"/>
        <d v="2025-05-23T18:04:00" u="1"/>
        <d v="2025-05-23T15:53:00" u="1"/>
        <d v="2025-05-23T11:41:00" u="1"/>
        <d v="2025-05-23T14:18:00" u="1"/>
        <d v="2025-05-23T20:01:00" u="1"/>
        <d v="2025-05-24T02:51:00" u="1"/>
        <d v="2025-05-23T05:57:00" u="1"/>
        <d v="2025-05-23T20:00:00" u="1"/>
        <d v="2025-05-23T18:02:00" u="1"/>
        <d v="2025-05-23T19:46:00" u="1"/>
        <d v="2025-04-16T09:05:00" u="1"/>
        <d v="2025-05-23T13:46:00" u="1"/>
        <d v="2025-05-23T17:44:00" u="1"/>
        <d v="2025-05-23T15:57:00" u="1"/>
        <d v="2025-05-23T15:58:00" u="1"/>
        <d v="2025-05-23T16:08:00" u="1"/>
        <d v="2025-05-22T14:28:00" u="1"/>
        <d v="2025-05-22T15:14:00" u="1"/>
        <d v="2025-05-13T16:01:00" u="1"/>
        <d v="2025-05-22T17:54:00" u="1"/>
        <d v="2025-05-22T17:42:00" u="1"/>
        <d v="2025-05-22T13:32:00" u="1"/>
        <d v="2025-05-21T07:06:00" u="1"/>
        <d v="2025-05-19T14:01:00" u="1"/>
        <d v="2025-05-19T08:28:00" u="1"/>
        <d v="2025-05-14T07:54:00" u="1"/>
        <d v="2025-05-18T07:15:00" u="1"/>
        <d v="2025-05-22T07:19:00" u="1"/>
        <d v="2025-05-22T09:11:00" u="1"/>
        <d v="2025-04-29T14:32:00" u="1"/>
        <d v="2025-05-19T06:33:00" u="1"/>
        <d v="2025-05-19T09:18:00" u="1"/>
        <d v="2025-05-22T14:55:00" u="1"/>
        <d v="2025-05-20T10:46:00" u="1"/>
        <d v="2025-05-21T12:26:00" u="1"/>
        <d v="2025-05-08T16:28:00" u="1"/>
        <d v="2025-05-22T15:46:00" u="1"/>
        <d v="2025-05-16T06:00:00" u="1"/>
        <d v="2025-05-16T06:03:00" u="1"/>
        <d v="2025-05-15T16:33:00" u="1"/>
        <d v="2025-05-14T10:45:00" u="1"/>
        <d v="2025-05-22T09:41:00" u="1"/>
        <d v="2025-05-20T09:20:00" u="1"/>
        <d v="2025-05-21T09:30:00" u="1"/>
        <d v="2025-05-22T18:07:00" u="1"/>
        <d v="2025-05-14T05:57:00" u="1"/>
        <d v="2025-05-19T12:07:00" u="1"/>
        <d v="2025-05-22T16:52:00" u="1"/>
        <d v="2025-05-22T17:23:00" u="1"/>
        <d v="2025-05-19T14:52:00" u="1"/>
        <d v="2025-05-21T06:49:00" u="1"/>
        <d v="2025-05-21T06:50:00" u="1"/>
        <d v="2025-05-21T10:45:00" u="1"/>
        <d v="2025-05-21T09:42:00" u="1"/>
        <d v="2025-05-20T18:22:00" u="1"/>
        <d v="2025-05-19T15:11:00" u="1"/>
        <d v="2025-05-21T12:37:00" u="1"/>
        <d v="2025-05-22T13:18:00" u="1"/>
        <d v="2025-04-16T16:08:00" u="1"/>
        <d v="2025-05-19T08:31:00" u="1"/>
        <d v="2025-05-16T20:14:00" u="1"/>
        <d v="2025-05-16T20:05:00" u="1"/>
        <d v="2025-05-19T08:37:00" u="1"/>
        <d v="2025-05-15T21:47:00" u="1"/>
        <d v="2025-05-15T21:11:00" u="1"/>
        <d v="2025-05-20T17:37:00" u="1"/>
        <d v="2025-05-20T09:49:00" u="1"/>
        <d v="2025-05-22T11:56:00" u="1"/>
        <d v="2025-05-22T11:47:00" u="1"/>
        <d v="2025-04-14T05:31:00" u="1"/>
        <d v="2025-05-05T08:41:00" u="1"/>
        <d v="2025-05-20T17:23:00" u="1"/>
        <d v="2025-05-22T11:41:00" u="1"/>
        <d v="2025-05-22T17:27:00" u="1"/>
        <d v="2025-05-21T21:51:00" u="1"/>
        <d v="2025-05-16T18:25:00" u="1"/>
        <d v="2025-05-22T09:53:00" u="1"/>
        <d v="2025-04-22T15:18:00" u="1"/>
        <d v="2025-05-20T15:56:00" u="1"/>
        <d v="2025-05-21T11:06:00" u="1"/>
        <d v="2025-05-22T11:27:00" u="1"/>
        <d v="2025-05-22T13:52:00" u="1"/>
        <d v="2025-05-22T14:37:00" u="1"/>
        <d v="2025-05-22T08:01:00" u="1"/>
        <d v="2025-05-20T06:56:00" u="1"/>
        <d v="2025-05-22T04:36:00" u="1"/>
        <d v="2025-05-22T05:44:00" u="1"/>
        <d v="2025-05-21T14:57:00" u="1"/>
        <d v="2025-05-22T16:14:00" u="1"/>
        <d v="2025-05-19T07:40:00" u="1"/>
        <d v="2025-05-14T19:51:00" u="1"/>
        <d v="2025-05-13T10:57:00" u="1"/>
        <d v="2025-05-20T10:09:00" u="1"/>
        <d v="2025-05-20T16:43:00" u="1"/>
        <d v="2025-05-21T17:18:00" u="1"/>
        <d v="2025-05-20T21:55:00" u="1"/>
        <d v="2025-05-20T17:27:00" u="1"/>
        <d v="2025-05-20T17:18:00" u="1"/>
        <d v="2025-05-16T09:00:00" u="1"/>
        <d v="2025-05-16T08:59:00" u="1"/>
        <d v="2025-05-20T12:07:00" u="1"/>
        <d v="2025-05-05T16:49:00" u="1"/>
        <d v="2025-05-20T12:01:00" u="1"/>
        <d v="2025-05-20T10:05:00" u="1"/>
        <d v="2025-05-19T13:24:00" u="1"/>
        <d v="2025-05-21T16:40:00" u="1"/>
        <d v="2025-05-21T18:11:00" u="1"/>
        <d v="2025-05-19T13:41:00" u="1"/>
        <d v="2025-05-19T13:53:00" u="1"/>
        <d v="2025-05-21T09:13:00" u="1"/>
        <d v="2025-05-20T16:01:00" u="1"/>
        <d v="2025-05-21T10:54:00" u="1"/>
        <d v="2025-05-20T14:45:00" u="1"/>
        <d v="2025-05-21T13:54:00" u="1"/>
        <d v="2025-05-20T08:43:00" u="1"/>
        <d v="2025-05-20T15:50:00" u="1"/>
        <d v="2025-05-20T17:44:00" u="1"/>
        <d v="2025-05-21T14:20:00" u="1"/>
        <d v="2025-05-21T09:40:00" u="1"/>
        <d v="2025-05-20T10:12:00" u="1"/>
        <d v="2025-05-20T17:31:00" u="1"/>
        <d v="2025-05-13T13:47:00" u="1"/>
        <d v="2025-05-09T16:54:00" u="1"/>
        <d v="2025-05-19T19:48:00" u="1"/>
        <d v="2025-05-19T13:07:00" u="1"/>
        <d v="2025-05-21T16:22:00" u="1"/>
        <d v="2025-05-21T16:42:00" u="1"/>
        <d v="2025-05-21T14:23:00" u="1"/>
        <d v="2025-05-21T00:16:00" u="1"/>
        <d v="2025-05-20T21:30:00" u="1"/>
        <d v="2025-05-21T11:32:00" u="1"/>
        <d v="2025-05-20T11:18:00" u="1"/>
        <d v="2025-05-20T12:44:00" u="1"/>
        <d v="2025-05-20T10:42:00" u="1"/>
        <d v="2025-05-19T19:30:00" u="1"/>
        <d v="2025-05-21T20:46:00" u="1"/>
        <d v="2025-05-21T16:07:00" u="1"/>
        <d v="2025-05-20T11:37:00" u="1"/>
        <d v="2025-05-19T08:26:00" u="1"/>
        <d v="2025-05-20T15:55:00" u="1"/>
        <d v="2025-05-21T12:19:00" u="1"/>
        <d v="2025-05-21T09:50:00" u="1"/>
        <d v="2025-05-20T12:57:00" u="1"/>
        <d v="2025-05-19T14:41:00" u="1"/>
        <d v="2025-05-20T15:29:00" u="1"/>
        <d v="2025-05-16T12:57:00" u="1"/>
        <d v="2025-05-21T08:59:00" u="1"/>
        <d v="2025-05-21T13:25:00" u="1"/>
        <d v="2025-05-21T14:42:00" u="1"/>
        <d v="2025-05-21T07:58:00" u="1"/>
        <d v="2025-05-21T10:03:00" u="1"/>
        <d v="2025-05-19T13:39:00" u="1"/>
        <d v="2025-05-19T15:34:00" u="1"/>
        <d v="2025-05-19T19:35:00" u="1"/>
        <d v="2025-05-19T18:43:00" u="1"/>
        <d v="2025-05-19T15:39:00" u="1"/>
        <d v="2025-05-21T14:07:00" u="1"/>
        <d v="2025-05-21T15:45:00" u="1"/>
        <d v="2025-05-21T08:27:00" u="1"/>
        <d v="2025-05-16T11:05:00" u="1"/>
        <d v="2025-05-14T14:59:00" u="1"/>
        <d v="2025-05-20T14:50:00" u="1"/>
        <d v="2025-05-21T13:28:00" u="1"/>
        <d v="2025-05-20T16:12:00" u="1"/>
        <d v="2025-05-20T15:36:00" u="1"/>
        <d v="2025-05-19T15:58:00" u="1"/>
        <d v="2025-05-12T17:12:00" u="1"/>
        <d v="2025-05-13T17:44:00" u="1"/>
        <d v="2025-05-20T14:31:00" u="1"/>
        <d v="2025-05-20T14:30:00" u="1"/>
        <d v="2025-04-30T15:33:00" u="1"/>
        <d v="2025-04-30T15:32:00" u="1"/>
        <d v="2025-05-06T14:25:00" u="1"/>
        <d v="2025-05-06T14:26:00" u="1"/>
        <d v="2025-05-13T08:15:00" u="1"/>
        <d v="2025-05-20T17:34:00" u="1"/>
        <d v="2025-05-19T18:28:00" u="1"/>
        <d v="2025-05-20T18:03:00" u="1"/>
        <d v="2025-05-20T18:15:00" u="1"/>
        <d v="2025-05-20T15:40:00" u="1"/>
        <d v="2025-05-19T15:49:00" u="1"/>
        <d v="2025-05-21T16:36:00" u="1"/>
        <d v="2025-05-21T11:55:00" u="1"/>
        <d v="2025-05-21T09:06:00" u="1"/>
        <d v="2025-05-21T19:35:00" u="1"/>
        <d v="2025-05-19T14:42:00" u="1"/>
        <d v="2025-05-20T11:49:00" u="1"/>
        <d v="2025-05-21T16:37:00" u="1"/>
        <d v="2025-05-16T17:51:00" u="1"/>
        <d v="2025-05-21T17:55:00" u="1"/>
        <d v="2025-05-19T17:16:00" u="1"/>
        <d v="2025-05-20T09:15:00" u="1"/>
        <d v="2025-05-21T15:22:00" u="1"/>
        <d v="2025-05-21T15:21:00" u="1"/>
        <d v="2025-05-21T18:09:00" u="1"/>
        <d v="2025-05-20T13:37:00" u="1"/>
        <d v="2025-05-20T07:32:00" u="1"/>
        <d v="2025-05-21T08:33:00" u="1"/>
        <d v="2025-05-21T08:10:00" u="1"/>
        <d v="2025-05-19T11:17:00" u="1"/>
        <d v="2025-05-19T11:24:00" u="1"/>
        <d v="2025-05-21T06:32:00" u="1"/>
        <d v="2025-05-20T08:26:00" u="1"/>
        <d v="2025-05-21T08:20:00" u="1"/>
        <d v="2025-05-21T11:42:00" u="1"/>
        <d v="2025-05-20T12:47:00" u="1"/>
        <d v="2025-05-19T16:27:00" u="1"/>
        <d v="2025-05-20T08:16:00" u="1"/>
        <d v="2025-05-21T13:52:00" u="1"/>
        <d v="2025-05-21T14:45:00" u="1"/>
        <d v="2025-03-10T00:00:00" u="1"/>
        <d v="2025-05-14T10:31:00" u="1"/>
        <d v="2025-05-21T14:43:00" u="1"/>
        <d v="2025-05-21T13:30:00" u="1"/>
        <d v="2025-05-21T15:32:00" u="1"/>
        <d v="2025-05-21T13:45:00" u="1"/>
        <d v="2025-05-19T09:00:00" u="1"/>
        <d v="2025-05-20T18:00:00" u="1"/>
        <d v="2025-05-21T16:00:00" u="1"/>
        <d v="2025-05-21T18:01:00" u="1"/>
        <d v="2025-05-21T17:59:00" u="1"/>
        <d v="2025-05-20T15:54:00" u="1"/>
        <d v="2025-05-21T17:03:00" u="1"/>
        <d v="2025-05-21T22:38:00" u="1"/>
        <d v="2025-05-21T22:39:00" u="1"/>
        <d v="2025-05-20T12:16:00" u="1"/>
        <d v="2025-04-16T17:11:00" u="1"/>
        <d v="2025-05-20T18:02:00" u="1"/>
        <d v="2025-05-15T16:44:00" u="1"/>
        <d v="2025-05-14T10:24:00" u="1"/>
        <d v="2025-05-20T13:38:00" u="1"/>
        <d v="2025-05-20T13:26:00" u="1"/>
        <d v="2025-05-20T06:04:00" u="1"/>
        <d v="2025-05-20T20:29:00" u="1"/>
        <d v="2025-05-19T11:53:00" u="1"/>
        <d v="2025-05-19T12:10:00" u="1"/>
        <d v="2025-05-20T12:17:00" u="1"/>
        <d v="2025-05-20T12:21:00" u="1"/>
        <d v="2025-05-15T15:39:00" u="1"/>
        <d v="2025-05-16T12:21:00" u="1"/>
        <d v="2025-05-20T16:54:00" u="1"/>
        <d v="2025-05-20T15:08:00" u="1"/>
        <d v="2025-05-19T19:12:00" u="1"/>
        <d v="2025-05-19T19:13:00" u="1"/>
        <d v="2025-05-19T18:47:00" u="1"/>
        <d v="2025-05-19T13:55:00" u="1"/>
        <d v="2025-05-19T14:03:00" u="1"/>
        <d v="2025-05-19T14:10:00" u="1"/>
        <d v="2025-05-19T14:06:00" u="1"/>
        <d v="2025-05-20T10:45:00" u="1"/>
        <d v="2025-05-20T17:57:00" u="1"/>
        <d v="2025-05-19T17:26:00" u="1"/>
        <d v="2025-05-19T17:05:00" u="1"/>
        <d v="2025-05-19T12:04:00" u="1"/>
        <d v="2025-05-20T11:55:00" u="1"/>
        <d v="2025-05-20T11:10:00" u="1"/>
        <d v="2025-05-19T17:03:00" u="1"/>
        <d v="2025-05-20T16:39:00" u="1"/>
        <d v="2025-05-19T10:09:00" u="1"/>
        <d v="2025-05-20T18:09:00" u="1"/>
        <d v="2025-05-19T10:23:00" u="1"/>
        <d v="2025-05-19T10:30:00" u="1"/>
        <d v="2025-05-20T15:32:00" u="1"/>
        <d v="2025-05-20T13:39:00" u="1"/>
        <d v="2025-05-16T15:37:00" u="1"/>
        <d v="2025-05-20T14:58:00" u="1"/>
        <d v="2025-05-20T10:22:00" u="1"/>
        <d v="2025-05-19T17:32:00" u="1"/>
        <d v="2025-05-20T18:40:00" u="1"/>
        <d v="2025-05-13T15:09:00" u="1"/>
        <d v="2025-05-20T10:10:00" u="1"/>
        <d v="2025-05-20T14:13:00" u="1"/>
        <d v="2025-05-20T10:47:00" u="1"/>
        <d v="2025-05-20T10:08:00" u="1"/>
        <d v="2025-05-19T18:34:00" u="1"/>
        <d v="2025-05-19T15:28:00" u="1"/>
        <d v="2025-05-20T18:50:00" u="1"/>
        <d v="2025-05-16T15:43:00" u="1"/>
        <d v="2025-05-19T11:14:00" u="1"/>
        <d v="2025-05-19T11:23:00" u="1"/>
        <d v="2025-05-20T14:26:00" u="1"/>
        <d v="2025-05-19T10:54:00" u="1"/>
        <d v="2025-05-20T16:46:00" u="1"/>
        <d v="2025-05-20T17:28:00" u="1"/>
        <d v="2025-05-20T16:51:00" u="1"/>
        <d v="2025-05-20T16:26:00" u="1"/>
        <d v="2025-05-14T14:11:00" u="1"/>
        <d v="2025-05-20T11:43:00" u="1"/>
        <d v="2025-05-08T16:59:00" u="1"/>
        <d v="2025-05-20T01:09:00" u="1"/>
        <d v="2025-05-20T05:13:00" u="1"/>
        <d v="2025-05-20T16:52:00" u="1"/>
        <d v="2025-05-20T07:49:00" u="1"/>
        <d v="2025-05-20T11:08:00" u="1"/>
        <d v="2025-05-20T09:44:00" u="1"/>
        <d v="2025-05-07T00:00:00" u="1"/>
        <d v="2025-05-20T21:20:00" u="1"/>
        <d v="2025-05-20T16:17:00" u="1"/>
        <d v="2025-05-20T07:07:00" u="1"/>
        <d v="2025-05-20T18:43:00" u="1"/>
        <d v="2025-05-20T11:45:00" u="1"/>
        <d v="2025-05-20T10:06:00" u="1"/>
        <d v="2025-05-20T01:53:00" u="1"/>
        <d v="2025-05-20T03:58:00" u="1"/>
        <d v="2025-05-20T06:16:00" u="1"/>
        <d v="2025-05-20T12:23:00" u="1"/>
        <d v="2025-05-20T17:17:00" u="1"/>
        <d v="2025-05-17T18:18:00" u="1"/>
        <d v="2025-02-21T15:54:00" u="1"/>
        <d v="2025-05-07T15:49:00" u="1"/>
        <d v="2025-05-15T11:46:00" u="1"/>
        <d v="2025-05-20T17:02:00" u="1"/>
        <d v="2025-05-16T14:08:00" u="1"/>
        <d v="2025-05-13T09:17:00" u="1"/>
        <d v="2025-05-20T13:54:00" u="1"/>
        <d v="2025-05-19T01:26:00" u="1"/>
        <d v="2025-05-20T05:06:00" u="1"/>
        <d v="2025-05-20T15:22:00" u="1"/>
        <d v="2025-05-08T21:56:00" u="1"/>
        <d v="2025-05-20T10:31:00" u="1"/>
        <d v="2025-05-20T12:30:00" u="1"/>
        <d v="2025-05-20T07:43:00" u="1"/>
        <d v="2025-05-19T18:46:00" u="1"/>
        <d v="2025-05-19T11:28:00" u="1"/>
        <d v="2025-05-16T11:59:00" u="1"/>
        <d v="2025-05-16T11:51:00" u="1"/>
        <d v="2025-05-19T16:00:00" u="1"/>
        <d v="2025-05-19T10:24:00" u="1"/>
        <d v="2025-05-19T10:16:00" u="1"/>
        <d v="2025-05-19T06:05:00" u="1"/>
        <d v="2025-05-19T17:35:00" u="1"/>
        <d v="2025-05-19T17:44:00" u="1"/>
        <d v="2025-05-14T10:02:00" u="1"/>
        <d v="2025-05-19T07:17:00" u="1"/>
        <d v="2025-05-19T13:28:00" u="1"/>
        <d v="2025-05-19T09:45:00" u="1"/>
        <d v="2025-05-19T12:11:00" u="1"/>
        <d v="2025-05-17T15:43:00" u="1"/>
        <d v="2025-05-19T18:22:00" u="1"/>
        <d v="2025-05-15T15:08:00" u="1"/>
        <d v="2025-05-18T14:13:00" u="1"/>
        <d v="2025-05-19T17:47:00" u="1"/>
        <d v="2025-05-19T02:31:00" u="1"/>
        <d v="2025-05-19T04:15:00" u="1"/>
        <d v="2025-05-19T18:13:00" u="1"/>
        <d v="2025-04-09T12:27:00" u="1"/>
        <d v="2025-05-19T21:06:00" u="1"/>
        <d v="2025-05-19T07:53:00" u="1"/>
        <d v="2025-05-19T04:54:00" u="1"/>
        <d v="2025-05-19T14:08:00" u="1"/>
        <d v="2025-05-19T14:37:00" u="1"/>
        <d v="2025-05-19T12:46:00" u="1"/>
        <d v="2025-05-19T12:16:00" u="1"/>
        <d v="2025-05-16T13:56:00" u="1"/>
        <d v="2025-05-19T03:54:00" u="1"/>
        <d v="2025-05-19T16:25:00" u="1"/>
        <d v="2025-05-19T04:08:00" u="1"/>
        <d v="2025-05-19T04:01:00" u="1"/>
        <d v="2025-05-19T05:05:00" u="1"/>
        <d v="2025-05-19T10:05:00" u="1"/>
        <d v="2025-05-19T07:36:00" u="1"/>
        <d v="2025-05-19T07:43:00" u="1"/>
        <d v="2025-05-14T17:51:00" u="1"/>
        <d v="2025-05-15T13:14:00" u="1"/>
        <d v="2025-05-16T15:07:00" u="1"/>
        <d v="2025-05-15T16:05:00" u="1"/>
        <d v="2025-05-12T15:58:00" u="1"/>
        <d v="2025-05-14T09:06:00" u="1"/>
        <d v="2025-05-14T15:52:00" u="1"/>
        <d v="2025-05-15T15:48:00" u="1"/>
        <d v="2025-05-16T17:06:00" u="1"/>
        <d v="2025-05-16T15:20:00" u="1"/>
        <d v="2025-05-16T11:41:00" u="1"/>
        <d v="2025-05-16T16:01:00" u="1"/>
        <d v="2025-05-15T16:42:00" u="1"/>
        <d v="2025-05-15T17:18:00" u="1"/>
        <d v="2025-05-15T15:44:00" u="1"/>
        <d v="2025-05-16T11:34:00" u="1"/>
        <d v="2025-05-16T12:45:00" u="1"/>
        <d v="2025-05-16T15:22:00" u="1"/>
        <d v="2025-05-16T16:43:00" u="1"/>
        <d v="2025-05-14T14:31:00" u="1"/>
        <d v="2025-05-14T10:32:00" u="1"/>
        <d v="2025-05-15T06:42:00" u="1"/>
        <d v="2025-05-16T07:11:00" u="1"/>
        <d v="2025-05-16T18:14:00" u="1"/>
        <d v="2025-05-16T20:31:00" u="1"/>
        <d v="2025-05-16T10:40:00" u="1"/>
        <d v="2025-05-15T08:49:00" u="1"/>
        <d v="2025-05-15T13:59:00" u="1"/>
        <d v="2025-05-16T13:21:00" u="1"/>
        <d v="2025-05-16T18:09:00" u="1"/>
        <d v="2025-05-17T10:17:00" u="1"/>
        <d v="2025-05-16T16:03:00" u="1"/>
        <d v="2025-05-16T12:52:00" u="1"/>
        <d v="2025-05-16T15:42:00" u="1"/>
        <d v="2025-05-16T15:33:00" u="1"/>
        <d v="2025-05-16T09:26:00" u="1"/>
        <d v="2025-05-15T16:55:00" u="1"/>
        <d v="2025-05-16T14:06:00" u="1"/>
        <d v="2025-05-16T09:15:00" u="1"/>
        <d v="2025-05-15T17:22:00" u="1"/>
        <d v="2025-05-15T17:29:00" u="1"/>
        <d v="2025-05-15T18:04:00" u="1"/>
        <d v="2025-05-16T13:44:00" u="1"/>
        <d v="2025-05-16T11:06:00" u="1"/>
        <d v="2025-05-16T11:04:00" u="1"/>
        <d v="2025-05-09T08:29:00" u="1"/>
        <d v="2025-05-08T15:58:00" u="1"/>
        <d v="2025-05-12T00:00:00" u="1"/>
        <d v="2025-05-09T14:46:00" u="1"/>
        <d v="2025-05-09T09:36:00" u="1"/>
        <d v="2025-05-09T14:42:00" u="1"/>
        <d v="2025-05-16T18:53:00" u="1"/>
        <d v="2025-05-16T15:16:00" u="1"/>
        <d v="2025-05-15T00:54:00" u="1"/>
        <d v="2025-05-16T18:52:00" u="1"/>
        <d v="2025-05-16T10:41:00" u="1"/>
        <d v="2025-05-15T16:21:00" u="1"/>
        <d v="2025-05-16T19:03:00" u="1"/>
        <d v="2025-05-16T15:59:00" u="1"/>
        <d v="2025-05-16T14:10:00" u="1"/>
        <d v="2025-05-15T13:57:00" u="1"/>
        <d v="2025-05-15T17:27:00" u="1"/>
        <d v="2025-05-15T10:33:00" u="1"/>
        <d v="2025-05-16T15:57:00" u="1"/>
        <d v="2025-05-14T09:02:00" u="1"/>
        <d v="2025-05-16T09:53:00" u="1"/>
        <d v="2025-05-14T15:27:00" u="1"/>
        <d v="2025-05-13T12:42:00" u="1"/>
        <d v="2025-05-15T16:37:00" u="1"/>
        <d v="2025-05-16T11:20:00" u="1"/>
        <d v="2025-05-13T15:37:00" u="1"/>
        <d v="2025-05-15T17:25:00" u="1"/>
        <d v="2025-05-15T20:27:00" u="1"/>
        <d v="2025-05-17T00:00:00" u="1"/>
        <d v="2025-05-15T09:58:00" u="1"/>
        <d v="2025-05-13T10:54:00" u="1"/>
        <d v="2025-05-09T17:50:00" u="1"/>
        <d v="2025-05-09T18:04:00" u="1"/>
        <d v="2025-05-09T17:48:00" u="1"/>
        <d v="2025-05-12T17:48:00" u="1"/>
        <d v="2025-05-09T17:55:00" u="1"/>
        <d v="2025-05-12T09:25:00" u="1"/>
        <d v="2025-05-09T17:39:00" u="1"/>
        <d v="2025-03-31T09:21:00" u="1"/>
        <d v="2025-05-15T15:50:00" u="1"/>
        <d v="2025-05-16T09:40:00" u="1"/>
        <d v="2025-05-15T10:23:00" u="1"/>
        <d v="2025-05-15T10:22:00" u="1"/>
        <d v="2025-05-08T17:03:00" u="1"/>
        <d v="2025-05-17T16:30:00" u="1"/>
        <d v="2025-05-16T19:27:00" u="1"/>
        <d v="2025-05-18T10:52:00" u="1"/>
        <d v="2025-05-13T10:25:00" u="1"/>
        <d v="2025-05-03T15:30:00" u="1"/>
        <d v="2025-04-14T18:27:00" u="1"/>
        <d v="2025-05-16T18:23:00" u="1"/>
        <d v="2025-05-13T16:07:00" u="1"/>
        <d v="2025-05-15T19:07:00" u="1"/>
        <d v="2025-05-16T18:29:00" u="1"/>
        <d v="2025-05-16T07:18:00" u="1"/>
        <d v="2025-05-06T19:42:00" u="1"/>
        <d v="2025-05-13T12:14:00" u="1"/>
        <d v="2025-05-13T11:35:00" u="1"/>
        <d v="2025-05-13T08:19:00" u="1"/>
        <d v="2025-05-16T14:57:00" u="1"/>
        <d v="2025-05-15T12:00:00" u="1"/>
        <d v="2025-05-15T08:30:00" u="1"/>
        <d v="2025-05-16T16:06:00" u="1"/>
        <d v="2025-05-08T08:19:00" u="1"/>
        <d v="2025-05-16T16:14:00" u="1"/>
        <d v="2025-05-16T15:34:00" u="1"/>
        <d v="2025-05-16T12:41:00" u="1"/>
        <d v="2025-05-18T11:14:00" u="1"/>
        <d v="2025-05-18T11:10:00" u="1"/>
        <d v="2025-04-23T11:01:00" u="1"/>
        <d v="2025-05-16T02:54:00" u="1"/>
        <d v="2025-05-16T16:13:00" u="1"/>
        <d v="2025-05-14T18:32:00" u="1"/>
        <d v="2025-05-13T14:31:00" u="1"/>
        <d v="2025-05-16T18:31:00" u="1"/>
        <d v="2025-05-16T15:54:00" u="1"/>
        <d v="2025-04-24T18:16:00" u="1"/>
        <d v="2025-03-18T13:35:00" u="1"/>
        <d v="2025-05-13T06:22:00" u="1"/>
        <d v="2025-03-28T18:48:00" u="1"/>
        <d v="2025-05-15T12:10:00" u="1"/>
        <d v="2025-01-21T11:39:00" u="1"/>
        <d v="2025-04-30T17:41:00" u="1"/>
        <d v="2025-05-12T12:36:00" u="1"/>
        <d v="2025-05-12T13:33:00" u="1"/>
        <d v="2025-05-16T18:08:00" u="1"/>
        <d v="2025-04-22T16:35:00" u="1"/>
        <d v="2025-02-13T21:58:00" u="1"/>
        <d v="2025-05-08T03:18:00" u="1"/>
        <d v="2025-05-19T05:06:00" u="1"/>
        <d v="2025-05-14T12:37:00" u="1"/>
        <d v="2025-05-05T15:29:00" u="1"/>
        <d v="2025-01-03T18:00:00" u="1"/>
        <d v="2025-05-06T09:42:00" u="1"/>
        <d v="2025-05-16T18:00:00" u="1"/>
        <d v="2025-05-09T13:15:00" u="1"/>
        <d v="2025-04-22T11:59:00" u="1"/>
        <d v="2025-04-29T10:27:00" u="1"/>
        <d v="2025-04-29T15:09:00" u="1"/>
        <d v="2025-05-16T15:28:00" u="1"/>
        <d v="2025-04-30T06:55:00" u="1"/>
        <d v="2025-04-22T15:07:00" u="1"/>
        <d v="2025-05-15T10:47:00" u="1"/>
        <d v="2025-04-30T15:00:00" u="1"/>
        <d v="2025-05-12T13:41:00" u="1"/>
        <d v="2025-04-28T17:22:00" u="1"/>
        <d v="2025-05-05T11:47:00" u="1"/>
        <d v="2025-05-05T11:37:00" u="1"/>
        <d v="2025-05-05T11:11:00" u="1"/>
        <d v="2025-05-09T13:40:00" u="1"/>
        <d v="2025-05-02T00:00:00" u="1"/>
        <d v="2025-05-13T06:56:00" u="1"/>
        <d v="2025-04-29T13:29:00" u="1"/>
        <d v="2025-05-14T10:27:00" u="1"/>
        <d v="2025-05-15T05:01:00" u="1"/>
        <d v="2025-05-12T15:21:00" u="1"/>
        <d v="2025-05-16T13:14:00" u="1"/>
        <d v="2025-04-28T15:45:00" u="1"/>
        <d v="2025-04-29T06:50:00" u="1"/>
        <d v="2025-05-06T07:15:00" u="1"/>
        <d v="2025-05-05T06:42:00" u="1"/>
        <d v="2025-05-05T08:35:00" u="1"/>
        <d v="2025-05-14T18:00:00" u="1"/>
        <d v="2025-05-05T12:00:00" u="1"/>
        <d v="2025-04-29T06:33:00" u="1"/>
        <d v="2025-04-29T08:02:00" u="1"/>
        <d v="2025-04-29T12:54:00" u="1"/>
        <d v="2025-04-29T12:31:00" u="1"/>
        <d v="2025-05-15T11:28:00" u="1"/>
        <d v="2025-04-29T13:10:00" u="1"/>
        <d v="2025-05-06T15:57:00" u="1"/>
        <d v="2025-05-08T14:46:00" u="1"/>
        <d v="2025-04-29T13:03:00" u="1"/>
        <d v="2025-04-29T14:30:00" u="1"/>
        <d v="2025-05-06T07:38:00" u="1"/>
        <d v="2025-04-29T13:34:00" u="1"/>
        <d v="2025-05-15T17:01:00" u="1"/>
        <d v="2025-04-25T19:00:00" u="1"/>
        <d v="2025-04-23T14:25:00" u="1"/>
        <d v="2025-04-23T14:22:00" u="1"/>
        <d v="2025-05-14T18:27:00" u="1"/>
        <d v="2025-05-06T18:00:00" u="1"/>
        <d v="2025-05-07T18:00:00" u="1"/>
        <d v="2025-05-16T18:10:00" u="1"/>
        <d v="2025-05-16T12:58:00" u="1"/>
        <d v="2025-05-15T15:16:00" u="1"/>
        <d v="2025-05-14T19:02:00" u="1"/>
        <d v="2025-05-14T16:43:00" u="1"/>
        <d v="2025-05-14T17:36:00" u="1"/>
        <d v="2025-05-14T17:33:00" u="1"/>
        <d v="2025-03-20T04:21:00" u="1"/>
        <d v="2025-04-29T14:45:00" u="1"/>
        <d v="2025-05-05T13:01:00" u="1"/>
        <d v="2025-05-10T08:09:00" u="1"/>
        <d v="2025-05-08T08:11:00" u="1"/>
        <d v="2025-05-16T14:42:00" u="1"/>
        <d v="2025-05-12T19:13:00" u="1"/>
        <d v="2025-05-16T17:50:00" u="1"/>
        <d v="2025-05-09T13:20:00" u="1"/>
        <d v="2025-05-15T11:49:00" u="1"/>
        <d v="2025-02-05T17:56:00" u="1"/>
        <d v="2025-05-12T14:25:00" u="1"/>
        <d v="2025-05-12T16:26:00" u="1"/>
        <d v="2025-04-29T05:16:00" u="1"/>
        <d v="2025-05-06T15:47:00" u="1"/>
        <d v="2025-05-06T10:50:00" u="1"/>
        <d v="2025-05-06T14:50:00" u="1"/>
        <d v="2025-05-06T10:30:00" u="1"/>
        <d v="2025-05-06T07:39:00" u="1"/>
        <d v="2025-05-06T09:48:00" u="1"/>
        <d v="2025-05-14T15:16:00" u="1"/>
        <d v="2025-05-15T09:55:00" u="1"/>
        <d v="2025-05-05T06:08:00" u="1"/>
        <d v="2025-05-06T10:02:00" u="1"/>
        <d v="2025-05-05T06:26:00" u="1"/>
        <d v="2025-05-06T07:21:00" u="1"/>
        <d v="2025-05-06T10:00:00" u="1"/>
        <d v="2025-05-15T06:24:00" u="1"/>
        <d v="2025-05-05T10:54:00" u="1"/>
        <d v="2025-04-30T08:59:00" u="1"/>
        <d v="2025-05-05T09:53:00" u="1"/>
        <d v="2025-05-07T11:44:00" u="1"/>
        <d v="2025-05-14T12:58:00" u="1"/>
        <d v="2025-05-13T13:20:00" u="1"/>
        <d v="2025-05-05T14:05:00" u="1"/>
        <d v="2025-04-30T13:33:00" u="1"/>
        <d v="2025-05-12T17:56:00" u="1"/>
        <d v="2025-04-11T18:12:00" u="1"/>
        <d v="2025-05-15T10:11:00" u="1"/>
        <d v="2025-05-07T04:36:00" u="1"/>
        <d v="2025-05-07T04:31:00" u="1"/>
        <d v="2025-05-15T22:16:00" u="1"/>
        <d v="2025-04-29T17:00:00" u="1"/>
        <d v="2025-04-24T17:46:00" u="1"/>
        <d v="2025-04-24T17:38:00" u="1"/>
        <d v="2025-04-16T18:39:00" u="1"/>
        <d v="2025-05-12T16:52:00" u="1"/>
        <d v="2025-05-12T17:03:00" u="1"/>
        <d v="2025-05-16T16:11:00" u="1"/>
        <d v="2025-03-21T11:23:00" u="1"/>
        <d v="2025-05-16T17:09:00" u="1"/>
        <d v="2025-05-16T09:47:00" u="1"/>
        <d v="2025-05-13T10:53:00" u="1"/>
        <d v="2025-04-23T07:37:00" u="1"/>
        <d v="2025-05-07T12:30:00" u="1"/>
        <d v="2025-04-29T08:23:00" u="1"/>
        <d v="2025-05-14T09:22:00" u="1"/>
        <d v="2025-05-02T20:01:00" u="1"/>
        <d v="2025-05-02T20:02:00" u="1"/>
        <d v="2025-04-04T12:50:00" u="1"/>
        <d v="2025-04-01T11:20:00" u="1"/>
        <d v="2025-04-30T09:32:00" u="1"/>
        <d v="2025-04-24T16:17:00" u="1"/>
        <d v="2025-05-02T09:43:00" u="1"/>
        <d v="2025-04-24T09:17:00" u="1"/>
        <d v="2025-05-13T13:51:00" u="1"/>
        <d v="2025-05-12T13:56:00" u="1"/>
        <d v="2025-04-29T11:08:00" u="1"/>
        <d v="2025-04-23T14:39:00" u="1"/>
        <d v="2025-04-25T10:05:00" u="1"/>
        <d v="2025-05-13T16:37:00" u="1"/>
        <d v="2025-05-13T16:28:00" u="1"/>
        <d v="2025-05-07T13:46:00" u="1"/>
        <d v="2025-05-14T11:19:00" u="1"/>
        <d v="2025-05-13T17:48:00" u="1"/>
        <d v="2025-05-14T15:04:00" u="1"/>
        <d v="2025-05-09T18:30:00" u="1"/>
        <d v="2025-03-07T15:37:00" u="1"/>
        <d v="2025-05-16T11:38:00" u="1"/>
        <d v="2025-05-09T18:43:00" u="1"/>
        <d v="2025-05-14T18:18:00" u="1"/>
        <d v="2025-04-17T08:46:00" u="1"/>
        <d v="2025-04-20T08:24:00" u="1"/>
        <d v="2025-05-13T23:16:00" u="1"/>
        <d v="2025-05-16T17:30:00" u="1"/>
        <d v="2025-05-15T13:18:00" u="1"/>
        <d v="2025-05-17T05:55:00" u="1"/>
        <d v="2025-05-17T06:10:00" u="1"/>
        <d v="2025-05-16T09:19:00" u="1"/>
        <d v="2025-05-15T04:23:00" u="1"/>
        <d v="2025-05-10T23:56:00" u="1"/>
        <d v="2025-05-15T15:24:00" u="1"/>
        <d v="2025-05-12T20:32:00" u="1"/>
        <d v="2025-05-16T03:08:00" u="1"/>
        <d v="2025-05-08T07:47:00" u="1"/>
        <d v="2025-05-09T03:16:00" u="1"/>
        <d v="2025-05-09T04:59:00" u="1"/>
        <d v="2025-05-11T06:13:00" u="1"/>
        <d v="2025-05-12T00:59:00" u="1"/>
        <d v="2025-05-19T02:59:00" u="1"/>
        <d v="2025-05-16T09:36:00" u="1"/>
        <d v="2025-05-05T10:18:00" u="1"/>
        <d v="2025-04-28T11:03:00" u="1"/>
        <d v="2025-05-09T11:42:00" u="1"/>
        <d v="2025-04-23T10:50:00" u="1"/>
        <d v="2025-05-16T21:00:00" u="1"/>
        <d v="2025-05-01T10:45:00" u="1"/>
        <d v="2025-05-15T12:05:00" u="1"/>
        <d v="2025-05-15T10:41:00" u="1"/>
        <d v="2025-05-05T18:00:00" u="1"/>
        <d v="2025-05-14T10:58:00" u="1"/>
        <d v="2025-05-12T15:32:00" u="1"/>
        <d v="2025-05-13T14:27:00" u="1"/>
        <d v="2025-05-13T23:12:00" u="1"/>
        <d v="2025-05-13T17:27:00" u="1"/>
        <d v="2025-05-13T10:12:00" u="1"/>
        <d v="2025-05-16T13:09:00" u="1"/>
        <d v="2025-05-09T18:55:00" u="1"/>
        <d v="2025-05-15T13:00:00" u="1"/>
        <d v="2025-05-15T14:42:00" u="1"/>
        <d v="2025-05-15T13:20:00" u="1"/>
        <d v="2025-05-13T09:01:00" u="1"/>
        <d v="2025-05-15T13:08:00" u="1"/>
        <d v="2025-05-14T09:41:00" u="1"/>
        <d v="2025-05-07T11:36:00" u="1"/>
        <d v="2025-05-13T08:20:00" u="1"/>
        <d v="2025-04-23T13:12:00" u="1"/>
        <d v="2025-04-17T13:06:00" u="1"/>
        <d v="2025-05-15T09:21:00" u="1"/>
        <d v="2025-05-09T13:17:00" u="1"/>
        <d v="2025-05-15T05:34:00" u="1"/>
        <d v="2025-05-15T01:24:00" u="1"/>
        <d v="2025-05-15T18:37:00" u="1"/>
        <d v="2025-05-14T13:20:00" u="1"/>
        <d v="2025-05-06T15:41:00" u="1"/>
        <d v="2025-05-07T20:11:00" u="1"/>
        <d v="2025-05-15T07:51:00" u="1"/>
        <d v="2025-05-15T12:50:00" u="1"/>
        <d v="2025-05-14T17:50:00" u="1"/>
        <d v="2025-05-08T14:40:00" u="1"/>
        <d v="2025-05-14T11:07:00" u="1"/>
        <d v="2025-05-15T18:33:00" u="1"/>
        <d v="2025-05-15T16:09:00" u="1"/>
        <d v="2025-05-15T17:05:00" u="1"/>
        <d v="2025-04-28T13:21:00" u="1"/>
        <d v="2025-05-06T10:21:00" u="1"/>
        <d v="2025-05-13T10:16:00" u="1"/>
        <d v="2025-05-13T15:11:00" u="1"/>
        <d v="2025-01-15T12:07:00" u="1"/>
        <d v="2024-11-27T10:46:00" u="1"/>
        <d v="2025-01-22T08:24:00" u="1"/>
        <d v="2025-05-15T11:24:00" u="1"/>
        <d v="2025-04-29T08:58:00" u="1"/>
        <d v="2025-05-06T17:19:00" u="1"/>
        <d v="2025-05-06T17:28:00" u="1"/>
        <d v="2025-04-04T18:17:00" u="1"/>
        <d v="2025-04-30T05:45:00" u="1"/>
        <d v="2025-05-13T08:38:00" u="1"/>
        <d v="2025-05-12T08:01:00" u="1"/>
        <d v="2025-05-14T07:43:00" u="1"/>
        <d v="2025-05-15T09:45:00" u="1"/>
        <d v="2025-05-15T14:09:00" u="1"/>
        <d v="2025-05-15T14:51:00" u="1"/>
        <d v="2025-05-15T14:59:00" u="1"/>
        <d v="2025-05-15T13:50:00" u="1"/>
        <d v="2025-05-15T18:15:00" u="1"/>
        <d v="2025-05-14T10:23:00" u="1"/>
        <d v="2025-05-14T09:45:00" u="1"/>
        <d v="2025-05-14T08:47:00" u="1"/>
        <d v="2025-05-02T19:11:00" u="1"/>
        <d v="2025-05-12T16:44:00" u="1"/>
        <d v="2025-05-10T17:30:00" u="1"/>
        <d v="2025-05-14T12:10:00" u="1"/>
        <d v="2025-05-14T14:16:00" u="1"/>
        <d v="2025-05-14T10:14:00" u="1"/>
        <d v="2025-05-14T14:58:00" u="1"/>
        <d v="2025-05-14T10:07:00" u="1"/>
        <d v="2025-05-14T16:56:00" u="1"/>
        <d v="2025-05-14T16:55:00" u="1"/>
        <d v="2025-05-12T17:43:00" u="1"/>
        <d v="2025-05-13T03:06:00" u="1"/>
        <d v="2025-05-14T01:53:00" u="1"/>
        <d v="2025-05-14T05:19:00" u="1"/>
        <d v="2025-05-12T16:24:00" u="1"/>
        <d v="2025-05-14T17:11:00" u="1"/>
        <d v="2025-05-13T08:39:00" u="1"/>
        <d v="2025-05-13T09:11:00" u="1"/>
        <d v="2025-05-12T09:04:00" u="1"/>
        <d v="2025-05-14T06:19:00" u="1"/>
        <d v="2025-05-14T08:07:00" u="1"/>
        <d v="2025-05-13T15:23:00" u="1"/>
        <d v="2025-05-14T16:15:00" u="1"/>
        <d v="2025-05-14T13:59:00" u="1"/>
        <d v="2025-05-14T13:46:00" u="1"/>
        <d v="2025-05-14T11:18:00" u="1"/>
        <d v="2025-05-08T13:31:00" u="1"/>
        <d v="2025-05-13T12:44:00" u="1"/>
        <d v="2025-05-14T12:45:00" u="1"/>
        <d v="2025-05-13T08:17:00" u="1"/>
        <d v="2025-05-13T17:41:00" u="1"/>
        <d v="2025-05-14T08:51:00" u="1"/>
        <d v="2025-05-13T19:00:00" u="1"/>
        <d v="2025-05-14T16:17:00" u="1"/>
        <d v="2025-05-14T16:16:00" u="1"/>
        <d v="2025-05-13T10:03:00" u="1"/>
        <d v="2025-05-13T13:50:00" u="1"/>
        <d v="2025-05-13T16:34:00" u="1"/>
        <d v="2025-05-14T10:40:00" u="1"/>
        <d v="2025-05-14T11:16:00" u="1"/>
        <d v="2025-05-14T15:19:00" u="1"/>
        <d v="2025-05-14T17:52:00" u="1"/>
        <d v="2025-05-14T08:39:00" u="1"/>
        <d v="2025-05-14T16:03:00" u="1"/>
        <d v="2025-05-14T14:32:00" u="1"/>
        <d v="2025-05-14T15:51:00" u="1"/>
        <d v="2025-05-13T10:24:00" u="1"/>
        <d v="2025-05-13T08:49:00" u="1"/>
        <d v="2025-05-13T09:41:00" u="1"/>
        <d v="2025-05-13T09:49:00" u="1"/>
        <d v="2025-05-13T09:54:00" u="1"/>
        <d v="2025-05-10T00:00:00" u="1"/>
        <d v="2025-05-12T15:35:00" u="1"/>
        <d v="2025-05-13T12:03:00" u="1"/>
        <d v="2025-05-12T15:56:00" u="1"/>
        <d v="2025-05-12T14:12:00" u="1"/>
        <d v="2025-05-13T16:18:00" u="1"/>
        <d v="2025-05-13T16:02:00" u="1"/>
        <d v="2025-05-14T18:06:00" u="1"/>
        <d v="2025-05-14T16:33:00" u="1"/>
        <d v="2025-05-13T14:43:00" u="1"/>
        <d v="2025-05-13T14:00:00" u="1"/>
        <d v="2025-05-13T12:30:00" u="1"/>
        <d v="2025-05-14T15:40:00" u="1"/>
        <d v="2025-05-13T13:10:00" u="1"/>
        <d v="2025-05-14T12:53:00" u="1"/>
        <d v="2025-05-14T15:01:00" u="1"/>
        <d v="2025-05-13T17:13:00" u="1"/>
        <d v="2025-05-13T10:50:00" u="1"/>
        <d v="2025-05-14T12:16:00" u="1"/>
        <d v="2025-05-08T18:32:00" u="1"/>
        <d v="2025-05-09T08:23:00" u="1"/>
        <d v="2025-05-14T18:53:00" u="1"/>
        <d v="2025-05-13T08:09:00" u="1"/>
      </sharedItems>
      <fieldGroup par="44"/>
    </cacheField>
    <cacheField name="Requisição" numFmtId="0">
      <sharedItems containsBlank="1" containsMixedTypes="1" containsNumber="1" containsInteger="1" minValue="276" maxValue="13755260251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131492023" maxValue="9785210000"/>
    </cacheField>
    <cacheField name="Canal de Vendas" numFmtId="0">
      <sharedItems containsBlank="1"/>
    </cacheField>
    <cacheField name="Codigo Evento" numFmtId="0">
      <sharedItems containsBlank="1" containsMixedTypes="1" containsNumber="1" containsInteger="1" minValue="169348" maxValue="169348"/>
    </cacheField>
    <cacheField name="Tarifa" numFmtId="0">
      <sharedItems containsString="0" containsBlank="1" containsNumber="1" minValue="-304948.56" maxValue="3118879.5" count="8000">
        <n v="482.71"/>
        <n v="189.75"/>
        <n v="253.27"/>
        <n v="227.95"/>
        <n v="182.79"/>
        <n v="44.4"/>
        <n v="1590.61"/>
        <n v="415"/>
        <n v="3472.02"/>
        <n v="522.9"/>
        <n v="444.72"/>
        <n v="1032.3"/>
        <n v="848.64"/>
        <n v="250"/>
        <n v="445.2"/>
        <n v="2176.2916"/>
        <n v="4629.18"/>
        <n v="4865.1499999999996"/>
        <n v="4568.18"/>
        <n v="0"/>
        <n v="1240"/>
        <n v="299"/>
        <n v="180"/>
        <n v="1302.01"/>
        <n v="540.54999999999995"/>
        <n v="126.14"/>
        <n v="759"/>
        <n v="3872.3519999999999"/>
        <n v="1936.1759999999999"/>
        <n v="2891.49"/>
        <n v="478.46"/>
        <n v="56.76"/>
        <n v="2454.2800000000002"/>
        <n v="220.45"/>
        <n v="618.32000000000005"/>
        <n v="2447.73"/>
        <n v="1869.67"/>
        <n v="2206.15"/>
        <n v="1141.2"/>
        <n v="713.2"/>
        <n v="0.01"/>
        <n v="590.32000000000005"/>
        <n v="548.91999999999996"/>
        <n v="71.8"/>
        <n v="1147.8399999999999"/>
        <n v="1260"/>
        <n v="1893.59"/>
        <n v="2235.84"/>
        <n v="1837.64"/>
        <n v="668.28"/>
        <n v="444.89"/>
        <n v="467.92"/>
        <n v="394.4"/>
        <n v="122.3"/>
        <n v="0.1"/>
        <n v="318.86"/>
        <n v="1386.24"/>
        <n v="2255.4899999999998"/>
        <n v="1037.99"/>
        <n v="319.92"/>
        <n v="387.06"/>
        <n v="491.96"/>
        <n v="474.9"/>
        <n v="1306.74"/>
        <n v="1002.6"/>
        <n v="1432.71"/>
        <n v="531.04"/>
        <n v="467.12"/>
        <n v="215.12"/>
        <n v="359.92"/>
        <n v="475.3"/>
        <n v="2541.2759999999998"/>
        <n v="1035.18"/>
        <n v="1040"/>
        <n v="1091.4000000000001"/>
        <n v="240"/>
        <n v="1821.6792"/>
        <n v="310"/>
        <n v="577.47"/>
        <n v="1606.2891"/>
        <n v="547.54999999999995"/>
        <n v="689.97"/>
        <n v="414"/>
        <n v="419.98"/>
        <n v="629.97"/>
        <n v="1985.6"/>
        <n v="1073.44"/>
        <n v="916.32"/>
        <n v="1080"/>
        <n v="468"/>
        <n v="21353.41"/>
        <n v="194.43199999999999"/>
        <n v="494.05439999999999"/>
        <n v="329.36959999999999"/>
        <n v="46.23"/>
        <n v="50.45"/>
        <n v="480"/>
        <n v="161.99"/>
        <n v="139.29"/>
        <n v="8335"/>
        <n v="3252"/>
        <n v="12629.1"/>
        <n v="225.96"/>
        <n v="225.95"/>
        <n v="4779.8999999999996"/>
        <n v="10428"/>
        <n v="1749"/>
        <n v="1325"/>
        <n v="1150"/>
        <n v="400"/>
        <n v="1692"/>
        <n v="1437.66"/>
        <n v="40.46"/>
        <n v="12053.02"/>
        <n v="6433.36"/>
        <n v="925"/>
        <n v="11290"/>
        <n v="487"/>
        <n v="486"/>
        <n v="488"/>
        <n v="541.66999999999996"/>
        <n v="4717.96"/>
        <n v="311.60000000000002"/>
        <n v="326"/>
        <n v="385.2"/>
        <n v="933.50879999999995"/>
        <n v="1639"/>
        <n v="752.73"/>
        <n v="220"/>
        <n v="1472.0160000000001"/>
        <n v="234.08"/>
        <n v="600"/>
        <n v="185"/>
        <n v="185.02"/>
        <n v="509.54399999999998"/>
        <n v="717"/>
        <n v="295"/>
        <n v="590"/>
        <n v="280"/>
        <n v="826.5"/>
        <n v="490"/>
        <n v="797.88"/>
        <n v="260"/>
        <n v="139"/>
        <n v="154.80000000000001"/>
        <n v="239"/>
        <n v="445.96"/>
        <n v="923.36"/>
        <n v="901.84640000000002"/>
        <n v="548.02"/>
        <n v="30346.9"/>
        <n v="16628.849999999999"/>
        <n v="1694.54"/>
        <n v="1593.07"/>
        <n v="2178.9899999999998"/>
        <n v="2495"/>
        <n v="998"/>
        <n v="501.93"/>
        <n v="2236.86"/>
        <n v="2066.3200000000002"/>
        <n v="3150"/>
        <n v="4492.32"/>
        <n v="9253.09"/>
        <n v="2349.09"/>
        <n v="8510"/>
        <n v="489"/>
        <n v="978"/>
        <n v="4731"/>
        <n v="2350.0300000000002"/>
        <n v="1175"/>
        <n v="6071.31"/>
        <n v="9787.4"/>
        <n v="1545.41"/>
        <n v="350.74"/>
        <n v="679.14"/>
        <n v="522"/>
        <n v="2324.3200000000002"/>
        <n v="2188.16"/>
        <n v="1145"/>
        <n v="233.64"/>
        <n v="863.09"/>
        <n v="9050.5300000000007"/>
        <n v="1043.83"/>
        <n v="6028.22"/>
        <n v="11643.35"/>
        <n v="6939.02"/>
        <n v="7102.94"/>
        <n v="666.58"/>
        <n v="4780.0200000000004"/>
        <n v="25099.31"/>
        <n v="2663.37"/>
        <n v="17428.62"/>
        <n v="2098.33"/>
        <n v="7070.15"/>
        <n v="4644.2299999999996"/>
        <n v="1162.43"/>
        <n v="6068.29"/>
        <n v="1225.02"/>
        <n v="1394.84"/>
        <n v="4630.78"/>
        <n v="140"/>
        <n v="730.71"/>
        <n v="9215.89"/>
        <n v="14958.37"/>
        <n v="995.63"/>
        <n v="10704.1"/>
        <n v="963.54"/>
        <n v="3329.18"/>
        <n v="1416.59"/>
        <n v="14953.78"/>
        <n v="4297.75"/>
        <n v="671.34"/>
        <n v="275"/>
        <n v="1684"/>
        <n v="8530.0614000000005"/>
        <n v="276"/>
        <n v="32068.2582"/>
        <n v="12428.341200000001"/>
        <n v="387.8"/>
        <n v="568.79999999999995"/>
        <n v="1530"/>
        <n v="125"/>
        <n v="215"/>
        <n v="249.9"/>
        <n v="330"/>
        <n v="1"/>
        <n v="2597.4499999999998"/>
        <n v="170.70500000000001"/>
        <n v="231.53"/>
        <n v="556.37120000000004"/>
        <n v="393.42"/>
        <n v="418"/>
        <n v="207.15"/>
        <n v="777.76"/>
        <n v="1594.03"/>
        <n v="564.87"/>
        <n v="696.83"/>
        <n v="524"/>
        <n v="379.76"/>
        <n v="219"/>
        <n v="534.91999999999996"/>
        <n v="156"/>
        <n v="224.81"/>
        <n v="1406.8208"/>
        <n v="227"/>
        <n v="619.20000000000005"/>
        <n v="229.2"/>
        <n v="432"/>
        <n v="209"/>
        <n v="1176"/>
        <n v="836"/>
        <n v="230"/>
        <n v="3391.92"/>
        <n v="3975.72"/>
        <n v="3973.41"/>
        <n v="4655"/>
        <n v="2665.18"/>
        <n v="588"/>
        <n v="6687.66"/>
        <n v="6458.16"/>
        <n v="290"/>
        <n v="251"/>
        <n v="715"/>
        <n v="1200"/>
        <n v="1013.32"/>
        <n v="580"/>
        <n v="270"/>
        <n v="1160"/>
        <n v="371.8"/>
        <n v="231"/>
        <n v="712.41"/>
        <n v="440"/>
        <n v="1377"/>
        <n v="315"/>
        <n v="855"/>
        <n v="812.24"/>
        <n v="627.51"/>
        <n v="609.15"/>
        <n v="1472.04"/>
        <n v="2131.75"/>
        <n v="4802.1138000000001"/>
        <n v="2146.84"/>
        <n v="2572.8000000000002"/>
        <n v="3194"/>
        <n v="3743.712"/>
        <n v="487.33440000000002"/>
        <n v="18225"/>
        <n v="4933.1099999999997"/>
        <n v="2407.19"/>
        <n v="645"/>
        <n v="1956.04"/>
        <n v="15732"/>
        <n v="7475"/>
        <n v="1215.06"/>
        <n v="646"/>
        <n v="1876"/>
        <n v="942.95"/>
        <n v="1796.058"/>
        <n v="1860"/>
        <n v="822"/>
        <n v="7719.2327999999998"/>
        <n v="985"/>
        <n v="122.36"/>
        <n v="445"/>
        <n v="124.05"/>
        <n v="1161.9100000000001"/>
        <n v="3706.7579999999998"/>
        <n v="541.36500000000001"/>
        <n v="1778.9176"/>
        <n v="2123.6095999999998"/>
        <n v="852.46879999999999"/>
        <n v="1256.269"/>
        <n v="453.09"/>
        <n v="1312.0139999999999"/>
        <n v="1061.5211999999999"/>
        <n v="1516.8013000000001"/>
        <n v="1732.87"/>
        <n v="694.4"/>
        <n v="1742.91"/>
        <n v="530"/>
        <n v="1392.7398000000001"/>
        <n v="1719.9278999999999"/>
        <n v="791.26319999999998"/>
        <n v="1063.3692000000001"/>
        <n v="2193.6976"/>
        <n v="1467.8"/>
        <n v="470"/>
        <n v="1143.3"/>
        <n v="1400"/>
        <n v="431"/>
        <n v="5430"/>
        <n v="2088"/>
        <n v="14699.92"/>
        <n v="375"/>
        <n v="1559.86"/>
        <n v="453"/>
        <n v="1511"/>
        <n v="2672"/>
        <n v="7347.6480000000001"/>
        <n v="3209.0974999999999"/>
        <n v="486.2"/>
        <n v="4422.6000000000004"/>
        <n v="758"/>
        <n v="4119.6000000000004"/>
        <n v="338"/>
        <n v="322.27999999999997"/>
        <n v="934.4"/>
        <n v="1616"/>
        <n v="550"/>
        <n v="640"/>
        <n v="232"/>
        <n v="306"/>
        <n v="329.67"/>
        <n v="824.1"/>
        <n v="748"/>
        <n v="113.79"/>
        <n v="2651.8"/>
        <n v="333"/>
        <n v="1600"/>
        <n v="108"/>
        <n v="7945.89"/>
        <n v="7951.68"/>
        <n v="8009.52"/>
        <n v="178"/>
        <n v="183.12"/>
        <n v="1580"/>
        <n v="741"/>
        <n v="674.2835"/>
        <n v="24280.44"/>
        <n v="2497.9499999999998"/>
        <n v="50"/>
        <n v="2350"/>
        <n v="156.465"/>
        <n v="1950"/>
        <n v="870"/>
        <n v="1220"/>
        <n v="1800"/>
        <n v="961.8"/>
        <n v="761.3"/>
        <n v="275.10000000000002"/>
        <n v="225"/>
        <n v="178.2"/>
        <n v="473.55"/>
        <n v="210"/>
        <n v="179"/>
        <n v="1615.92"/>
        <n v="756"/>
        <n v="169"/>
        <n v="547.04"/>
        <n v="297"/>
        <n v="540"/>
        <n v="787.5"/>
        <n v="525"/>
        <n v="250.95"/>
        <n v="495"/>
        <n v="199.5"/>
        <n v="1008"/>
        <n v="914.1"/>
        <n v="960"/>
        <n v="7725.76"/>
        <n v="461"/>
        <n v="155"/>
        <n v="167.73"/>
        <n v="117.79"/>
        <n v="79.23"/>
        <n v="84.48"/>
        <n v="371.04480000000001"/>
        <n v="486.25920000000002"/>
        <n v="367.88639999999998"/>
        <n v="344.2208"/>
        <n v="345.87"/>
        <n v="249.8"/>
        <n v="156.3184"/>
        <n v="1421.97"/>
        <n v="245.2576"/>
        <n v="239.16480000000001"/>
        <n v="289.47519999999997"/>
        <n v="621.23040000000003"/>
        <m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1564.42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164.6848" u="1"/>
        <n v="385.0308" u="1"/>
        <n v="589.25440000000003" u="1"/>
        <n v="11043" u="1"/>
        <n v="1450" u="1"/>
        <n v="259.99" u="1"/>
        <n v="935.14400000000001" u="1"/>
        <n v="666.6576" u="1"/>
        <n v="1030.4112" u="1"/>
        <n v="1433.7009" u="1"/>
        <n v="490.69439999999997" u="1"/>
        <n v="163.56479999999999" u="1"/>
        <n v="1011.6512" u="1"/>
        <n v="374.05759999999998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278.19" u="1"/>
        <n v="497.44" u="1"/>
        <n v="386.4" u="1"/>
        <n v="2954" u="1"/>
        <n v="2520.9299999999998" u="1"/>
        <n v="720" u="1"/>
        <n v="1117.6300000000001" u="1"/>
        <n v="650.78" u="1"/>
        <n v="435.72" u="1"/>
        <n v="204.92" u="1"/>
        <n v="297.03519999999997" u="1"/>
        <n v="279" u="1"/>
        <n v="170" u="1"/>
        <n v="346" u="1"/>
        <n v="188.68" u="1"/>
        <n v="221.4" u="1"/>
        <n v="8605.48" u="1"/>
        <n v="796.22" u="1"/>
        <n v="268.41919999999999" u="1"/>
        <n v="489.69" u="1"/>
        <n v="4010.72" u="1"/>
        <n v="338.91199999999998" u="1"/>
        <n v="625.16999999999996" u="1"/>
        <n v="203.06" u="1"/>
        <n v="731.85" u="1"/>
        <n v="236.66" u="1"/>
        <n v="1180.77" u="1"/>
        <n v="496.12" u="1"/>
        <n v="1042.5" u="1"/>
        <n v="999.99" u="1"/>
        <n v="478.18" u="1"/>
        <n v="990.24" u="1"/>
        <n v="1184" u="1"/>
        <n v="487.5" u="1"/>
        <n v="560" u="1"/>
        <n v="223.75" u="1"/>
        <n v="698" u="1"/>
        <n v="189" u="1"/>
        <n v="810" u="1"/>
        <n v="660" u="1"/>
        <n v="458.6" u="1"/>
        <n v="205.71340000000001" u="1"/>
        <n v="171.08" u="1"/>
        <n v="2948.93" u="1"/>
        <n v="2475.6799999999998" u="1"/>
        <n v="594.98879999999997" u="1"/>
        <n v="159.4768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249" u="1"/>
        <n v="325.92" u="1"/>
        <n v="537.69000000000005" u="1"/>
        <n v="805.11199999999997" u="1"/>
        <n v="255.78559999999999" u="1"/>
        <n v="168.952" u="1"/>
        <n v="494.72640000000001" u="1"/>
        <n v="536.83839999999998" u="1"/>
        <n v="511.21280000000002" u="1"/>
        <n v="199.9872" u="1"/>
        <n v="785.29920000000004" u="1"/>
        <n v="489.38400000000001" u="1"/>
        <n v="79.738399999999999" u="1"/>
        <n v="826.22400000000005" u="1"/>
        <n v="644.08960000000002" u="1"/>
        <n v="468.45119999999997" u="1"/>
        <n v="402.62880000000001" u="1"/>
        <n v="316.89280000000002" u="1"/>
        <n v="334.18560000000002" u="1"/>
        <n v="1136.6207999999999" u="1"/>
        <n v="635.66719999999998" u="1"/>
        <n v="269" u="1"/>
        <n v="269.83999999999997" u="1"/>
        <n v="1972.69" u="1"/>
        <n v="1598.78" u="1"/>
        <n v="10839.94" u="1"/>
        <n v="543.91999999999996" u="1"/>
        <n v="85" u="1"/>
        <n v="1195.6400000000001" u="1"/>
        <n v="578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175" u="1"/>
        <n v="978.5" u="1"/>
        <n v="15944.01" u="1"/>
        <n v="340.63" u="1"/>
        <n v="253.8" u="1"/>
        <n v="1120.07" u="1"/>
        <n v="677.51" u="1"/>
        <n v="377.8" u="1"/>
        <n v="1522.03" u="1"/>
        <n v="162.66" u="1"/>
        <n v="283.5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91.77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795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520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425.4" u="1"/>
        <n v="154" u="1"/>
        <n v="2522.4" u="1"/>
        <n v="110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823.84" u="1"/>
        <n v="665.84" u="1"/>
        <n v="1020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304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584" u="1"/>
        <n v="286.88" u="1"/>
        <n v="1229.0001" u="1"/>
        <n v="263.75" u="1"/>
        <n v="296.39999999999998" u="1"/>
        <n v="603.99990000000003" u="1"/>
        <n v="340" u="1"/>
        <n v="1428.32" u="1"/>
        <n v="8285.52" u="1"/>
        <n v="150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186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209.99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327.12959999999998" u="1"/>
        <n v="409.98719999999997" u="1"/>
        <n v="260.39999999999998" u="1"/>
        <n v="715.62" u="1"/>
        <n v="294.87" u="1"/>
        <n v="887.38019999999995" u="1"/>
        <n v="1230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88.67519999999999" u="1"/>
        <n v="172" u="1"/>
        <n v="203.05600000000001" u="1"/>
        <n v="128.65" u="1"/>
        <n v="771.54" u="1"/>
        <n v="1388.7719999999999" u="1"/>
        <n v="392.49279999999999" u="1"/>
        <n v="559.26990000000001" u="1"/>
        <n v="160" u="1"/>
        <n v="3547.9584" u="1"/>
        <n v="498.46" u="1"/>
        <n v="423.98719999999997" u="1"/>
        <n v="455.4144" u="1"/>
        <n v="459.7824" u="1"/>
        <n v="2295.1999999999998" u="1"/>
        <n v="2150" u="1"/>
        <n v="17566.400000000001" u="1"/>
        <n v="235" u="1"/>
        <n v="595.20000000000005" u="1"/>
        <n v="278.25" u="1"/>
        <n v="217" u="1"/>
        <n v="183.54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358" u="1"/>
        <n v="252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44.73759999999999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100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840" u="1"/>
        <n v="2532.444" u="1"/>
        <n v="7561.26" u="1"/>
        <n v="409" u="1"/>
        <n v="990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389" u="1"/>
        <n v="730.8" u="1"/>
        <n v="3889" u="1"/>
        <n v="1010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265" u="1"/>
        <n v="880.56100000000004" u="1"/>
        <n v="196" u="1"/>
        <n v="17284.400000000001" u="1"/>
        <n v="5054.8" u="1"/>
        <n v="214.35" u="1"/>
        <n v="5435.5" u="1"/>
        <n v="21809.13" u="1"/>
        <n v="420" u="1"/>
        <n v="1258.5" u="1"/>
        <n v="1193.2260000000001" u="1"/>
        <n v="6978.82" u="1"/>
        <n v="23202.29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5838.76" u="1"/>
        <n v="1385.54" u="1"/>
        <n v="799.1" u="1"/>
        <n v="589.79999999999995" u="1"/>
        <n v="1330.32" u="1"/>
        <n v="1217.8499999999999" u="1"/>
        <n v="1023.29" u="1"/>
        <n v="555" u="1"/>
        <n v="1301.2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6291.72" u="1"/>
        <n v="2099.08" u="1"/>
        <n v="391.13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506.65440000000001" u="1"/>
        <n v="677.82399999999996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392.23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195" u="1"/>
        <n v="360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2" u="1"/>
        <n v="132" u="1"/>
        <n v="1061.27" u="1"/>
        <n v="752.86" u="1"/>
        <n v="740.94" u="1"/>
        <n v="3804.75" u="1"/>
        <n v="2716.3348999999998" u="1"/>
        <n v="579.29999999999995" u="1"/>
        <n v="223.61" u="1"/>
        <n v="136.63999999999999" u="1"/>
        <n v="116.97" u="1"/>
        <n v="350.91" u="1"/>
        <n v="793.8" u="1"/>
        <n v="2072.5913" u="1"/>
        <n v="1415.0749000000001" u="1"/>
        <n v="422" u="1"/>
        <n v="717.42719999999997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53.08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189.86" u="1"/>
        <n v="175.81" u="1"/>
        <n v="308.91000000000003" u="1"/>
        <n v="740.88750000000005" u="1"/>
        <n v="1116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702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2799.2" u="1"/>
        <n v="1874.22" u="1"/>
        <n v="481.5" u="1"/>
        <n v="101.52" u="1"/>
        <n v="106.31" u="1"/>
        <n v="92.96" u="1"/>
        <n v="109.57" u="1"/>
        <n v="2781.96" u="1"/>
        <n v="670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78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190" u="1"/>
        <n v="218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654.25919999999996" u="1"/>
        <n v="1189.0816" u="1"/>
        <n v="659.79160000000002" u="1"/>
        <n v="590.79999999999995" u="1"/>
        <n v="84.4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200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850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598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839.96" u="1"/>
        <n v="3092.6624000000002" u="1"/>
        <n v="543.5" u="1"/>
        <n v="130" u="1"/>
        <n v="26.75" u="1"/>
        <n v="27.2" u="1"/>
        <n v="65.77" u="1"/>
        <n v="60.52" u="1"/>
        <n v="950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920" u="1"/>
        <n v="325" u="1"/>
        <n v="430" u="1"/>
        <n v="726.8" u="1"/>
        <n v="456.3" u="1"/>
        <n v="900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828" u="1"/>
        <n v="613.79999999999995" u="1"/>
        <n v="788.96" u="1"/>
        <n v="20916.060000000001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594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625.41999999999996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805.5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316" u="1"/>
        <n v="4609.29" u="1"/>
        <n v="750" u="1"/>
        <n v="748.11519999999996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500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398" u="1"/>
        <n v="209.15" u="1"/>
        <n v="1403.76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450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300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379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502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42" u="1"/>
        <n v="885" u="1"/>
        <n v="292.8" u="1"/>
        <n v="780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18.66999999999996" u="1"/>
        <n v="684.96" u="1"/>
        <n v="380" u="1"/>
        <n v="1604" u="1"/>
        <n v="2006" u="1"/>
        <n v="871.44" u="1"/>
        <n v="1760" u="1"/>
        <n v="1309.0999999999999" u="1"/>
        <n v="492.72" u="1"/>
        <n v="166" u="1"/>
        <n v="2278.518" u="1"/>
        <n v="546.29999999999995" u="1"/>
        <n v="95" u="1"/>
        <n v="423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100.1" u="1"/>
        <n v="650" u="1"/>
        <n v="928" u="1"/>
        <n v="5911" u="1"/>
        <n v="18016.18" u="1"/>
        <n v="1841" u="1"/>
        <n v="73.11" u="1"/>
        <n v="378" u="1"/>
        <n v="334.79039999999998" u="1"/>
        <n v="313.33" u="1"/>
        <n v="731.31" u="1"/>
        <n v="1665" u="1"/>
        <n v="1755" u="1"/>
        <n v="564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135" u="1"/>
        <n v="601.32000000000005" u="1"/>
        <n v="616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267" u="1"/>
        <n v="286" u="1"/>
        <n v="1420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350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4240.8284000000003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891.54" u="1"/>
        <n v="526.16999999999996" u="1"/>
        <n v="406" u="1"/>
        <n v="657" u="1"/>
        <n v="477.52" u="1"/>
        <n v="424.44" u="1"/>
        <n v="237" u="1"/>
        <n v="437.7" u="1"/>
        <n v="404" u="1"/>
        <n v="168.88480000000001" u="1"/>
        <n v="169.84800000000001" u="1"/>
        <n v="917.21280000000002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770" u="1"/>
        <n v="351.9" u="1"/>
        <n v="1629.6" u="1"/>
        <n v="546" u="1"/>
        <n v="1417.5" u="1"/>
        <n v="273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2200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657.52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10" u="1"/>
        <n v="1188" u="1"/>
        <n v="1320" u="1"/>
        <n v="329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352" u="1"/>
        <n v="1719" u="1"/>
        <n v="889.11" u="1"/>
        <n v="268" u="1"/>
        <n v="1000" u="1"/>
        <n v="127.38" u="1"/>
        <n v="686" u="1"/>
        <n v="933" u="1"/>
        <n v="338.64359999999999" u="1"/>
        <n v="999.78" u="1"/>
        <n v="1107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538" u="1"/>
        <n v="65.37" u="1"/>
        <n v="289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120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2593.4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142.41999999999999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5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263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61" u="1"/>
        <n v="399.35" u="1"/>
        <n v="22799" u="1"/>
        <n v="250.58" u="1"/>
        <n v="1032.4159999999999" u="1"/>
        <n v="122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120" u="1"/>
        <n v="760" u="1"/>
        <n v="1715" u="1"/>
        <n v="11339.16" u="1"/>
        <n v="172.99" u="1"/>
        <n v="3644.73" u="1"/>
        <n v="2325.29" u="1"/>
        <n v="1847.1" u="1"/>
        <n v="233.94" u="1"/>
        <n v="503.98" u="1"/>
        <n v="929.72" u="1"/>
        <n v="1752.68" u="1"/>
        <n v="1038" u="1"/>
        <n v="22729" u="1"/>
        <n v="9091.6" u="1"/>
        <n v="604" u="1"/>
        <n v="381.69" u="1"/>
        <n v="104.99" u="1"/>
        <n v="916.47" u="1"/>
        <n v="3877" u="1"/>
        <n v="5385" u="1"/>
        <n v="7754.01" u="1"/>
        <n v="320.39999999999998" u="1"/>
        <n v="700" u="1"/>
        <n v="630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255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288" u="1"/>
        <n v="532" u="1"/>
        <n v="940.8" u="1"/>
        <n v="141.74" u="1"/>
        <n v="576" u="1"/>
        <n v="58.48" u="1"/>
        <n v="945" u="1"/>
        <n v="1024" u="1"/>
        <n v="129.44" u="1"/>
        <n v="136.09" u="1"/>
        <n v="605" u="1"/>
        <n v="561" u="1"/>
        <n v="1000.68" u="1"/>
        <n v="615" u="1"/>
        <n v="182.55" u="1"/>
        <n v="1360" u="1"/>
        <n v="173.33" u="1"/>
        <n v="1415.82" u="1"/>
        <n v="744.81" u="1"/>
        <n v="657.8" u="1"/>
        <n v="221.24" u="1"/>
        <n v="674.01" u="1"/>
        <n v="596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510" u="1"/>
        <n v="992" u="1"/>
        <n v="355" u="1"/>
        <n v="880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0" u="1"/>
        <n v="412" u="1"/>
        <n v="319" u="1"/>
        <n v="5870.83" u="1"/>
        <n v="238" u="1"/>
        <n v="6175.22" u="1"/>
        <n v="652.77" u="1"/>
        <n v="895.94" u="1"/>
        <n v="490.94" u="1"/>
        <n v="307" u="1"/>
        <n v="369" u="1"/>
        <n v="282" u="1"/>
        <n v="858" u="1"/>
        <n v="245" u="1"/>
        <n v="330.6" u="1"/>
        <n v="429" u="1"/>
        <n v="302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424.8" u="1"/>
        <n v="284.89999999999998" u="1"/>
        <n v="603" u="1"/>
        <n v="901.84609999999998" u="1"/>
        <n v="956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2650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176" u="1"/>
        <n v="331.52" u="1"/>
        <n v="263.19" u="1"/>
        <n v="458.85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81.99" u="1"/>
        <n v="374.99" u="1"/>
        <n v="373.29599999999999" u="1"/>
        <n v="936" u="1"/>
        <n v="250.62" u="1"/>
        <n v="104.51" u="1"/>
        <n v="843.85" u="1"/>
        <n v="239.53" u="1"/>
        <n v="252.51" u="1"/>
        <n v="446.67" u="1"/>
        <n v="700.49279999999999" u="1"/>
        <n v="274.35000000000002" u="1"/>
        <n v="428.7" u="1"/>
        <n v="2345" u="1"/>
        <n v="1100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300.3" u="1"/>
        <n v="461.7" u="1"/>
        <n v="668.1" u="1"/>
        <n v="508.2" u="1"/>
        <n v="407.4" u="1"/>
        <n v="202.8" u="1"/>
        <n v="688" u="1"/>
        <n v="470.4" u="1"/>
        <n v="390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873" u="1"/>
        <n v="690" u="1"/>
        <n v="365" u="1"/>
        <n v="69.44" u="1"/>
        <n v="66.67" u="1"/>
        <n v="1242" u="1"/>
        <n v="84.5" u="1"/>
        <n v="688.8" u="1"/>
        <n v="347" u="1"/>
        <n v="1910" u="1"/>
        <n v="223" u="1"/>
        <n v="1470" u="1"/>
        <n v="562" u="1"/>
        <n v="325.5" u="1"/>
        <n v="328.9" u="1"/>
        <n v="405.6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374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1173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800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244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406.17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285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498" u="1"/>
        <n v="52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55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474" u="1"/>
        <n v="1254.1500000000001" u="1"/>
        <n v="1168.3399999999999" u="1"/>
        <n v="413" u="1"/>
        <n v="559.98" u="1"/>
        <n v="1049.95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629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236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227.41" u="1"/>
        <n v="984.76980000000003" u="1"/>
        <n v="730.91200000000003" u="1"/>
        <n v="441.22500000000002" u="1"/>
        <n v="446.11559999999997" u="1"/>
        <n v="861.03359999999998" u="1"/>
        <n v="291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2480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10947.81" u="1"/>
        <n v="2239.3200000000002" u="1"/>
        <n v="9353.1299999999992" u="1"/>
        <n v="36570.239999999998" u="1"/>
        <n v="1071.3900000000001" u="1"/>
        <n v="444.67" u="1"/>
        <n v="22261.27" u="1"/>
        <n v="491" u="1"/>
        <n v="1694.01" u="1"/>
        <n v="1824" u="1"/>
        <n v="545" u="1"/>
        <n v="10884.57" u="1"/>
        <n v="366" u="1"/>
        <n v="1122" u="1"/>
        <n v="937.3338" u="1"/>
        <n v="1226.848" u="1"/>
        <n v="710" u="1"/>
        <n v="2140.27" u="1"/>
        <n v="2600" u="1"/>
        <n v="438" u="1"/>
        <n v="288.79000000000002" u="1"/>
        <n v="790" u="1"/>
        <n v="6654.48" u="1"/>
        <n v="56.05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143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1006.24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518" u="1"/>
        <n v="1428.42" u="1"/>
        <n v="534.25" u="1"/>
        <n v="502.52" u="1"/>
        <n v="714.54" u="1"/>
        <n v="884.31" u="1"/>
        <n v="2400" u="1"/>
        <n v="1004" u="1"/>
        <n v="736" u="1"/>
        <n v="205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408" u="1"/>
        <n v="1174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570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271.92" u="1"/>
        <n v="1435.09" u="1"/>
        <n v="6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2108" u="1"/>
        <n v="1464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6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370" u="1"/>
        <n v="267.58" u="1"/>
        <n v="5503.9859999999999" u="1"/>
        <n v="2831.2919999999999" u="1"/>
        <n v="2892" u="1"/>
        <n v="804.38" u="1"/>
        <n v="456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790" u="1"/>
        <n v="1574.88" u="1"/>
        <n v="227.84" u="1"/>
        <n v="232.34" u="1"/>
        <n v="1479" u="1"/>
        <n v="2166.0812999999998" u="1"/>
        <n v="1206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357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9657.91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88.8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679.39200000000005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381.61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094" u="1"/>
        <n v="115.76" u="1"/>
        <n v="1244.04" u="1"/>
        <n v="491.84" u="1"/>
        <n v="240.17" u="1"/>
        <n v="1285.99" u="1"/>
        <n v="290.89999999999998" u="1"/>
        <n v="128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812176.87860000005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492.3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774.24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618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152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96.16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5037.62" u="1"/>
        <n v="1646.37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942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542" u="1"/>
        <n v="637.41" u="1"/>
        <n v="241.9" u="1"/>
        <n v="278.3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313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790.23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428.04160000000002" u="1"/>
        <n v="381.41320000000002" u="1"/>
        <n v="699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612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479.12" u="1"/>
        <n v="196.17" u="1"/>
        <n v="121.64" u="1"/>
        <n v="934.92" u="1"/>
        <n v="170.58" u="1"/>
        <n v="52.72" u="1"/>
        <n v="49.19" u="1"/>
        <n v="44.68" u="1"/>
        <n v="41.69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856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40.72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876" u="1"/>
        <n v="1166" u="1"/>
        <n v="1619.22" u="1"/>
        <n v="2030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187.02879999999999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79.900000000000006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339.69600000000003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946.5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516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386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28230.7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48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798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561.08640000000003" u="1"/>
        <n v="983.53920000000005" u="1"/>
        <n v="819.97439999999995" u="1"/>
        <n v="43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  <n v="476" u="1"/>
        <n v="493.47199999999998" u="1"/>
        <n v="851.68" u="1"/>
        <n v="766.84159999999997" u="1"/>
        <n v="928.70399999999995" u="1"/>
        <n v="302.08" u="1"/>
        <n v="560.49279999999999" u="1"/>
        <n v="692.05" u="1"/>
        <n v="752.81920000000002" u="1"/>
        <n v="820.00800000000004" u="1"/>
        <n v="771.65" u="1"/>
        <n v="4135.6224000000002" u="1"/>
        <n v="357.21" u="1"/>
        <n v="17326.400000000001" u="1"/>
        <n v="1213.9599000000001" u="1"/>
        <n v="3581.3791999999999" u="1"/>
        <n v="14780.48" u="1"/>
        <n v="1028.3900000000001" u="1"/>
        <n v="1634.38" u="1"/>
        <n v="8676.3359999999993" u="1"/>
        <n v="795.36" u="1"/>
        <n v="3256.8" u="1"/>
        <n v="411.78" u="1"/>
        <n v="319.60000000000002" u="1"/>
        <n v="94.77" u="1"/>
        <n v="524.44000000000005" u="1"/>
        <n v="1968.6" u="1"/>
        <n v="585" u="1"/>
        <n v="1992.54" u="1"/>
        <n v="2385.9299999999998" u="1"/>
        <n v="2129.96" u="1"/>
        <n v="2429.8000000000002" u="1"/>
        <n v="1422.8" u="1"/>
        <n v="486.23" u="1"/>
        <n v="1499.23" u="1"/>
        <n v="1499.24" u="1"/>
        <n v="2936" u="1"/>
        <n v="1312.72" u="1"/>
        <n v="667.25" u="1"/>
        <n v="1193.6300000000001" u="1"/>
        <n v="3398.7725" u="1"/>
        <n v="529.13" u="1"/>
        <n v="297.5" u="1"/>
        <n v="701.57050000000004" u="1"/>
        <n v="1380.22" u="1"/>
        <n v="14961.54" u="1"/>
        <n v="4376.7700000000004" u="1"/>
        <n v="1417.35" u="1"/>
        <n v="21488.9" u="1"/>
        <n v="21625.77" u="1"/>
        <n v="1427.17" u="1"/>
        <n v="1330" u="1"/>
        <n v="1021.2" u="1"/>
        <n v="1095.1500000000001" u="1"/>
        <n v="1347.8" u="1"/>
        <n v="2253.64" u="1"/>
        <n v="1432.7371000000001" u="1"/>
        <n v="37425.25" u="1"/>
        <n v="7274.67" u="1"/>
        <n v="314.31" u="1"/>
        <n v="2407.5837999999999" u="1"/>
        <n v="1131.0867000000001" u="1"/>
        <n v="1899.56" u="1"/>
        <n v="1851.5237" u="1"/>
        <n v="6350.87" u="1"/>
        <n v="1377.88" u="1"/>
        <n v="795.94" u="1"/>
        <n v="1545.08" u="1"/>
        <n v="1096.19" u="1"/>
        <n v="961.09" u="1"/>
        <n v="1776.28" u="1"/>
        <n v="653.87" u="1"/>
        <n v="6143.16" u="1"/>
        <n v="920.73" u="1"/>
        <n v="972.24" u="1"/>
        <n v="8874" u="1"/>
        <n v="777.97439999999995" u="1"/>
        <n v="478.23599999999999" u="1"/>
        <n v="583.5" u="1"/>
        <n v="973" u="1"/>
        <n v="410.13" u="1"/>
        <n v="199.4" u="1"/>
        <n v="686.7" u="1"/>
        <n v="3930" u="1"/>
        <n v="7117.5" u="1"/>
        <n v="170090" u="1"/>
        <n v="276.81" u="1"/>
        <n v="304.81" u="1"/>
        <n v="250.2" u="1"/>
        <n v="405.44" u="1"/>
        <n v="2194.48" u="1"/>
        <n v="62.66" u="1"/>
        <n v="60.75" u="1"/>
        <n v="87.82" u="1"/>
        <n v="173.6" u="1"/>
        <n v="92.91" u="1"/>
        <n v="7030" u="1"/>
        <n v="6973" u="1"/>
        <n v="4268" u="1"/>
        <n v="3261" u="1"/>
        <n v="13683" u="1"/>
        <n v="199.98" u="1"/>
        <n v="194.62" u="1"/>
        <n v="786.42" u="1"/>
        <n v="662.04" u="1"/>
        <n v="729.3" u="1"/>
        <n v="286.67" u="1"/>
        <n v="240.34" u="1"/>
        <n v="608.94000000000005" u="1"/>
        <n v="185.77500000000001" u="1"/>
        <n v="513" u="1"/>
        <n v="41.43" u="1"/>
        <n v="51.98" u="1"/>
        <n v="1160.2701" u="1"/>
        <n v="1864.53" u="1"/>
        <n v="762.53" u="1"/>
        <n v="637.13" u="1"/>
        <n v="430.67" u="1"/>
        <n v="259.3" u="1"/>
        <n v="1090.95" u="1"/>
        <n v="229.95" u="1"/>
        <n v="254.1" u="1"/>
        <n v="531.29999999999995" u="1"/>
        <n v="2211.1" u="1"/>
        <n v="394" u="1"/>
        <n v="1846.6768" u="1"/>
        <n v="2533.69" u="1"/>
        <n v="1567.982" u="1"/>
        <n v="1646.845" u="1"/>
        <n v="1426.7997" u="1"/>
        <n v="1193.8" u="1"/>
        <n v="1193.81" u="1"/>
        <n v="1254" u="1"/>
        <n v="223.9" u="1"/>
        <n v="681.52" u="1"/>
        <n v="1237.1199999999999" u="1"/>
        <n v="534.09" u="1"/>
        <n v="52911.55" u="1"/>
        <n v="1030.2" u="1"/>
        <n v="1643.91" u="1"/>
        <n v="1174.8900000000001" u="1"/>
        <n v="1703.9" u="1"/>
        <n v="30227.85" u="1"/>
        <n v="2280" u="1"/>
        <n v="1720" u="1"/>
        <n v="1370" u="1"/>
        <n v="21156.44" u="1"/>
        <n v="1246" u="1"/>
        <n v="294.79000000000002" u="1"/>
        <n v="260.06" u="1"/>
        <n v="207.55" u="1"/>
        <n v="45516.81" u="1"/>
        <n v="3029" u="1"/>
        <n v="425.85" u="1"/>
        <n v="2384.1799999999998" u="1"/>
        <n v="314.10000000000002" u="1"/>
        <n v="8568" u="1"/>
        <n v="494.52" u="1"/>
        <n v="5002.8" u="1"/>
        <n v="7931.4" u="1"/>
        <n v="825" u="1"/>
        <n v="416.68400000000003" u="1"/>
        <n v="206.23" u="1"/>
        <n v="1104" u="1"/>
        <n v="57.99" u="1"/>
        <n v="61.99" u="1"/>
        <n v="3122.4400999999998" u="1"/>
        <n v="852.25" u="1"/>
        <n v="1053.99" u="1"/>
        <n v="3881.92" u="1"/>
        <n v="336" u="1"/>
        <n v="262" u="1"/>
        <n v="116.64" u="1"/>
        <n v="293.18" u="1"/>
        <n v="1179.8" u="1"/>
        <n v="851.8" u="1"/>
        <n v="367.8" u="1"/>
        <n v="334.77" u="1"/>
        <n v="368.26" u="1"/>
        <n v="391.28" u="1"/>
        <n v="967.22" u="1"/>
        <n v="2767.6" u="1"/>
        <n v="690.01" u="1"/>
        <n v="673.32" u="1"/>
        <n v="1345.1886999999999" u="1"/>
        <n v="303.91000000000003" u="1"/>
        <n v="312.56740000000002" u="1"/>
        <n v="1604.14" u="1"/>
        <n v="959.06" u="1"/>
        <n v="569.11" u="1"/>
        <n v="30341.19" u="1"/>
        <n v="3287.81" u="1"/>
        <n v="55232.94" u="1"/>
        <n v="728.13" u="1"/>
        <n v="2703.36" u="1"/>
        <n v="2110.8184000000001" u="1"/>
        <n v="1752" u="1"/>
        <n v="429.04" u="1"/>
        <n v="107.35" u="1"/>
        <n v="1334" u="1"/>
        <n v="485.33" u="1"/>
        <n v="597.48" u="1"/>
        <n v="2001" u="1"/>
        <n v="403.45" u="1"/>
        <n v="166.88" u="1"/>
        <n v="809.04" u="1"/>
        <n v="5858.64" u="1"/>
        <n v="5320.02" u="1"/>
        <n v="441.07" u="1"/>
        <n v="3159.39" u="1"/>
        <n v="2183.6790000000001" u="1"/>
        <n v="147.9" u="1"/>
        <n v="179.9" u="1"/>
        <n v="162.875" u="1"/>
        <n v="293.33999999999997" u="1"/>
        <n v="1211.94" u="1"/>
        <n v="507.93" u="1"/>
        <n v="565.41" u="1"/>
        <n v="2838" u="1"/>
        <n v="327.94" u="1"/>
        <n v="3962.28" u="1"/>
        <n v="5819.16" u="1"/>
        <n v="414.36" u="1"/>
        <n v="6400" u="1"/>
        <n v="963.6" u="1"/>
        <n v="1157.1999000000001" u="1"/>
        <n v="1567.65" u="1"/>
        <n v="1730.8" u="1"/>
        <n v="220.52" u="1"/>
        <n v="2556.2399999999998" u="1"/>
        <n v="583.17999999999995" u="1"/>
        <n v="165" u="1"/>
        <n v="570.82000000000005" u="1"/>
        <n v="26650.563300000002" u="1"/>
        <n v="262.5" u="1"/>
        <n v="475" u="1"/>
        <n v="3135.9" u="1"/>
        <n v="1612" u="1"/>
        <n v="458.82" u="1"/>
        <n v="262.98660000000001" u="1"/>
        <n v="571.87199999999996" u="1"/>
        <n v="1599.14" u="1"/>
        <n v="3547.2" u="1"/>
        <n v="402.64" u="1"/>
        <n v="266.68" u="1"/>
        <n v="2702.25" u="1"/>
        <n v="460" u="1"/>
        <n v="6838" u="1"/>
        <n v="263.49" u="1"/>
        <n v="65" u="1"/>
        <n v="120.78" u="1"/>
        <n v="565.29999999999995" u="1"/>
        <n v="1266.2719999999999" u="1"/>
        <n v="257.93599999999998" u="1"/>
        <n v="204.2" u="1"/>
        <n v="3725.5" u="1"/>
        <n v="628.55999999999995" u="1"/>
        <n v="189.84" u="1"/>
        <n v="345.52" u="1"/>
        <n v="9274.86" u="1"/>
        <n v="1217.5" u="1"/>
        <n v="1541.58" u="1"/>
        <n v="2154.15" u="1"/>
        <n v="1383.43" u="1"/>
        <n v="1024.05" u="1"/>
        <n v="892.89" u="1"/>
        <n v="442.68" u="1"/>
        <n v="550.29" u="1"/>
        <n v="2051.1999999999998" u="1"/>
        <n v="999.84" u="1"/>
        <n v="311.12" u="1"/>
        <n v="7430.14" u="1"/>
        <n v="4321.4399999999996" u="1"/>
        <n v="648.98" u="1"/>
        <n v="309.89999999999998" u="1"/>
        <n v="990.34249999999997" u="1"/>
        <n v="1419.1288999999999" u="1"/>
        <n v="233.05" u="1"/>
        <n v="1620" u="1"/>
        <n v="517.89" u="1"/>
        <n v="1358.28" u="1"/>
        <n v="1371.8" u="1"/>
        <n v="109.9" u="1"/>
        <n v="1299.26" u="1"/>
        <n v="777.72" u="1"/>
        <n v="1453.52" u="1"/>
        <n v="3091.62" u="1"/>
        <n v="36273.925600000002" u="1"/>
        <n v="1298" u="1"/>
        <n v="2882.58" u="1"/>
        <n v="2698.8339999999998" u="1"/>
        <n v="557.08000000000004" u="1"/>
        <n v="27459.54" u="1"/>
        <n v="5395.7352000000001" u="1"/>
        <n v="3095.9414999999999" u="1"/>
        <n v="1792.3409999999999" u="1"/>
        <n v="1093.32" u="1"/>
        <n v="1922.75" u="1"/>
        <n v="272.2" u="1"/>
        <n v="597.40800000000002" u="1"/>
        <n v="1447.2" u="1"/>
        <n v="568.67999999999995" u="1"/>
        <n v="550.73009999999999" u="1"/>
        <n v="449.90660000000003" u="1"/>
        <n v="269.67360000000002" u="1"/>
        <n v="289.28859999999997" u="1"/>
        <n v="204.99359999999999" u="1"/>
        <n v="2084.6896000000002" u="1"/>
        <n v="3155.6" u="1"/>
        <n v="912" u="1"/>
        <n v="478.54" u="1"/>
        <n v="419.50659999999999" u="1"/>
        <n v="521.20000000000005" u="1"/>
        <n v="2799.76" u="1"/>
        <n v="2994.6" u="1"/>
        <n v="1644.2295999999999" u="1"/>
        <n v="308.02" u="1"/>
        <n v="22460" u="1"/>
        <n v="503.30399999999997" u="1"/>
        <n v="15144.81" u="1"/>
        <n v="31824.98" u="1"/>
        <n v="8327.16" u="1"/>
        <n v="579.99" u="1"/>
        <n v="541.95000000000005" u="1"/>
        <n v="94.5" u="1"/>
        <n v="844" u="1"/>
        <n v="1880.34" u="1"/>
        <n v="1772.4" u="1"/>
        <n v="399.92" u="1"/>
        <n v="2669.1" u="1"/>
        <n v="439.28" u="1"/>
        <n v="571.70000000000005" u="1"/>
        <n v="3129" u="1"/>
        <n v="199.96" u="1"/>
        <n v="99.98" u="1"/>
        <n v="337.6" u="1"/>
        <n v="1657.6599000000001" u="1"/>
        <n v="783.78" u="1"/>
        <n v="276.3" u="1"/>
        <n v="388.04" u="1"/>
        <n v="3435.96" u="1"/>
        <n v="305" u="1"/>
        <n v="853.25" u="1"/>
        <n v="1012.88" u="1"/>
        <n v="1046.1600000000001" u="1"/>
        <n v="323.83999999999997" u="1"/>
        <n v="165.9" u="1"/>
        <n v="1367.9567999999999" u="1"/>
        <n v="4212.72" u="1"/>
        <n v="698.976" u="1"/>
        <n v="485" u="1"/>
        <n v="422.22" u="1"/>
        <n v="1173.3119999999999" u="1"/>
        <n v="179.1" u="1"/>
        <n v="322.66000000000003" u="1"/>
        <n v="333.48" u="1"/>
        <n v="1442.52" u="1"/>
        <n v="175.96" u="1"/>
        <n v="1114.1199999999999" u="1"/>
        <n v="485.67680000000001" u="1"/>
        <n v="449.87040000000002" u="1"/>
        <n v="166.94" u="1"/>
        <n v="537.41999999999996" u="1"/>
        <n v="169.61" u="1"/>
        <n v="2041.3" u="1"/>
        <n v="1419.12" u="1"/>
        <n v="623.91" u="1"/>
        <n v="454.58" u="1"/>
        <n v="1235.4100000000001" u="1"/>
        <n v="2280.35" u="1"/>
        <n v="2384.0700000000002" u="1"/>
        <n v="2384.08" u="1"/>
        <n v="1949.77" u="1"/>
        <n v="504.13" u="1"/>
        <n v="440.54" u="1"/>
        <n v="650.86" u="1"/>
        <n v="14213.9" u="1"/>
        <n v="849.92" u="1"/>
        <n v="42551.25" u="1"/>
        <n v="2954.67" u="1"/>
        <n v="9854" u="1"/>
        <n v="1714.88" u="1"/>
        <n v="709.8" u="1"/>
        <n v="3691.99" u="1"/>
        <n v="1172" u="1"/>
        <n v="467" u="1"/>
        <n v="37.76" u="1"/>
        <n v="40.119999999999997" u="1"/>
        <n v="108.73" u="1"/>
        <n v="581.22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927" u="1"/>
        <n v="332" u="1"/>
        <n v="2444.288" u="1"/>
        <n v="667.77" u="1"/>
        <n v="8075.4696000000004" u="1"/>
        <n v="2101.92" u="1"/>
        <n v="387.5" u="1"/>
        <n v="651.16480000000001" u="1"/>
        <n v="541" u="1"/>
        <n v="3940.625" u="1"/>
        <n v="341.62240000000003" u="1"/>
        <n v="2021.21" u="1"/>
        <n v="684.58" u="1"/>
        <n v="1208.24" u="1"/>
        <n v="2079.8836000000001" u="1"/>
        <n v="383.42" u="1"/>
        <n v="964" u="1"/>
        <n v="658.23" u="1"/>
        <n v="513.37440000000004" u="1"/>
        <n v="207.1104" u="1"/>
        <n v="582.04" u="1"/>
        <n v="943.37599999999998" u="1"/>
        <n v="586.53989999999999" u="1"/>
        <n v="2046.5196000000001" u="1"/>
        <n v="2558.34" u="1"/>
        <n v="299.39" u="1"/>
        <n v="737.19" u="1"/>
        <n v="826.8" u="1"/>
        <n v="325.26" u="1"/>
        <n v="725" u="1"/>
        <n v="9142.8119999999999" u="1"/>
        <n v="3975.9" u="1"/>
        <n v="86.35" u="1"/>
        <n v="2880" u="1"/>
        <n v="3600" u="1"/>
        <n v="5758.826" u="1"/>
        <n v="4163.5519999999997" u="1"/>
        <n v="1378.88" u="1"/>
        <n v="530.70000000000005" u="1"/>
        <n v="732.99990000000003" u="1"/>
        <n v="1946.8512000000001" u="1"/>
        <n v="556.04010000000005" u="1"/>
        <n v="370.6934" u="1"/>
        <n v="568.65599999999995" u="1"/>
        <n v="546.24" u="1"/>
        <n v="185.47" u="1"/>
        <n v="903.76" u="1"/>
        <n v="177.95" u="1"/>
        <n v="694.86990000000003" u="1"/>
        <n v="914.04" u="1"/>
        <n v="687.03" u="1"/>
        <n v="287.8" u="1"/>
        <n v="2019" u="1"/>
        <n v="14802.37" u="1"/>
        <n v="16451.36" u="1"/>
        <n v="448.1" u="1"/>
        <n v="785" u="1"/>
        <n v="984" u="1"/>
        <n v="1130.5" u="1"/>
        <n v="802.6" u="1"/>
        <n v="144000" u="1"/>
        <n v="8400" u="1"/>
        <n v="21600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415.68" u="1"/>
        <n v="1403.6" u="1"/>
        <n v="434.42" u="1"/>
        <n v="541.42200000000003" u="1"/>
        <n v="7564" u="1"/>
        <n v="2909.12" u="1"/>
        <n v="8302.0604999999996" u="1"/>
        <n v="571.54999999999995" u="1"/>
        <n v="339.42720000000003" u="1"/>
        <n v="287.7534" u="1"/>
        <n v="431.63249999999999" u="1"/>
        <n v="518.98500000000001" u="1"/>
        <n v="1465.85" u="1"/>
        <n v="622.55499999999995" u="1"/>
        <n v="812" u="1"/>
        <n v="11381.734" u="1"/>
        <n v="205.97" u="1"/>
        <n v="706.66" u="1"/>
        <n v="515.51" u="1"/>
        <n v="475.99" u="1"/>
        <n v="456.89" u="1"/>
        <n v="1716.1" u="1"/>
        <n v="2235.13" u="1"/>
        <n v="388.72" u="1"/>
        <n v="39197.68" u="1"/>
        <n v="605.79999999999995" u="1"/>
        <n v="2451" u="1"/>
        <n v="326.8" u="1"/>
        <n v="434" u="1"/>
        <n v="152400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338.01600000000002" u="1"/>
        <n v="949.8" u="1"/>
        <n v="1166.53" u="1"/>
        <n v="1478.34" u="1"/>
        <n v="606.36" u="1"/>
        <n v="522.24" u="1"/>
        <n v="921.7" u="1"/>
        <n v="525.63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415.3" u="1"/>
        <n v="1588.5" u="1"/>
        <n v="552" u="1"/>
        <n v="5520.45" u="1"/>
        <n v="1032.99" u="1"/>
        <n v="603.96" u="1"/>
        <n v="1413" u="1"/>
        <n v="567.20000000000005" u="1"/>
        <n v="510.48" u="1"/>
        <n v="163.46" u="1"/>
        <n v="831.66" u="1"/>
        <n v="1715.04" u="1"/>
        <n v="174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1646.52" u="1"/>
        <n v="540.4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262.35" u="1"/>
        <n v="493.92" u="1"/>
        <n v="709.65" u="1"/>
        <n v="288.75" u="1"/>
        <n v="1137.1099999999999" u="1"/>
        <n v="253.89" u="1"/>
        <n v="405" u="1"/>
        <n v="544.4" u="1"/>
        <n v="1132.0512000000001" u="1"/>
        <n v="175.9632" u="1"/>
        <n v="6265.7201999999997" u="1"/>
        <n v="808.10239999999999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672.8" u="1"/>
        <n v="134.80000000000001" u="1"/>
        <n v="215.1" u="1"/>
        <n v="1055.3499999999999" u="1"/>
        <n v="533.57000000000005" u="1"/>
        <n v="761.64" u="1"/>
        <n v="936.15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491.91" u="1"/>
        <n v="984.2" u="1"/>
        <n v="1096" u="1"/>
        <n v="435.00799999999998" u="1"/>
        <n v="219.01599999999999" u="1"/>
        <n v="340.928" u="1"/>
        <n v="663.3" u="1"/>
        <n v="468.97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891.16" u="1"/>
        <n v="758.7" u="1"/>
        <n v="1596.68" u="1"/>
        <n v="448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1184.22" u="1"/>
        <n v="2099.58" u="1"/>
        <n v="3065.27" u="1"/>
        <n v="2184.21" u="1"/>
        <n v="584.73" u="1"/>
        <n v="98.35" u="1"/>
        <n v="765.25" u="1"/>
        <n v="851.46" u="1"/>
        <n v="224.72800000000001" u="1"/>
        <n v="992.71" u="1"/>
        <n v="188.06" u="1"/>
        <n v="6875.8" u="1"/>
        <n v="2150.46" u="1"/>
        <n v="1282" u="1"/>
        <n v="779.64" u="1"/>
        <n v="282.56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485.1" u="1"/>
        <n v="197" u="1"/>
        <n v="728.00009999999997" u="1"/>
        <n v="524.45000000000005" u="1"/>
        <n v="328.16" u="1"/>
        <n v="984.48" u="1"/>
        <n v="1984.45" u="1"/>
        <n v="1546.95" u="1"/>
        <n v="3624.36" u="1"/>
        <n v="1423.74" u="1"/>
        <n v="909.7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59.91" u="1"/>
        <n v="315.12" u="1"/>
        <n v="850.89" u="1"/>
        <n v="3967.67" u="1"/>
        <n v="993.15" u="1"/>
        <n v="3353" u="1"/>
        <n v="207.11" u="1"/>
        <n v="293.32659999999998" u="1"/>
        <n v="487.73009999999999" u="1"/>
        <n v="1299.7" u="1"/>
        <n v="1000.83" u="1"/>
        <n v="1334.48" u="1"/>
        <n v="9074.4" u="1"/>
        <n v="67.72" u="1"/>
        <n v="1195.2" u="1"/>
        <n v="69.599999999999994" u="1"/>
        <n v="1577.07" u="1"/>
        <n v="795.6" u="1"/>
        <n v="1231" u="1"/>
        <n v="11292" u="1"/>
        <n v="248.13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261.45" u="1"/>
        <n v="135.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2546.8200000000002" u="1"/>
        <n v="631.05999999999995" u="1"/>
        <n v="482.97" u="1"/>
        <n v="630.9" u="1"/>
        <n v="1538.85" u="1"/>
        <n v="1048.26" u="1"/>
        <n v="855.01" u="1"/>
        <n v="598.5" u="1"/>
        <n v="378.9" u="1"/>
        <n v="431.9" u="1"/>
        <n v="667159.17839999998" u="1"/>
        <n v="2110.92" u="1"/>
        <n v="3662.49" u="1"/>
        <n v="12295.79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36.71" u="1"/>
        <n v="441.44" u="1"/>
        <n v="513.46" u="1"/>
        <n v="268.43" u="1"/>
        <n v="277.32" u="1"/>
        <n v="10810.864100000001" u="1"/>
        <n v="796.62" u="1"/>
        <n v="25717.0144" u="1"/>
        <n v="438.77120000000002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424.03199999999998" u="1"/>
        <n v="233.184" u="1"/>
        <n v="1337.5" u="1"/>
        <n v="335.88799999999998" u="1"/>
        <n v="449.45600000000002" u="1"/>
        <n v="1913.6207999999999" u="1"/>
        <n v="783.09" u="1"/>
        <n v="543.79999999999995" u="1"/>
        <n v="345.41" u="1"/>
        <n v="617.79999999999995" u="1"/>
        <n v="334.88" u="1"/>
        <n v="3535.76" u="1"/>
        <n v="1233.1199999999999" u="1"/>
        <n v="658.46249999999998" u="1"/>
        <n v="37205.057999999997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268.57600000000002" u="1"/>
        <n v="660.31650000000002" u="1"/>
        <n v="537.06989999999996" u="1"/>
        <n v="512" u="1"/>
        <n v="496.2" u="1"/>
        <n v="715.64" u="1"/>
        <n v="1178.3" u="1"/>
        <n v="603.18719999999996" u="1"/>
        <n v="2148.328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40205.629999999997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249.63" u="1"/>
        <n v="550.22" u="1"/>
        <n v="666" u="1"/>
        <n v="965.28" u="1"/>
        <n v="404.67" u="1"/>
        <n v="932.3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174.61" u="1"/>
        <n v="139.5" u="1"/>
        <n v="293.76" u="1"/>
        <n v="252.68" u="1"/>
        <n v="260.95999999999998" u="1"/>
        <n v="710.04" u="1"/>
        <n v="309.70999999999998" u="1"/>
        <n v="937.6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1098.2" u="1"/>
        <n v="3381.51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751.74" u="1"/>
        <n v="534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450.58" u="1"/>
        <n v="223.26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3750" u="1"/>
        <n v="10154.73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417.78" u="1"/>
        <n v="1093.6199999999999" u="1"/>
        <n v="212.68" u="1"/>
        <n v="1136" u="1"/>
        <n v="142.4" u="1"/>
        <n v="411" u="1"/>
        <n v="232.82" u="1"/>
        <n v="640.5" u="1"/>
        <n v="1344.6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836.31" u="1"/>
        <n v="1323" u="1"/>
        <n v="1392.96" u="1"/>
        <n v="662.24" u="1"/>
        <n v="315.55" u="1"/>
        <n v="3185.28" u="1"/>
        <n v="533.58000000000004" u="1"/>
        <n v="619.65" u="1"/>
        <n v="67431.44" u="1"/>
        <n v="972.16" u="1"/>
        <n v="402.53" u="1"/>
        <n v="450.44009999999997" u="1"/>
        <n v="251.56700000000001" u="1"/>
        <n v="386.28" u="1"/>
        <n v="228.69" u="1"/>
        <n v="25639.8" u="1"/>
        <n v="1805.06" u="1"/>
        <n v="1825.18" u="1"/>
        <n v="257.93" u="1"/>
        <n v="172.51" u="1"/>
        <n v="1360.8" u="1"/>
        <n v="277.33" u="1"/>
        <n v="195.49" u="1"/>
        <n v="231.8" u="1"/>
        <n v="883.5" u="1"/>
        <n v="443.25" u="1"/>
        <n v="26968.79" u="1"/>
        <n v="1071.75" u="1"/>
        <n v="3445.98" u="1"/>
        <n v="1723.29" u="1"/>
        <n v="192.5" u="1"/>
        <n v="904.19690000000003" u="1"/>
        <n v="940.46" u="1"/>
        <n v="1864.8" u="1"/>
        <n v="7504.65" u="1"/>
        <n v="1911.15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208.98" u="1"/>
        <n v="1110.5999999999999" u="1"/>
        <n v="697" u="1"/>
        <n v="225.9" u="1"/>
        <n v="202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844.42399999999998" u="1"/>
        <n v="1343.1" u="1"/>
        <n v="675.2" u="1"/>
        <n v="365.20499999999998" u="1"/>
        <n v="245.67" u="1"/>
        <n v="201.53" u="1"/>
        <n v="701.12" u="1"/>
        <n v="313.89999999999998" u="1"/>
        <n v="1973" u="1"/>
        <n v="564.64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1632.79" u="1"/>
        <n v="771.37" u="1"/>
        <n v="766.53" u="1"/>
        <n v="1281.3399999999999" u="1"/>
        <n v="592.47990000000004" u="1"/>
        <n v="440.13" u="1"/>
        <n v="269.5" u="1"/>
        <n v="1062.48" u="1"/>
        <n v="644.41999999999996" u="1"/>
        <n v="2711.72" u="1"/>
        <n v="223.45" u="1"/>
        <n v="37557.06" u="1"/>
        <n v="407.54" u="1"/>
        <n v="834.12" u="1"/>
        <n v="1079.57" u="1"/>
        <n v="807.78240000000005" u="1"/>
        <n v="519.45749999999998" u="1"/>
        <n v="837.9" u="1"/>
        <n v="704.35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337.52" u="1"/>
        <n v="90.31" u="1"/>
        <n v="116.59" u="1"/>
        <n v="395.58" u="1"/>
        <n v="1202.52" u="1"/>
        <n v="200.66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2059.42" u="1"/>
        <n v="2899.42" u="1"/>
        <n v="184.02" u="1"/>
        <n v="3972.52" u="1"/>
        <n v="1915.7102" u="1"/>
        <n v="142.9" u="1"/>
        <n v="353.9" u="1"/>
        <n v="4349.09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372" u="1"/>
        <n v="391.6" u="1"/>
        <n v="5810" u="1"/>
        <n v="684" u="1"/>
        <n v="693.79" u="1"/>
        <n v="298.04000000000002" u="1"/>
        <n v="287.02" u="1"/>
        <n v="2256.2572" u="1"/>
        <n v="924.49" u="1"/>
        <n v="924.24" u="1"/>
        <n v="1629.94" u="1"/>
        <n v="847" u="1"/>
        <n v="6056.71" u="1"/>
        <n v="1869.08" u="1"/>
        <n v="2458.3368999999998" u="1"/>
        <n v="524.6925" u="1"/>
        <n v="597.38" u="1"/>
        <n v="1152.1215999999999" u="1"/>
        <n v="433.40640000000002" u="1"/>
        <n v="343.81760000000003" u="1"/>
        <n v="593.27009999999996" u="1"/>
        <n v="788.21119999999996" u="1"/>
        <n v="621.77919999999995" u="1"/>
        <n v="633.42989999999998" u="1"/>
        <n v="423.52800000000002" u="1"/>
        <n v="565.95839999999998" u="1"/>
        <n v="766.24800000000005" u="1"/>
        <n v="260.58" u="1"/>
        <n v="1174.74" u="1"/>
        <n v="3204.35" u="1"/>
        <n v="4058.79" u="1"/>
        <n v="8004.37" u="1"/>
        <n v="830.43" u="1"/>
        <n v="589.89" u="1"/>
        <n v="1008.85" u="1"/>
        <n v="1675.42" u="1"/>
        <n v="1222.6300000000001" u="1"/>
        <n v="333.81" u="1"/>
        <n v="540.80999999999995" u="1"/>
        <n v="453.14" u="1"/>
        <n v="1427.99" u="1"/>
        <n v="365.79" u="1"/>
        <n v="6790.89" u="1"/>
        <n v="568.18320000000006" u="1"/>
        <n v="1045.6199999999999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" u="1"/>
        <n v="2205.9499999999998" u="1"/>
        <n v="824.8" u="1"/>
        <n v="1325.74" u="1"/>
        <n v="395.30329999999998" u="1"/>
        <n v="1065.9000000000001" u="1"/>
        <n v="553.35" u="1"/>
        <n v="316.2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00000000002" u="1"/>
        <n v="408.91" u="1"/>
        <n v="929.65" u="1"/>
        <n v="1414.3" u="1"/>
        <n v="669.6" u="1"/>
        <n v="631.80999999999995" u="1"/>
        <n v="499.19" u="1"/>
        <n v="489.33" u="1"/>
        <n v="870.49109999999996" u="1"/>
        <n v="665.74" u="1"/>
        <n v="1340.78" u="1"/>
        <n v="33234.239999999998" u="1"/>
        <n v="5282.86" u="1"/>
        <n v="1255.56" u="1"/>
        <n v="2686.2" u="1"/>
        <n v="200.52" u="1"/>
        <n v="4708.9744000000001" u="1"/>
        <n v="1992.76" u="1"/>
        <n v="1457.28" u="1"/>
        <n v="2209.86" u="1"/>
        <n v="1425" u="1"/>
        <n v="24225" u="1"/>
        <n v="199.72" u="1"/>
        <n v="876.06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79999999998" u="1"/>
        <n v="419.43" u="1"/>
        <n v="897.00319999999999" u="1"/>
        <n v="1420.1679999999999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2" u="1"/>
        <n v="70945.138800000001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00000000002" u="1"/>
        <n v="766.09" u="1"/>
        <n v="5810.01" u="1"/>
        <n v="2979.89" u="1"/>
        <n v="1732.01" u="1"/>
        <n v="2490.86" u="1"/>
        <n v="1036.8900000000001" u="1"/>
        <n v="1813.42" u="1"/>
        <n v="3632.72" u="1"/>
        <n v="9342.9699999999993" u="1"/>
        <n v="1115.77" u="1"/>
        <n v="972.73" u="1"/>
        <n v="12494.46" u="1"/>
        <n v="10311.299999999999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00000000004" u="1"/>
        <n v="1246.6392000000001" u="1"/>
        <n v="689.83730000000003" u="1"/>
        <n v="381.43" u="1"/>
        <n v="731.32449999999994" u="1"/>
        <n v="842.58" u="1"/>
        <n v="12964.96" u="1"/>
        <n v="330.79" u="1"/>
        <n v="9953.68" u="1"/>
        <n v="11167.2" u="1"/>
        <n v="627.80999999999995" u="1"/>
        <n v="2486.9499999999998" u="1"/>
        <n v="17693.45" u="1"/>
        <n v="304.92" u="1"/>
        <n v="416.83" u="1"/>
        <n v="2850" u="1"/>
        <n v="112.8" u="1"/>
        <n v="597.51" u="1"/>
        <n v="1169.97" u="1"/>
        <n v="788.5" u="1"/>
        <n v="1585.6803" u="1"/>
        <n v="911.44849999999997" u="1"/>
        <n v="1236.4000000000001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156.5" u="1"/>
        <n v="554.49" u="1"/>
        <n v="579.04" u="1"/>
        <n v="333.9" u="1"/>
        <n v="525.34" u="1"/>
        <n v="235.62" u="1"/>
        <n v="293.33" u="1"/>
        <n v="571.05999999999995" u="1"/>
        <n v="500.86" u="1"/>
        <n v="388.08" u="1"/>
        <n v="356.23" u="1"/>
        <n v="2002.48" u="1"/>
        <n v="563.64" u="1"/>
        <n v="751.29" u="1"/>
        <n v="196.06" u="1"/>
        <n v="313.52999999999997" u="1"/>
        <n v="665.6" u="1"/>
        <n v="212.94" u="1"/>
        <n v="342" u="1"/>
        <n v="3478.6080000000002" u="1"/>
        <n v="6110.1" u="1"/>
        <n v="314" u="1"/>
        <n v="1297.31" u="1"/>
        <n v="2263.6" u="1"/>
        <n v="530.45000000000005" u="1"/>
        <n v="1652.89" u="1"/>
        <n v="343.73" u="1"/>
        <n v="7062.21" u="1"/>
        <n v="2055.1999999999998" u="1"/>
        <n v="5946.14" u="1"/>
        <n v="1592.43" u="1"/>
        <n v="2226.9899999999998" u="1"/>
        <n v="619.96" u="1"/>
        <n v="711.01" u="1"/>
        <n v="606.32000000000005" u="1"/>
        <n v="747.74" u="1"/>
        <n v="1475.9" u="1"/>
        <n v="410.14" u="1"/>
        <n v="373.08" u="1"/>
        <n v="1153.8" u="1"/>
        <n v="249.6" u="1"/>
        <n v="313.83999999999997" u="1"/>
        <n v="177.52" u="1"/>
        <n v="1569.5" u="1"/>
        <n v="7663.27" u="1"/>
        <n v="934.47" u="1"/>
        <n v="1624.2012" u="1"/>
        <n v="30237.07" u="1"/>
        <n v="34086.332000000002" u="1"/>
        <n v="1133.6199999999999" u="1"/>
        <n v="11625.27" u="1"/>
        <n v="7573.2" u="1"/>
        <n v="863.8" u="1"/>
        <n v="876.59" u="1"/>
        <n v="679.78359999999998" u="1"/>
        <n v="6789.2596000000003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799999999" u="1"/>
        <n v="9180.4320000000007" u="1"/>
        <n v="1609.3628000000001" u="1"/>
        <n v="493.5" u="1"/>
        <n v="574.20000000000005" u="1"/>
        <n v="152.53" u="1"/>
        <n v="133.27000000000001" u="1"/>
        <n v="16911.426599999999" u="1"/>
        <n v="1082.5999999999999" u="1"/>
        <n v="2011.38" u="1"/>
        <n v="403.7" u="1"/>
        <n v="3143.44" u="1"/>
        <n v="206.47" u="1"/>
        <n v="1685.1859999999999" u="1"/>
        <n v="8015.28" u="1"/>
        <n v="852.69" u="1"/>
        <n v="817.84" u="1"/>
        <n v="769.72" u="1"/>
        <n v="1059.55" u="1"/>
        <n v="872.16" u="1"/>
        <n v="1047.6500000000001" u="1"/>
        <n v="581.96" u="1"/>
        <n v="500.88" u="1"/>
        <n v="3140.48" u="1"/>
        <n v="6577.6030000000001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0000000003" u="1"/>
        <n v="1293.444" u="1"/>
        <n v="831.45550000000003" u="1"/>
        <n v="279.68" u="1"/>
        <n v="97.85" u="1"/>
        <n v="1336.7064" u="1"/>
        <n v="215.52" u="1"/>
        <n v="1206.42" u="1"/>
        <n v="13284.84" u="1"/>
        <n v="20467.509999999998" u="1"/>
        <n v="8861.4" u="1"/>
        <n v="705.82" u="1"/>
        <n v="2005.1" u="1"/>
        <n v="813.8" u="1"/>
        <n v="1302.3800000000001" u="1"/>
        <n v="1458.34" u="1"/>
      </sharedItems>
    </cacheField>
    <cacheField name="Taxa" numFmtId="0">
      <sharedItems containsString="0" containsBlank="1" containsNumber="1" minValue="0" maxValue="10316"/>
    </cacheField>
    <cacheField name="Outras Taxas" numFmtId="0">
      <sharedItems containsString="0" containsBlank="1" containsNumber="1" minValue="0" maxValue="3304.02"/>
    </cacheField>
    <cacheField name="Taxa DU" numFmtId="0">
      <sharedItems containsString="0" containsBlank="1" containsNumber="1" minValue="0" maxValue="347.2"/>
    </cacheField>
    <cacheField name="Taxa BR" numFmtId="0">
      <sharedItems containsString="0" containsBlank="1" containsNumber="1" minValue="0" maxValue="173.08"/>
    </cacheField>
    <cacheField name="Taxa Extra" numFmtId="0">
      <sharedItems containsString="0" containsBlank="1" containsNumber="1" minValue="0" maxValue="943.4"/>
    </cacheField>
    <cacheField name="Fee" numFmtId="0">
      <sharedItems containsString="0" containsBlank="1" containsNumber="1" minValue="0" maxValue="249.12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02-17T14:51:00" endDate="2025-08-13T00:44:00"/>
        <groupItems count="14">
          <s v="&lt;17/02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5"/>
        </groupItems>
      </fieldGroup>
    </cacheField>
    <cacheField name="Trimestres (Data Emissão)" numFmtId="0" databaseField="0">
      <fieldGroup base="12">
        <rangePr groupBy="quarters" startDate="2025-02-17T14:51:00" endDate="2025-08-13T00:44:00"/>
        <groupItems count="6">
          <s v="&lt;17/02/2025"/>
          <s v="Trim1"/>
          <s v="Trim2"/>
          <s v="Trim3"/>
          <s v="Trim4"/>
          <s v="&gt;13/08/2025"/>
        </groupItems>
      </fieldGroup>
    </cacheField>
    <cacheField name="Anos (Data Emissão)" numFmtId="0" databaseField="0">
      <fieldGroup base="12">
        <rangePr groupBy="years" startDate="2025-02-17T14:51:00" endDate="2025-08-13T00:44:00"/>
        <groupItems count="3">
          <s v="&lt;17/02/2025"/>
          <s v="2025"/>
          <s v="&gt;13/08/2025"/>
        </groupItems>
      </fieldGroup>
    </cacheField>
    <cacheField name="Meses (Data Inclusão)" numFmtId="0" databaseField="0">
      <fieldGroup base="3">
        <rangePr groupBy="months" startDate="2025-05-05T11:58:46" endDate="2025-08-13T06:05:06"/>
        <groupItems count="14">
          <s v="&lt;05/05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5"/>
        </groupItems>
      </fieldGroup>
    </cacheField>
    <cacheField name="Trimestres (Data Inclusão)" numFmtId="0" databaseField="0">
      <fieldGroup base="3">
        <rangePr groupBy="quarters" startDate="2025-05-05T11:58:46" endDate="2025-08-13T06:05:06"/>
        <groupItems count="6">
          <s v="&lt;05/05/2025"/>
          <s v="Trim1"/>
          <s v="Trim2"/>
          <s v="Trim3"/>
          <s v="Trim4"/>
          <s v="&gt;13/08/2025"/>
        </groupItems>
      </fieldGroup>
    </cacheField>
    <cacheField name="Anos (Data Inclusão)" numFmtId="0" databaseField="0">
      <fieldGroup base="3">
        <rangePr groupBy="years" startDate="2025-05-05T11:58:46" endDate="2025-08-13T06:05:06"/>
        <groupItems count="3">
          <s v="&lt;05/05/2025"/>
          <s v="2025"/>
          <s v="&gt;13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2">
  <r>
    <n v="22730874"/>
    <n v="23528364"/>
    <s v="ACC01"/>
    <x v="0"/>
    <d v="2025-08-12T16:30:34"/>
    <x v="0"/>
    <x v="0"/>
    <s v="SHQLJQ"/>
    <s v="SABRE"/>
    <s v="OLIVEIRA FERNANDES/ANDRE LUIZ"/>
    <s v="Flavia Constanzi do Nascimento"/>
    <s v="Emilia Alejandra Pacheco Maraboli"/>
    <d v="2025-08-12T00:00:00"/>
    <s v="SHQLJQ"/>
    <s v="-"/>
    <s v="ON LINE"/>
    <s v="Invoice"/>
    <s v="Faturado"/>
    <x v="0"/>
    <s v="N"/>
    <x v="0"/>
    <s v="Atos Brasil Ltda"/>
    <s v="-"/>
    <s v="Latam Airlines Brasil"/>
    <n v="2952815408"/>
    <x v="0"/>
    <s v="-"/>
    <x v="0"/>
    <n v="139.9"/>
    <n v="416.15"/>
    <n v="0"/>
    <n v="139.9"/>
    <n v="0"/>
    <n v="0"/>
    <s v="Reserva importada por HubTravel"/>
    <s v="Centro de custo não preenchido! (ACC01) Empenho/departamento não preenchido! (ACC01) Matrícula não preenchida! (ACC01) Canal de venda não "/>
    <x v="0"/>
    <x v="0"/>
    <s v="Falta de informação Gerencial"/>
    <x v="0"/>
    <s v="Qualidade dos dados"/>
    <s v="KONTIK BUSINESS TRAVEL"/>
    <x v="0"/>
  </r>
  <r>
    <n v="22725410"/>
    <n v="23523637"/>
    <s v="ACC01"/>
    <x v="1"/>
    <d v="2025-08-11T20:11:09"/>
    <x v="0"/>
    <x v="0"/>
    <s v="5GO3DU"/>
    <s v="TMS"/>
    <s v="MARCELO CAMARGO LOPES"/>
    <s v="Tms"/>
    <s v="Tms"/>
    <d v="2025-08-11T14:53:00"/>
    <n v="76405"/>
    <s v="-"/>
    <s v="ON LINE"/>
    <s v="Cartão de crédito"/>
    <s v="Cartão de crédito"/>
    <x v="1"/>
    <s v="N"/>
    <x v="1"/>
    <s v="Ultragaz Comercializadora de Energia"/>
    <s v="-"/>
    <s v="-"/>
    <s v="-"/>
    <x v="0"/>
    <s v="-"/>
    <x v="1"/>
    <n v="0"/>
    <n v="0"/>
    <n v="0"/>
    <n v="0"/>
    <n v="7.59"/>
    <n v="0"/>
    <s v="Reserva importada do Sistema TMS. OS: 76405"/>
    <s v="Fornecedor não preenchido! (ACC01)"/>
    <x v="1"/>
    <x v="1"/>
    <s v="Campo Fornecedor"/>
    <x v="0"/>
    <s v="Sistêmico"/>
    <s v="GRUPO KONTIK"/>
    <x v="1"/>
  </r>
  <r>
    <n v="22729732"/>
    <n v="23527275"/>
    <s v="ACC01"/>
    <x v="2"/>
    <d v="2025-08-12T13:25:30"/>
    <x v="0"/>
    <x v="0"/>
    <s v="5GY7A8"/>
    <s v="TMS"/>
    <s v="MARCOS SILVA OLIVEIRA"/>
    <s v="Tms"/>
    <s v="Tms"/>
    <d v="2025-08-12T10:11:00"/>
    <n v="76929"/>
    <s v="-"/>
    <s v="ON LINE"/>
    <s v="Cartão de crédito"/>
    <s v="Cartão de crédito"/>
    <x v="1"/>
    <s v="N"/>
    <x v="1"/>
    <s v="Ultragaz Comercializadora de Energia"/>
    <s v="-"/>
    <s v="-"/>
    <s v="-"/>
    <x v="0"/>
    <s v="-"/>
    <x v="2"/>
    <n v="0"/>
    <n v="0"/>
    <n v="0"/>
    <n v="0"/>
    <n v="10.130000000000001"/>
    <n v="0"/>
    <s v="Reserva importada do Sistema TMS. OS: 76929"/>
    <s v="Fornecedor não preenchido! (ACC01)"/>
    <x v="1"/>
    <x v="1"/>
    <s v="Campo Fornecedor"/>
    <x v="0"/>
    <s v="Sistêmico"/>
    <s v="GRUPO KONTIK"/>
    <x v="1"/>
  </r>
  <r>
    <n v="22729737"/>
    <n v="23527279"/>
    <s v="ACC01"/>
    <x v="3"/>
    <d v="2025-08-12T13:25:30"/>
    <x v="0"/>
    <x v="0"/>
    <s v="5G7J18"/>
    <s v="TMS"/>
    <s v="ALEXANDRE TEIXEIRA PACHECO"/>
    <s v="Tms"/>
    <s v="Tms"/>
    <d v="2025-08-12T10:07:00"/>
    <n v="76921"/>
    <s v="-"/>
    <s v="ON LINE"/>
    <s v="Cartão de crédito"/>
    <s v="Cartão de crédito"/>
    <x v="1"/>
    <s v="N"/>
    <x v="1"/>
    <s v="Ultragaz Comercializadora de Energia"/>
    <s v="-"/>
    <s v="-"/>
    <s v="-"/>
    <x v="0"/>
    <s v="-"/>
    <x v="3"/>
    <n v="0"/>
    <n v="0"/>
    <n v="0"/>
    <n v="0"/>
    <n v="9.1199999999999992"/>
    <n v="0"/>
    <s v="Reserva importada do Sistema TMS. OS: 76921"/>
    <s v="Fornecedor não preenchido! (ACC01)"/>
    <x v="1"/>
    <x v="1"/>
    <s v="Campo Fornecedor"/>
    <x v="0"/>
    <s v="Sistêmico"/>
    <s v="GRUPO KONTIK"/>
    <x v="1"/>
  </r>
  <r>
    <n v="22729635"/>
    <n v="23527179"/>
    <s v="ACC01"/>
    <x v="4"/>
    <d v="2025-08-13T06:10:21"/>
    <x v="0"/>
    <x v="0"/>
    <s v="5GYSZK"/>
    <s v="TMS"/>
    <s v="SERGIO SIMOES"/>
    <s v="Danielly Bronizio Lopes"/>
    <s v="Danielly Bronizio Lopes"/>
    <d v="2025-08-12T09:19:00"/>
    <n v="75831"/>
    <s v="-"/>
    <s v="OFF LINE"/>
    <s v="Invoice"/>
    <s v="Faturado"/>
    <x v="2"/>
    <s v="N"/>
    <x v="2"/>
    <s v="Aiuka"/>
    <s v="-"/>
    <s v="-"/>
    <s v="-"/>
    <x v="0"/>
    <s v="-"/>
    <x v="4"/>
    <n v="9.9499999999999993"/>
    <n v="0"/>
    <n v="0"/>
    <n v="0"/>
    <n v="0"/>
    <n v="0"/>
    <s v="Reserva importada do Sistema TMS. OS: 75831"/>
    <s v="Fornecedor não preenchido! (ACC01)"/>
    <x v="1"/>
    <x v="1"/>
    <s v="Campo Fornecedor"/>
    <x v="0"/>
    <s v="Qualidade dos dados"/>
    <s v="KONTIK BUSINESS TRAVEL"/>
    <x v="2"/>
  </r>
  <r>
    <n v="22734794"/>
    <n v="23531755"/>
    <s v="ACC01"/>
    <x v="5"/>
    <d v="2025-08-13T06:15:33"/>
    <x v="0"/>
    <x v="0"/>
    <s v="5GXMEO"/>
    <s v="TMS"/>
    <s v="SERGIO SIMOES"/>
    <s v="Tms"/>
    <s v="Tms"/>
    <d v="2025-08-12T08:53:00"/>
    <n v="75902"/>
    <s v="-"/>
    <s v="OFF LINE"/>
    <s v="Invoice"/>
    <s v="Faturado"/>
    <x v="2"/>
    <s v="N"/>
    <x v="2"/>
    <s v="Aiuka"/>
    <s v="-"/>
    <s v="-"/>
    <s v="-"/>
    <x v="0"/>
    <s v="-"/>
    <x v="5"/>
    <n v="7.1"/>
    <n v="0"/>
    <n v="0"/>
    <n v="0"/>
    <n v="0"/>
    <n v="0"/>
    <s v="Reserva importada do Sistema TMS. OS: 75902"/>
    <s v="Fornecedor não preenchido! (ACC01)"/>
    <x v="1"/>
    <x v="1"/>
    <s v="Campo Fornecedor"/>
    <x v="0"/>
    <s v="Qualidade dos dados"/>
    <s v="KONTIK BUSINESS TRAVEL"/>
    <x v="2"/>
  </r>
  <r>
    <n v="22730897"/>
    <n v="23528406"/>
    <s v="ACC01"/>
    <x v="6"/>
    <d v="2025-08-12T16:30:46"/>
    <x v="0"/>
    <x v="0"/>
    <s v="UYJNBN"/>
    <s v="SABRE"/>
    <s v="GONZALEZ/MARIA VERONICA"/>
    <s v="Clayton Alves de Rezende"/>
    <s v="Emilia Alejandra Pacheco Maraboli"/>
    <d v="2025-08-12T00:00:00"/>
    <s v="UYJNBN"/>
    <s v="-"/>
    <s v="ON LINE"/>
    <s v="Cartão de crédito"/>
    <s v="Cartão de crédito"/>
    <x v="0"/>
    <s v="N"/>
    <x v="3"/>
    <s v="Arxada"/>
    <s v="-"/>
    <s v="Aerolineas Argentinas"/>
    <n v="2952820366"/>
    <x v="0"/>
    <s v="-"/>
    <x v="6"/>
    <n v="59.54"/>
    <n v="527.49"/>
    <n v="0"/>
    <n v="59.54"/>
    <n v="0"/>
    <n v="0"/>
    <s v="Reserva importada por HubTravel"/>
    <s v="Centro de custo não preenchido! (ACC01) Empenho/departamento não preenchido! (ACC01) Canal de venda não preenchido! (ACC01)"/>
    <x v="0"/>
    <x v="0"/>
    <s v="Falta de informação Gerencial"/>
    <x v="0"/>
    <s v="Qualidade dos dados"/>
    <s v="KONTIK BUSINESS TRAVEL"/>
    <x v="0"/>
  </r>
  <r>
    <n v="22682882"/>
    <n v="23487228"/>
    <s v="ACC01"/>
    <x v="7"/>
    <d v="2025-08-05T00:15:23"/>
    <x v="1"/>
    <x v="1"/>
    <s v="5FKC78"/>
    <s v="TMS"/>
    <s v="TADEU FERNANDES"/>
    <s v="Ariane de Sousa Farias"/>
    <s v="Ariane de Sousa Farias"/>
    <d v="2025-08-04T19:04:00"/>
    <n v="276"/>
    <s v="-"/>
    <s v="OFF LINE"/>
    <s v="Invoice"/>
    <s v="Faturado"/>
    <x v="1"/>
    <s v="N"/>
    <x v="4"/>
    <s v="Biogaia Ab"/>
    <s v="-"/>
    <s v="-"/>
    <s v="-"/>
    <x v="0"/>
    <s v="-"/>
    <x v="7"/>
    <n v="0"/>
    <n v="0"/>
    <n v="0"/>
    <n v="0"/>
    <n v="0"/>
    <n v="0"/>
    <s v="Reserva importada do Sistema TMS. OS: 276"/>
    <s v="Fornecedor não preenchido! (ACC01)"/>
    <x v="1"/>
    <x v="1"/>
    <s v="Campo Fornecedor"/>
    <x v="0"/>
    <s v="Qualidade dos dados"/>
    <s v="KONTIK BUSINESS TRAVEL"/>
    <x v="2"/>
  </r>
  <r>
    <n v="22726978"/>
    <n v="23525054"/>
    <s v="ACC01"/>
    <x v="8"/>
    <d v="2025-08-13T06:10:21"/>
    <x v="0"/>
    <x v="0"/>
    <s v="5GCMY7"/>
    <s v="TMS"/>
    <s v="DRIELLIE DE MELO"/>
    <s v="Tms"/>
    <s v="Tms"/>
    <d v="2025-08-11T13:10:00"/>
    <n v="75640"/>
    <s v="-"/>
    <s v="OFF LINE"/>
    <s v="Invoice"/>
    <s v="Faturado"/>
    <x v="2"/>
    <s v="N"/>
    <x v="2"/>
    <s v="Aiuka"/>
    <s v="-"/>
    <s v="-"/>
    <s v="-"/>
    <x v="0"/>
    <s v="-"/>
    <x v="5"/>
    <n v="7.1"/>
    <n v="0"/>
    <n v="0"/>
    <n v="0"/>
    <n v="0"/>
    <n v="0"/>
    <s v="Reserva importada do Sistema TMS. OS: 75640"/>
    <s v="Fornecedor não preenchido! (ACC01)"/>
    <x v="1"/>
    <x v="1"/>
    <s v="Campo Fornecedor"/>
    <x v="0"/>
    <s v="Qualidade dos dados"/>
    <s v="KONTIK BUSINESS TRAVEL"/>
    <x v="2"/>
  </r>
  <r>
    <n v="22728403"/>
    <n v="23526021"/>
    <s v="ACC"/>
    <x v="9"/>
    <d v="2025-08-12T09:56:45"/>
    <x v="0"/>
    <x v="0"/>
    <s v="QDSYOF"/>
    <s v="MANUAL"/>
    <s v="LILIANE BARBOSA JESUS"/>
    <s v="Marcelo Soares de Azevedo"/>
    <s v="Marcelo Soares de Azevedo"/>
    <d v="2025-08-12T09:44:00"/>
    <s v="-"/>
    <s v="-"/>
    <s v="OFF LINE"/>
    <s v="Cartão de crédito"/>
    <s v="Cartão de crédito"/>
    <x v="0"/>
    <s v="N"/>
    <x v="5"/>
    <s v="Vertex Farmaceutica do Brasil"/>
    <s v="-"/>
    <s v="Latam Airlines Brasil"/>
    <n v="2952818682"/>
    <x v="1"/>
    <n v="169348"/>
    <x v="8"/>
    <n v="81.08"/>
    <n v="0"/>
    <n v="347.2"/>
    <n v="0"/>
    <n v="0"/>
    <n v="54.72"/>
    <s v="-"/>
    <s v="Ocorreu a seguinte exceção ao gerar a ordem de venda para a accounting: Ocorreu a seguinte exceção ao inserir o item da ordem de venda:  Faltou "/>
    <x v="2"/>
    <x v="2"/>
    <s v="Rateio de centro de custo/projeto"/>
    <x v="1"/>
    <s v="Qualidade dos dados"/>
    <s v="INOVENTS"/>
    <x v="3"/>
  </r>
  <r>
    <n v="22730377"/>
    <n v="23527875"/>
    <s v="ACC01"/>
    <x v="10"/>
    <d v="2025-08-12T14:40:04"/>
    <x v="0"/>
    <x v="0"/>
    <s v="AYSZPQ"/>
    <s v="EBOOKING"/>
    <s v="Jaqueline Bonino"/>
    <s v="Zupper"/>
    <s v="Zupper"/>
    <d v="2025-08-12T14:38:00"/>
    <n v="6807340"/>
    <s v="-"/>
    <s v="OFF LINE"/>
    <s v="Invoice"/>
    <s v="Cartão convênio"/>
    <x v="0"/>
    <s v="N"/>
    <x v="6"/>
    <s v="Zupper Cartao"/>
    <s v="-"/>
    <s v="Gol Linhas Aereas"/>
    <n v="2143299117"/>
    <x v="2"/>
    <s v="-"/>
    <x v="9"/>
    <n v="33.64"/>
    <n v="0"/>
    <n v="52.29"/>
    <n v="0"/>
    <n v="0"/>
    <n v="0"/>
    <s v="-"/>
    <s v="Pnr já existente. A duplicidade de rloc é permitida apenas 6 meses após o último pnr emitido"/>
    <x v="3"/>
    <x v="3"/>
    <s v="Campo RLOC"/>
    <x v="2"/>
    <s v="Qualidade dos dados"/>
    <s v="ZUPPER VIAGENS"/>
    <x v="4"/>
  </r>
  <r>
    <n v="22734093"/>
    <n v="23531368"/>
    <s v="ACC01"/>
    <x v="11"/>
    <d v="2025-08-13T00:45:41"/>
    <x v="0"/>
    <x v="0"/>
    <s v="QHEFPA"/>
    <s v="EBOOKING"/>
    <s v="Hannah Assayag"/>
    <s v="Zupper"/>
    <s v="Zupper"/>
    <d v="2025-08-13T00:41:00"/>
    <n v="6808127"/>
    <s v="-"/>
    <s v="OFF LINE"/>
    <s v="Invoice"/>
    <s v="Cartão convênio"/>
    <x v="0"/>
    <s v="N"/>
    <x v="6"/>
    <s v="Cristiani Oliveira"/>
    <s v="-"/>
    <s v="Latam Airlines Brasil"/>
    <n v="2245618947"/>
    <x v="2"/>
    <s v="-"/>
    <x v="10"/>
    <n v="33.64"/>
    <n v="0"/>
    <n v="0"/>
    <n v="0"/>
    <n v="0"/>
    <n v="64.040000000000006"/>
    <s v="-"/>
    <s v="Não foi possível encontrar configuração válida para Administradora de código 2 e Data transação 13/08/2025"/>
    <x v="3"/>
    <x v="4"/>
    <s v="Análise Benner"/>
    <x v="3"/>
    <s v="Qualidade dos dados"/>
    <s v="ZUPPER VIAGENS"/>
    <x v="4"/>
  </r>
  <r>
    <n v="22734114"/>
    <n v="23531379"/>
    <s v="ACC01"/>
    <x v="12"/>
    <d v="2025-08-13T00:48:30"/>
    <x v="0"/>
    <x v="0"/>
    <s v="BNYPQA"/>
    <s v="EBOOKING"/>
    <s v="Nubia Silva"/>
    <s v="Zupper"/>
    <s v="Zupper"/>
    <d v="2025-08-13T00:44:00"/>
    <n v="6808139"/>
    <s v="-"/>
    <s v="OFF LINE"/>
    <s v="Invoice"/>
    <s v="Cartão convênio"/>
    <x v="0"/>
    <s v="N"/>
    <x v="6"/>
    <s v="Nubia Erica m da silva"/>
    <s v="-"/>
    <s v="Azul Linhas Aereas"/>
    <n v="183917540"/>
    <x v="2"/>
    <s v="-"/>
    <x v="11"/>
    <n v="58.89"/>
    <n v="0"/>
    <n v="0"/>
    <n v="0"/>
    <n v="0"/>
    <n v="147.27000000000001"/>
    <s v="-"/>
    <s v="Não foi possível encontrar configuração válida para Administradora de código 1 e Data transação 13/08/2025"/>
    <x v="3"/>
    <x v="4"/>
    <s v="Análise Benner"/>
    <x v="3"/>
    <s v="Qualidade dos dados"/>
    <s v="ZUPPER VIAGENS"/>
    <x v="4"/>
  </r>
  <r>
    <n v="22733433"/>
    <n v="23530759"/>
    <s v="ACC01"/>
    <x v="13"/>
    <d v="2025-08-12T22:46:10"/>
    <x v="0"/>
    <x v="0"/>
    <s v="MKCKTB"/>
    <s v="EBOOKING"/>
    <s v="Luciene Oliveira"/>
    <s v="Zupper"/>
    <s v="Zupper"/>
    <d v="2025-08-12T22:43:00"/>
    <n v="6807991"/>
    <s v="-"/>
    <s v="OFF LINE"/>
    <s v="Invoice"/>
    <s v="Cartão convênio"/>
    <x v="0"/>
    <s v="N"/>
    <x v="6"/>
    <s v="Luciene Costa de Oliveira"/>
    <s v="-"/>
    <s v="Latam Airlines Brasil"/>
    <n v="2245603129"/>
    <x v="2"/>
    <s v="-"/>
    <x v="12"/>
    <n v="92.53"/>
    <n v="0"/>
    <n v="0"/>
    <n v="0"/>
    <n v="0"/>
    <n v="122.2"/>
    <s v="-"/>
    <s v="Pnr já existente. A duplicidade de rloc é permitida apenas 6 meses após o último pnr emitido"/>
    <x v="3"/>
    <x v="3"/>
    <s v="Campo RLOC"/>
    <x v="2"/>
    <s v="Qualidade dos dados"/>
    <s v="ZUPPER VIAGENS"/>
    <x v="4"/>
  </r>
  <r>
    <n v="22462516"/>
    <n v="23302108"/>
    <s v="ACC01"/>
    <x v="14"/>
    <d v="2025-07-30T11:34:51"/>
    <x v="2"/>
    <x v="2"/>
    <s v="5BOOFQ"/>
    <s v="MANUAL"/>
    <s v="SERGIO HARUO KAWAMATA"/>
    <s v="Patricia Pinato Ferreira Lima"/>
    <s v="Patricia Pinato Ferreira Lima"/>
    <d v="2025-06-26T20:26:00"/>
    <s v="EMERGENCIAL TKT 563982"/>
    <s v="-"/>
    <s v="OFF LINE"/>
    <s v="Cartão de crédito"/>
    <s v="Cartão de crédito"/>
    <x v="1"/>
    <s v="N"/>
    <x v="7"/>
    <s v="Bat Souza Cruz"/>
    <s v="-"/>
    <s v="Grande Hotel Paranavai"/>
    <s v="-"/>
    <x v="3"/>
    <s v="-"/>
    <x v="13"/>
    <n v="0"/>
    <n v="0"/>
    <n v="0"/>
    <n v="0"/>
    <n v="0"/>
    <n v="0"/>
    <s v="atendimento emergencial tkt 563982"/>
    <s v="Necessário cadastrar um contrato para o cliente &quot;&quot;"/>
    <x v="2"/>
    <x v="5"/>
    <s v="Análise Cadastro"/>
    <x v="0"/>
    <s v="Qualidade dos dados"/>
    <s v="KONTIK BUSINESS TRAVEL"/>
    <x v="0"/>
  </r>
  <r>
    <n v="22689919"/>
    <n v="23493494"/>
    <s v="ACC01"/>
    <x v="15"/>
    <d v="2025-08-05T22:50:17"/>
    <x v="1"/>
    <x v="1"/>
    <s v="5GIAFM"/>
    <s v="MANUAL"/>
    <s v="EDER GALVAO"/>
    <s v="Alexandre Fernando Papa"/>
    <s v="Alexandre Fernando Papa"/>
    <d v="2025-08-05T22:38:00"/>
    <s v="-"/>
    <s v="-"/>
    <s v="OFF LINE"/>
    <s v="Cartão de crédito"/>
    <s v="Cartão de crédito"/>
    <x v="1"/>
    <s v="N"/>
    <x v="7"/>
    <s v="Bat Souza Cruz"/>
    <s v="-"/>
    <s v="Morangos Hotel"/>
    <s v="-"/>
    <x v="3"/>
    <s v="-"/>
    <x v="14"/>
    <n v="445.2"/>
    <n v="0"/>
    <n v="0"/>
    <n v="0"/>
    <n v="0"/>
    <n v="0"/>
    <s v="-"/>
    <s v="Necessário cadastrar um contrato para o cliente &quot;&quot;"/>
    <x v="2"/>
    <x v="5"/>
    <s v="Análise Cadastro"/>
    <x v="0"/>
    <s v="Qualidade dos dados"/>
    <s v="KONTIK BUSINESS TRAVEL"/>
    <x v="0"/>
  </r>
  <r>
    <n v="22309387"/>
    <n v="23166592"/>
    <s v="ACC01"/>
    <x v="16"/>
    <d v="2025-08-11T18:48:21"/>
    <x v="0"/>
    <x v="2"/>
    <s v="EHDRII"/>
    <s v="SABRE"/>
    <s v="PESSOA/MAURICIO"/>
    <s v="Wellington Ribeiro da Silva"/>
    <s v="Wellington Ribeiro da Silva"/>
    <d v="2025-05-27T00:00:00"/>
    <s v="EHDRII"/>
    <s v="-"/>
    <s v="ON LINE"/>
    <s v="Invoice"/>
    <s v="TKT"/>
    <x v="0"/>
    <s v="N"/>
    <x v="8"/>
    <s v="Nyasa Empreendimentos"/>
    <s v="-"/>
    <s v="Latam Airlines Brasil"/>
    <n v="2971216362"/>
    <x v="4"/>
    <s v="-"/>
    <x v="15"/>
    <n v="0"/>
    <n v="1139.25"/>
    <n v="0"/>
    <n v="31.44"/>
    <n v="0"/>
    <n v="0"/>
    <s v="Reserva importada por HubTravel"/>
    <s v="Verificação de bilhetes: Bilhete 2971216362 já sendo utilizado para este fornecedor."/>
    <x v="0"/>
    <x v="6"/>
    <s v="Bilhete Já Contabilizado"/>
    <x v="2"/>
    <s v="Qualidade dos dados"/>
    <s v="GRUPO KONTIK"/>
    <x v="5"/>
  </r>
  <r>
    <n v="22728225"/>
    <n v="23525830"/>
    <s v="ACC01"/>
    <x v="17"/>
    <d v="2025-08-12T09:21:09"/>
    <x v="0"/>
    <x v="0"/>
    <s v="OTRTIB"/>
    <s v="SABRE"/>
    <s v="BORTOLOTTO/VANESSA REZENDE"/>
    <s v="Nathalia dos Santos Batista"/>
    <s v="Nathalia dos Santos Batista"/>
    <d v="2025-08-12T06:38:00"/>
    <s v="UMBER-"/>
    <s v="-"/>
    <s v="OFF LINE"/>
    <s v="Cartão de crédito"/>
    <s v="Cartão de crédito"/>
    <x v="0"/>
    <s v="N"/>
    <x v="9"/>
    <s v="Parexel International Pesquisas Clinicas Ltda"/>
    <s v="-"/>
    <s v="Azul Linhas Aereas"/>
    <n v="7700075295"/>
    <x v="5"/>
    <s v="-"/>
    <x v="16"/>
    <n v="102.74"/>
    <n v="0"/>
    <n v="0"/>
    <n v="0"/>
    <n v="0"/>
    <n v="0"/>
    <s v="Reserva importada por HubTravel"/>
    <s v="Matrícula não preenchida! (ACC01) Projeto não preenchido! (ACC01)"/>
    <x v="0"/>
    <x v="0"/>
    <s v="Falta de informação Gerencial"/>
    <x v="0"/>
    <s v="Qualidade dos dados"/>
    <s v="KONTIK BUSINESS TRAVEL"/>
    <x v="6"/>
  </r>
  <r>
    <n v="22728294"/>
    <n v="23525888"/>
    <s v="ACC01"/>
    <x v="18"/>
    <d v="2025-08-13T04:46:13"/>
    <x v="0"/>
    <x v="0"/>
    <s v="NMHZMN"/>
    <s v="SABRE"/>
    <s v="RIZZO/VICTOR ARMANDO"/>
    <s v="Nathalia dos Santos Batista"/>
    <s v="Nathalia dos Santos Batista"/>
    <d v="2025-08-01T07:05:00"/>
    <s v="UMBER-"/>
    <s v="-"/>
    <s v="OFF LINE"/>
    <s v="Cartão de crédito"/>
    <s v="Cartão de crédito"/>
    <x v="0"/>
    <s v="N"/>
    <x v="10"/>
    <s v="Bdb Ferramentas do Brasil Ltda"/>
    <s v="Cliente FEE no POS"/>
    <s v="Azul Linhas Aereas"/>
    <n v="7700075296"/>
    <x v="5"/>
    <s v="-"/>
    <x v="17"/>
    <n v="10316"/>
    <n v="0"/>
    <n v="0"/>
    <n v="0"/>
    <n v="0"/>
    <n v="42"/>
    <s v="Reserva importada por HubTravel"/>
    <s v="Centro de custo não preenchido! (ACC01) Departamento não preenchido! (ACC01)"/>
    <x v="0"/>
    <x v="0"/>
    <s v="Falta de informação Gerencial"/>
    <x v="0"/>
    <s v="Qualidade dos dados"/>
    <s v="KONTIK BUSINESS TRAVEL"/>
    <x v="6"/>
  </r>
  <r>
    <n v="22728296"/>
    <n v="23525891"/>
    <s v="ACC01"/>
    <x v="19"/>
    <d v="2025-08-13T04:46:14"/>
    <x v="0"/>
    <x v="0"/>
    <s v="NKLKLB"/>
    <s v="SABRE"/>
    <s v="ZWIENER JUNIOR/CRISTIANO CARLOS"/>
    <s v="Nathalia dos Santos Batista"/>
    <s v="Nathalia dos Santos Batista"/>
    <d v="2025-08-01T07:16:00"/>
    <s v="UMBER-"/>
    <s v="-"/>
    <s v="OFF LINE"/>
    <s v="Cartão de crédito"/>
    <s v="Cartão de crédito"/>
    <x v="0"/>
    <s v="N"/>
    <x v="10"/>
    <s v="Bdb Ferramentas do Brasil Ltda"/>
    <s v="Cliente FEE no POS"/>
    <s v="Azul Linhas Aereas"/>
    <n v="7700075297"/>
    <x v="5"/>
    <s v="-"/>
    <x v="18"/>
    <n v="103.16"/>
    <n v="0"/>
    <n v="0"/>
    <n v="0"/>
    <n v="0"/>
    <n v="0"/>
    <s v="Reserva importada por HubTravel"/>
    <s v="Centro de custo não preenchido! (ACC01) Departamento não preenchido! (ACC01)"/>
    <x v="0"/>
    <x v="0"/>
    <s v="Falta de informação Gerencial"/>
    <x v="0"/>
    <s v="Qualidade dos dados"/>
    <s v="KONTIK BUSINESS TRAVEL"/>
    <x v="6"/>
  </r>
  <r>
    <n v="22730895"/>
    <n v="23528404"/>
    <s v="ACC01"/>
    <x v="20"/>
    <d v="2025-08-12T16:27:32"/>
    <x v="0"/>
    <x v="0"/>
    <s v="YMUWDY"/>
    <s v="SABRE"/>
    <s v="MEDEIROS/DANIELA"/>
    <s v="Beatrys Ferreira Rocha"/>
    <s v="WS"/>
    <d v="2025-08-12T00:00:00"/>
    <s v="YMUWDY"/>
    <s v="-"/>
    <s v="ON LINE"/>
    <s v="?"/>
    <s v="TKT"/>
    <x v="0"/>
    <s v="N"/>
    <x v="10"/>
    <s v="Bdb Ferramentas do Brasil Ltda"/>
    <s v="Cliente FEE no POS"/>
    <s v="Latam Airlines Brasil"/>
    <n v="2952834977"/>
    <x v="5"/>
    <s v="-"/>
    <x v="19"/>
    <n v="0"/>
    <n v="450"/>
    <n v="0"/>
    <n v="0"/>
    <n v="0"/>
    <n v="0"/>
    <s v="Reserva importada por HubTravel"/>
    <s v="Este cliente não possui permissão para usar este tipo de pagamento e recebimento para este produto."/>
    <x v="0"/>
    <x v="7"/>
    <s v="Forma PG. e REC."/>
    <x v="0"/>
    <s v="Qualidade dos dados"/>
    <s v="KONTIK BUSINESS TRAVEL"/>
    <x v="6"/>
  </r>
  <r>
    <n v="22730898"/>
    <n v="23528407"/>
    <s v="ACC01"/>
    <x v="21"/>
    <d v="2025-08-12T16:27:34"/>
    <x v="0"/>
    <x v="0"/>
    <s v="EHFNHD"/>
    <s v="SABRE"/>
    <s v="DE CARVALHO/DEBORA"/>
    <s v="Itamar de Souza"/>
    <s v="Renata Rosenthal dos Santos"/>
    <d v="2025-08-12T08:23:00"/>
    <s v="EHFNHD"/>
    <s v="-"/>
    <s v="ON LINE"/>
    <s v="?"/>
    <s v="TKT"/>
    <x v="0"/>
    <s v="N"/>
    <x v="11"/>
    <s v="Ihs Brasil Cessao de Infraestruturas S a"/>
    <s v="-"/>
    <s v="Latam Airlines Brasil"/>
    <n v="2952834979"/>
    <x v="5"/>
    <s v="-"/>
    <x v="19"/>
    <n v="0"/>
    <n v="450"/>
    <n v="0"/>
    <n v="72.260000000000005"/>
    <n v="0"/>
    <n v="0"/>
    <s v="Reserva importada por HubTravel"/>
    <s v="Empenho/departamento não preenchido! (ACC01)"/>
    <x v="0"/>
    <x v="8"/>
    <s v="Falta de informação Gerencial"/>
    <x v="0"/>
    <s v="Qualidade dos dados"/>
    <s v="KONTIK BUSINESS TRAVEL"/>
    <x v="6"/>
  </r>
  <r>
    <n v="22708899"/>
    <n v="23510314"/>
    <s v="ACC01"/>
    <x v="22"/>
    <d v="2025-08-08T15:06:21"/>
    <x v="3"/>
    <x v="3"/>
    <s v="UMSDACT"/>
    <s v="SABRE"/>
    <s v="VIEIRA/TATIANA JUNQUEIRA MS"/>
    <s v="CT"/>
    <s v="CT"/>
    <d v="2025-08-08T10:14:00"/>
    <n v="1935413581"/>
    <s v="-"/>
    <s v="ON LINE"/>
    <s v="Invoice"/>
    <s v="Faturado"/>
    <x v="1"/>
    <s v="N"/>
    <x v="11"/>
    <s v="I - Systems"/>
    <s v="-"/>
    <s v="-"/>
    <s v="-"/>
    <x v="5"/>
    <s v="-"/>
    <x v="20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24073"/>
    <n v="23522327"/>
    <s v="ACC01"/>
    <x v="23"/>
    <d v="2025-08-11T17:48:30"/>
    <x v="0"/>
    <x v="0"/>
    <s v="FWLCNJT"/>
    <s v="SABRE"/>
    <s v="LIGEIRO/FELIPE BERTOLUCCI MR"/>
    <s v="CT"/>
    <s v="CT"/>
    <d v="2025-08-11T09:36:00"/>
    <n v="1937624737"/>
    <s v="-"/>
    <s v="ON LINE"/>
    <s v="Cartão de crédito"/>
    <s v="Cartão de crédito"/>
    <x v="1"/>
    <s v="N"/>
    <x v="11"/>
    <s v="Ihs Brasil Cessao de Infraestruturas S a"/>
    <s v="-"/>
    <s v="Bay Park Hotel Resort"/>
    <s v="-"/>
    <x v="5"/>
    <s v="-"/>
    <x v="21"/>
    <n v="0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724073"/>
    <n v="23522328"/>
    <s v="ACC02"/>
    <x v="23"/>
    <d v="2025-08-11T17:48:30"/>
    <x v="0"/>
    <x v="0"/>
    <s v="FWLCNJT"/>
    <s v="SABRE"/>
    <s v="LIGEIRO/FELIPE BERTOLUCCI MR"/>
    <s v="CT"/>
    <s v="CT"/>
    <d v="2025-08-11T09:36:00"/>
    <n v="1937624737"/>
    <s v="-"/>
    <s v="ON LINE"/>
    <s v="Cartão de crédito"/>
    <s v="Cartão de crédito"/>
    <x v="1"/>
    <s v="N"/>
    <x v="11"/>
    <s v="Ihs Brasil Cessao de Infraestruturas S a"/>
    <s v="-"/>
    <s v="-"/>
    <s v="-"/>
    <x v="5"/>
    <s v="-"/>
    <x v="22"/>
    <n v="9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731523"/>
    <n v="23528989"/>
    <s v="ACC01"/>
    <x v="24"/>
    <d v="2025-08-12T18:05:09"/>
    <x v="0"/>
    <x v="0"/>
    <s v="WLVFGC"/>
    <s v="SABRE"/>
    <s v="GUIMARAES RESENDE SANTOS/STEP"/>
    <s v="Itamar de Souza"/>
    <s v="CT"/>
    <d v="2025-08-12T07:01:00"/>
    <n v="1939043609"/>
    <s v="-"/>
    <s v="ON LINE"/>
    <s v="?"/>
    <s v="TKT"/>
    <x v="0"/>
    <s v="N"/>
    <x v="11"/>
    <s v="Ihs Brasil Cessao de Infraestruturas S a"/>
    <s v="-"/>
    <s v="Latam Airlines Brasil"/>
    <n v="2952834985"/>
    <x v="5"/>
    <s v="-"/>
    <x v="19"/>
    <n v="0"/>
    <n v="427.1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684720"/>
    <n v="23488563"/>
    <s v="ACC01"/>
    <x v="25"/>
    <d v="2025-08-05T10:21:39"/>
    <x v="1"/>
    <x v="1"/>
    <s v="UDXTET"/>
    <s v="SABRE"/>
    <s v="MARTINS/ISRAEL MAURICIO"/>
    <s v="WS"/>
    <s v="WS"/>
    <d v="2025-08-04T13:13:00"/>
    <s v="FGFSIG"/>
    <s v="-"/>
    <s v="ON LINE"/>
    <s v="Cartão de crédito"/>
    <s v="Cartão de crédito"/>
    <x v="0"/>
    <s v="N"/>
    <x v="12"/>
    <s v="Glory"/>
    <s v="-"/>
    <s v="Gol Linhas Aereas"/>
    <n v="2142678674"/>
    <x v="5"/>
    <s v="-"/>
    <x v="23"/>
    <n v="85.3"/>
    <n v="0"/>
    <n v="0"/>
    <n v="0"/>
    <n v="0"/>
    <n v="0"/>
    <s v="Reserva importada por HubTravel"/>
    <s v="Centro de custo não preenchido! (ACC01) Matrícula não preenchida! (ACC01) Informação referencial 2 não preenchida! (ACC01) Projeto não preenchido! "/>
    <x v="0"/>
    <x v="0"/>
    <s v="Falta de informação Gerencial"/>
    <x v="0"/>
    <s v="Qualidade dos dados"/>
    <s v="KONTIK BUSINESS TRAVEL"/>
    <x v="2"/>
  </r>
  <r>
    <n v="22667864"/>
    <n v="23475643"/>
    <s v="ACC01"/>
    <x v="26"/>
    <d v="2025-08-05T07:36:19"/>
    <x v="1"/>
    <x v="4"/>
    <s v="AJXNWQT"/>
    <s v="SABRE"/>
    <s v="LIMA/FABIO BARBOSA"/>
    <s v="WS"/>
    <s v="WS"/>
    <d v="2025-08-01T13:24:00"/>
    <s v="AJXNWQ"/>
    <s v="-"/>
    <s v="ON LINE"/>
    <s v="Cartão de crédito"/>
    <s v="Cartão de crédito"/>
    <x v="1"/>
    <s v="N"/>
    <x v="12"/>
    <s v="Glory"/>
    <s v="-"/>
    <s v="Grand Mercure Brasilia Eixo Monumental"/>
    <s v="-"/>
    <x v="5"/>
    <s v="-"/>
    <x v="24"/>
    <n v="27.03"/>
    <n v="0"/>
    <n v="0"/>
    <n v="0"/>
    <n v="0"/>
    <n v="0"/>
    <s v="Reserva importada por HubTravel"/>
    <s v="Matrícula não preenchida! (ACC01)"/>
    <x v="0"/>
    <x v="10"/>
    <s v="Falta de informação Gerencial"/>
    <x v="0"/>
    <s v="Qualidade dos dados"/>
    <s v="KONTIK BUSINESS TRAVEL"/>
    <x v="2"/>
  </r>
  <r>
    <n v="22692217"/>
    <n v="23495214"/>
    <s v="ACC01"/>
    <x v="27"/>
    <d v="2025-08-06T10:19:09"/>
    <x v="1"/>
    <x v="1"/>
    <s v="FQQARC"/>
    <s v="SABRE"/>
    <s v="KIEVITSBOSCH VIEIRA/THAIS KIEVITSBOSCH"/>
    <s v="WS"/>
    <s v="WS"/>
    <d v="2025-08-05T20:28:00"/>
    <s v=" FQQARC"/>
    <s v="-"/>
    <s v="ON LINE"/>
    <s v="Cartão de crédito"/>
    <s v="Cartão de crédito"/>
    <x v="0"/>
    <s v="N"/>
    <x v="13"/>
    <s v="Elanco - Morumbi"/>
    <s v="-"/>
    <s v="Gol Linhas Aereas"/>
    <n v="2142779681"/>
    <x v="5"/>
    <s v="-"/>
    <x v="25"/>
    <n v="60.62"/>
    <n v="0"/>
    <n v="0"/>
    <n v="0"/>
    <n v="0"/>
    <n v="0"/>
    <s v="Reserva importada por HubTravel"/>
    <s v="Finalidade não preenchida! (ACC01)"/>
    <x v="0"/>
    <x v="11"/>
    <s v="Falta de informação Gerencial"/>
    <x v="0"/>
    <s v="Qualidade dos dados"/>
    <s v="KONTIK BUSINESS TRAVEL"/>
    <x v="2"/>
  </r>
  <r>
    <n v="22724500"/>
    <n v="23522740"/>
    <s v="ACC01"/>
    <x v="28"/>
    <d v="2025-08-11T18:27:35"/>
    <x v="0"/>
    <x v="0"/>
    <s v="SHLYBVT"/>
    <s v="SABRE"/>
    <s v="ALENCAR/FABIO FRANCO COSTA DE MR"/>
    <s v="WS"/>
    <s v="WS"/>
    <d v="2025-08-11T14:13:00"/>
    <s v="SHLYBV"/>
    <s v="-"/>
    <s v="ON LINE"/>
    <s v="Cartão de crédito"/>
    <s v="Cartão de crédito"/>
    <x v="1"/>
    <s v="N"/>
    <x v="14"/>
    <s v="Ses Dth"/>
    <s v="-"/>
    <s v="Grand Mercure Brasilia Eixo Monumental"/>
    <s v="-"/>
    <x v="5"/>
    <s v="-"/>
    <x v="26"/>
    <n v="37.950000000000003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0"/>
    <s v="Falta de informação Gerencial"/>
    <x v="0"/>
    <s v="Qualidade dos dados"/>
    <s v="KONTIK BUSINESS TRAVEL"/>
    <x v="2"/>
  </r>
  <r>
    <n v="22724505"/>
    <n v="23522745"/>
    <s v="ACC01"/>
    <x v="29"/>
    <d v="2025-08-11T18:27:36"/>
    <x v="0"/>
    <x v="0"/>
    <s v="WBKZLET"/>
    <s v="SABRE"/>
    <s v="ALENCAR/FABIO FRANCO COSTA DE MR"/>
    <s v="WS"/>
    <s v="WS"/>
    <d v="2025-08-11T14:36:00"/>
    <s v="WBKZLE"/>
    <s v="-"/>
    <s v="ON LINE"/>
    <s v="Cartão de crédito"/>
    <s v="Cartão de crédito"/>
    <x v="1"/>
    <s v="N"/>
    <x v="14"/>
    <s v="Ses Dth"/>
    <s v="-"/>
    <s v="Hotel Simons Plaza"/>
    <s v="-"/>
    <x v="5"/>
    <s v="-"/>
    <x v="27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0"/>
    <s v="Falta de informação Gerencial"/>
    <x v="0"/>
    <s v="Qualidade dos dados"/>
    <s v="KONTIK BUSINESS TRAVEL"/>
    <x v="2"/>
  </r>
  <r>
    <n v="22724507"/>
    <n v="23522747"/>
    <s v="ACC01"/>
    <x v="30"/>
    <d v="2025-08-11T18:27:37"/>
    <x v="0"/>
    <x v="0"/>
    <s v="IFMRIBT"/>
    <s v="SABRE"/>
    <s v="ALENCAR/FABIO FRANCO COSTA DE MR"/>
    <s v="WS"/>
    <s v="WS"/>
    <d v="2025-08-11T14:41:00"/>
    <s v="IFMRIB"/>
    <s v="-"/>
    <s v="ON LINE"/>
    <s v="Cartão de crédito"/>
    <s v="Cartão de crédito"/>
    <x v="1"/>
    <s v="N"/>
    <x v="14"/>
    <s v="Ses Dth"/>
    <s v="-"/>
    <s v="Hotel Simons Plaza"/>
    <s v="-"/>
    <x v="5"/>
    <s v="-"/>
    <x v="28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0"/>
    <s v="Falta de informação Gerencial"/>
    <x v="0"/>
    <s v="Qualidade dos dados"/>
    <s v="KONTIK BUSINESS TRAVEL"/>
    <x v="2"/>
  </r>
  <r>
    <n v="22699175"/>
    <n v="23501462"/>
    <s v="ACC01"/>
    <x v="31"/>
    <d v="2025-08-11T06:18:29"/>
    <x v="0"/>
    <x v="1"/>
    <s v="FAKDZZC"/>
    <s v="SABRE"/>
    <s v="DI SERIO/RICARDO MARTINI MR"/>
    <s v="WS"/>
    <s v="WS"/>
    <d v="2025-08-07T06:19:00"/>
    <s v="FAKDZZ"/>
    <s v="CPT"/>
    <s v="ON LINE"/>
    <s v="Invoice"/>
    <s v="Faturado"/>
    <x v="3"/>
    <s v="N"/>
    <x v="14"/>
    <s v="Ses Dth"/>
    <s v="-"/>
    <s v="Hertz - Sa - Ex - Cape Town - Ex"/>
    <s v="-"/>
    <x v="5"/>
    <s v="-"/>
    <x v="29"/>
    <n v="1726.4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0"/>
    <s v="Falta de informação Gerencial"/>
    <x v="0"/>
    <s v="Qualidade dos dados"/>
    <s v="KONTIK BUSINESS TRAVEL"/>
    <x v="2"/>
  </r>
  <r>
    <n v="22728482"/>
    <n v="23526063"/>
    <s v="ACC01"/>
    <x v="32"/>
    <d v="2025-08-12T10:21:08"/>
    <x v="0"/>
    <x v="0"/>
    <s v="QSZUNG"/>
    <s v="SABRE"/>
    <s v="ALENCAR/FABIO FRANCO COSTA DE"/>
    <s v="WS"/>
    <s v="WS"/>
    <d v="2025-08-11T14:06:00"/>
    <s v="QTENXN"/>
    <s v="-"/>
    <s v="ON LINE"/>
    <s v="Cartão de crédito"/>
    <s v="Cartão de crédito"/>
    <x v="0"/>
    <s v="N"/>
    <x v="14"/>
    <s v="Ses Dth"/>
    <s v="-"/>
    <s v="Gol Linhas Aereas"/>
    <n v="2143233670"/>
    <x v="5"/>
    <s v="-"/>
    <x v="30"/>
    <n v="66.98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0"/>
    <s v="Falta de informação Gerencial"/>
    <x v="0"/>
    <s v="Qualidade dos dados"/>
    <s v="KONTIK BUSINESS TRAVEL"/>
    <x v="2"/>
  </r>
  <r>
    <n v="22730899"/>
    <n v="23528408"/>
    <s v="ACC01"/>
    <x v="33"/>
    <d v="2025-08-12T16:27:35"/>
    <x v="0"/>
    <x v="0"/>
    <s v="GYIGBP"/>
    <s v="SABRE"/>
    <s v="SHIMIZU/FERNANDO NOMA"/>
    <s v="Flavia Constanzi do Nascimento"/>
    <s v="Marcia Pereira dos Santos Soares"/>
    <d v="2025-06-26T13:39:00"/>
    <s v="AD2606251707"/>
    <s v="-"/>
    <s v="OFF LINE"/>
    <s v="Invoice"/>
    <s v="Faturado"/>
    <x v="0"/>
    <s v="N"/>
    <x v="15"/>
    <s v="Adidas do Brasil Ltda"/>
    <s v="-"/>
    <s v="Latam Airlines Brasil"/>
    <n v="9785210000"/>
    <x v="5"/>
    <s v="-"/>
    <x v="31"/>
    <n v="55.65"/>
    <n v="228.16"/>
    <n v="0"/>
    <n v="55.65"/>
    <n v="0"/>
    <n v="0"/>
    <s v="Reserva importada por HubTravel"/>
    <s v="Falta informar o status no trecho da accounting aérea (Bilhete: 9785210000)"/>
    <x v="0"/>
    <x v="12"/>
    <s v="Atualização de Trechos"/>
    <x v="0"/>
    <s v="Qualidade dos dados"/>
    <s v="KONTIK BUSINESS TRAVEL"/>
    <x v="6"/>
  </r>
  <r>
    <n v="22730899"/>
    <n v="23528409"/>
    <s v="ACC02"/>
    <x v="33"/>
    <d v="2025-08-12T16:27:35"/>
    <x v="0"/>
    <x v="0"/>
    <s v="GYIGBP"/>
    <s v="SABRE"/>
    <s v="SHIMIZU/FERNANDO NOMA"/>
    <s v="Flavia Constanzi do Nascimento"/>
    <s v="Marcia Pereira dos Santos Soares"/>
    <d v="2025-06-26T13:39:00"/>
    <s v="AD2606251707"/>
    <s v="-"/>
    <s v="OFF LINE"/>
    <s v="?"/>
    <s v="TKT"/>
    <x v="0"/>
    <s v="N"/>
    <x v="15"/>
    <s v="Adidas do Brasil Ltda"/>
    <s v="-"/>
    <s v="Latam Airlines Brasil"/>
    <n v="9785210000"/>
    <x v="5"/>
    <s v="-"/>
    <x v="19"/>
    <n v="3.89"/>
    <n v="0"/>
    <n v="0"/>
    <n v="3.89"/>
    <n v="0"/>
    <n v="0"/>
    <s v="Reserva importada por HubTravel"/>
    <s v="Falta informar o status no trecho da accounting aérea (Bilhete: 9785210000)"/>
    <x v="0"/>
    <x v="12"/>
    <s v="Atualização de Trechos"/>
    <x v="0"/>
    <s v="Qualidade dos dados"/>
    <s v="KONTIK BUSINESS TRAVEL"/>
    <x v="6"/>
  </r>
  <r>
    <n v="22693671"/>
    <n v="23496581"/>
    <s v="ACC01"/>
    <x v="34"/>
    <d v="2025-08-06T13:38:19"/>
    <x v="1"/>
    <x v="1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15"/>
    <s v="Adidas do Brasil Ltda"/>
    <s v="-"/>
    <s v="Latam Airlines Brasil"/>
    <n v="2971270833"/>
    <x v="5"/>
    <s v="-"/>
    <x v="32"/>
    <n v="55.65"/>
    <n v="256.97000000000003"/>
    <n v="0"/>
    <n v="55.65"/>
    <n v="0"/>
    <n v="0"/>
    <s v="Reserva importada por HubTravel"/>
    <s v="Verificação de bilhetes: Bilhete 2971270833 já sendo utilizado para este fornecedor."/>
    <x v="0"/>
    <x v="6"/>
    <s v="Bilhete Já Contabilizado"/>
    <x v="2"/>
    <s v="Qualidade dos dados"/>
    <s v="GRUPO KONTIK"/>
    <x v="5"/>
  </r>
  <r>
    <n v="22693671"/>
    <n v="23496582"/>
    <s v="ACC02"/>
    <x v="34"/>
    <d v="2025-08-06T13:38:19"/>
    <x v="1"/>
    <x v="1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15"/>
    <s v="Adidas do Brasil Ltda"/>
    <s v="-"/>
    <s v="Latam Airlines Brasil"/>
    <n v="1918239181"/>
    <x v="5"/>
    <s v="-"/>
    <x v="33"/>
    <n v="0"/>
    <n v="0"/>
    <n v="0"/>
    <n v="0"/>
    <n v="0"/>
    <n v="0"/>
    <s v="Reserva importada por HubTravel"/>
    <s v="Verificação de bilhetes: Bilhete 2971270833 já sendo utilizado para este fornecedor."/>
    <x v="0"/>
    <x v="6"/>
    <s v="Bilhete Já Contabilizado"/>
    <x v="2"/>
    <s v="Qualidade dos dados"/>
    <s v="GRUPO KONTIK"/>
    <x v="5"/>
  </r>
  <r>
    <n v="22693671"/>
    <n v="23496583"/>
    <s v="ACC03"/>
    <x v="34"/>
    <d v="2025-08-06T13:38:19"/>
    <x v="1"/>
    <x v="1"/>
    <s v="MTEZKG"/>
    <s v="SABRE"/>
    <s v="SERPA/DANIELLE RODRIGUES CHIC"/>
    <s v="Flavia Constanzi do Nascimento"/>
    <s v="WS"/>
    <d v="2025-07-31T15:41:00"/>
    <s v="MTEZKG"/>
    <s v="-"/>
    <s v="ON LINE"/>
    <s v="Cartão de crédito"/>
    <s v="Cartão AMEX"/>
    <x v="0"/>
    <s v="N"/>
    <x v="15"/>
    <s v="Adidas do Brasil Ltda"/>
    <s v="-"/>
    <s v="Latam Airlines Brasil"/>
    <n v="1918239182"/>
    <x v="5"/>
    <s v="-"/>
    <x v="33"/>
    <n v="0"/>
    <n v="39.68"/>
    <n v="0"/>
    <n v="0"/>
    <n v="0"/>
    <n v="0"/>
    <s v="Reserva importada por HubTravel"/>
    <s v="Verificação de bilhetes: Bilhete 2971270833 já sendo utilizado para este fornecedor."/>
    <x v="0"/>
    <x v="6"/>
    <s v="Bilhete Já Contabilizado"/>
    <x v="2"/>
    <s v="Qualidade dos dados"/>
    <s v="GRUPO KONTIK"/>
    <x v="5"/>
  </r>
  <r>
    <n v="22732183"/>
    <n v="23529631"/>
    <s v="ACC01"/>
    <x v="35"/>
    <d v="2025-08-12T18:33:59"/>
    <x v="0"/>
    <x v="0"/>
    <s v="LA9579436TNIH"/>
    <s v="EBOOKING"/>
    <s v="Kamnitzer/Bernardo"/>
    <s v="Kontrip"/>
    <s v="Kontrip"/>
    <d v="2025-08-12T05:42:00"/>
    <s v="-"/>
    <s v="-"/>
    <s v="OFF LINE"/>
    <s v="Cartão de crédito"/>
    <s v="Cartão de crédito"/>
    <x v="0"/>
    <s v="N"/>
    <x v="16"/>
    <s v="Orange 2006 Comunicacao Digital Ltda"/>
    <s v="-"/>
    <s v="Latam Airlines Brasil"/>
    <n v="2245553084"/>
    <x v="6"/>
    <s v="-"/>
    <x v="34"/>
    <n v="60.62"/>
    <n v="0"/>
    <n v="0"/>
    <n v="0"/>
    <n v="0"/>
    <n v="40.81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2394"/>
    <n v="23529831"/>
    <s v="ACC01"/>
    <x v="36"/>
    <d v="2025-08-12T18:45:56"/>
    <x v="0"/>
    <x v="0"/>
    <s v="YOSDCQ"/>
    <s v="EBOOKING"/>
    <s v="POLTRONIERI/MARCELLO"/>
    <s v="Kontrip"/>
    <s v="Kontrip"/>
    <d v="2025-08-12T06:43:00"/>
    <s v="-"/>
    <s v="-"/>
    <s v="OFF LINE"/>
    <s v="Cartão de crédito"/>
    <s v="Cartão de crédito"/>
    <x v="0"/>
    <s v="N"/>
    <x v="16"/>
    <s v="Cinesystem S.a."/>
    <s v="-"/>
    <s v="Gol Linhas Aereas"/>
    <n v="2143317777"/>
    <x v="6"/>
    <s v="-"/>
    <x v="35"/>
    <n v="0"/>
    <n v="0"/>
    <n v="0"/>
    <n v="0"/>
    <n v="0"/>
    <n v="8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2394"/>
    <n v="23529832"/>
    <s v="ACC02"/>
    <x v="36"/>
    <d v="2025-08-12T18:45:56"/>
    <x v="0"/>
    <x v="0"/>
    <s v="YOSDCQ"/>
    <s v="EBOOKING"/>
    <s v="FALCÃO DA SILVA/TAMIRIS"/>
    <s v="Kontrip"/>
    <s v="Kontrip"/>
    <d v="2025-08-12T06:43:00"/>
    <s v="-"/>
    <s v="-"/>
    <s v="OFF LINE"/>
    <s v="Cartão de crédito"/>
    <s v="Cartão de crédito"/>
    <x v="0"/>
    <s v="N"/>
    <x v="16"/>
    <s v="Cinesystem S.a."/>
    <s v="-"/>
    <s v="Gol Linhas Aereas"/>
    <n v="2143317787"/>
    <x v="6"/>
    <s v="-"/>
    <x v="35"/>
    <n v="0"/>
    <n v="0"/>
    <n v="0"/>
    <n v="0"/>
    <n v="0"/>
    <n v="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1936"/>
    <n v="23529387"/>
    <s v="ACC01"/>
    <x v="37"/>
    <d v="2025-08-12T18:21:48"/>
    <x v="0"/>
    <x v="0"/>
    <s v="VHF26F"/>
    <s v="EBOOKING"/>
    <s v="PAULINO DA SILVA/MARCOS"/>
    <s v="Kontrip"/>
    <s v="Kontrip"/>
    <d v="2025-08-12T02:53:00"/>
    <s v="-"/>
    <s v="-"/>
    <s v="OFF LINE"/>
    <s v="Cartão de crédito"/>
    <s v="Cartão de crédito"/>
    <x v="0"/>
    <s v="N"/>
    <x v="16"/>
    <s v="Pailon Comunicacao Visual Ltda"/>
    <s v="-"/>
    <s v="Azul Linhas Aereas"/>
    <n v="362621474"/>
    <x v="6"/>
    <s v="-"/>
    <x v="36"/>
    <n v="48.16"/>
    <n v="0"/>
    <n v="0"/>
    <n v="0"/>
    <n v="0"/>
    <n v="224.36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2927"/>
    <n v="23530344"/>
    <s v="ACC01"/>
    <x v="38"/>
    <d v="2025-08-12T19:45:54"/>
    <x v="0"/>
    <x v="0"/>
    <s v="LA9578248RPER"/>
    <s v="EBOOKING"/>
    <s v="GUERRA/BRUNO"/>
    <s v="Kontrip"/>
    <s v="Kontrip"/>
    <d v="2025-08-12T06:04:00"/>
    <s v="-"/>
    <s v="-"/>
    <s v="OFF LINE"/>
    <s v="Cartão de crédito"/>
    <s v="Cartão de crédito"/>
    <x v="0"/>
    <s v="N"/>
    <x v="16"/>
    <s v="Inteligencia de Negocios Sistemas e Informatica Ltda"/>
    <s v="-"/>
    <s v="Latam Airlines Brasil"/>
    <n v="2245572251"/>
    <x v="6"/>
    <s v="-"/>
    <x v="37"/>
    <n v="245.88"/>
    <n v="0"/>
    <n v="154.43"/>
    <n v="0"/>
    <n v="0"/>
    <n v="141.63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3023"/>
    <n v="23530418"/>
    <s v="ACC01"/>
    <x v="39"/>
    <d v="2025-08-12T20:42:53"/>
    <x v="0"/>
    <x v="0"/>
    <s v="MODVSL"/>
    <s v="EBOOKING"/>
    <s v="Luiza Lima dos Santos/Bruna"/>
    <s v="Kontrip"/>
    <s v="Kontrip"/>
    <d v="2025-08-12T08:34:00"/>
    <s v="-"/>
    <s v="-"/>
    <s v="OFF LINE"/>
    <s v="Cartão de crédito"/>
    <s v="Cartão de crédito"/>
    <x v="0"/>
    <s v="N"/>
    <x v="16"/>
    <s v="Rcs Tecnologia S/a"/>
    <s v="-"/>
    <s v="Latam Airlines Brasil"/>
    <n v="2245581911"/>
    <x v="6"/>
    <s v="-"/>
    <x v="38"/>
    <n v="0"/>
    <n v="0"/>
    <n v="0"/>
    <n v="0"/>
    <n v="0"/>
    <n v="40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651101"/>
    <n v="23460675"/>
    <s v="ACC01"/>
    <x v="40"/>
    <d v="2025-07-31T09:54:58"/>
    <x v="2"/>
    <x v="4"/>
    <s v="MQU7YH01"/>
    <s v="EBOOKING"/>
    <s v="GONÇALVES/GUSTAVO"/>
    <s v="Kontrip"/>
    <s v="Kontrip"/>
    <d v="2025-07-29T06:27:00"/>
    <s v="-"/>
    <s v="-"/>
    <s v="OFF LINE"/>
    <s v="?"/>
    <s v="?"/>
    <x v="0"/>
    <s v="S"/>
    <x v="16"/>
    <s v="Associacao Colo de Deus e Santissima Virgem (a.c.d.s.v)"/>
    <s v="-"/>
    <s v="Azul Linhas Aereas"/>
    <n v="980419988"/>
    <x v="6"/>
    <s v="-"/>
    <x v="39"/>
    <n v="36.67"/>
    <n v="0"/>
    <n v="0"/>
    <n v="0"/>
    <n v="0"/>
    <n v="92.72"/>
    <s v="obs"/>
    <s v=" Módulo Operações    -&gt; Configurações      -&gt; Configurações do sistema turismo        -&gt; Importação das vendas          -&gt; Entradas/Saídas  Para o "/>
    <x v="4"/>
    <x v="9"/>
    <s v="Forma PG. e REC."/>
    <x v="0"/>
    <s v="Qualidade dos dados"/>
    <s v="KONTRIP VIAGENS"/>
    <x v="7"/>
  </r>
  <r>
    <n v="22686963"/>
    <n v="23490647"/>
    <s v="ACC01"/>
    <x v="41"/>
    <d v="2025-08-06T18:28:02"/>
    <x v="1"/>
    <x v="1"/>
    <s v="YOVNRQ"/>
    <s v="EBOOKING"/>
    <s v="ALMEIDA/LUIZ"/>
    <s v="Kontrip"/>
    <s v="Kontrip"/>
    <d v="2025-08-05T03:39:00"/>
    <s v="-"/>
    <s v="-"/>
    <s v="OFF LINE"/>
    <s v="Invoice"/>
    <s v="Cartão convênio"/>
    <x v="0"/>
    <s v="S"/>
    <x v="16"/>
    <s v="Araforros Ind e Comercio de Perfilados Ltda Em Recuperacao Judicial"/>
    <s v="-"/>
    <s v="Azul Linhas Aereas"/>
    <n v="3023498529"/>
    <x v="6"/>
    <s v="-"/>
    <x v="40"/>
    <n v="0"/>
    <n v="0"/>
    <n v="0"/>
    <n v="0"/>
    <n v="0"/>
    <n v="0"/>
    <s v="obs"/>
    <s v="Validação do documento: Valor dever ser maior que zero !"/>
    <x v="4"/>
    <x v="4"/>
    <s v="Análise Benner"/>
    <x v="3"/>
    <s v="Qualidade dos dados"/>
    <s v="KONTRIP VIAGENS"/>
    <x v="7"/>
  </r>
  <r>
    <n v="22692401"/>
    <n v="23495383"/>
    <s v="ACC01"/>
    <x v="42"/>
    <d v="2025-08-06T10:55:59"/>
    <x v="1"/>
    <x v="1"/>
    <s v="NRFVAS"/>
    <s v="MANUAL"/>
    <s v="Cardoso/Felipe"/>
    <s v="Kontrip"/>
    <s v="Kontrip"/>
    <d v="2025-07-31T01:10:00"/>
    <s v="-"/>
    <s v="-"/>
    <s v="OFF LINE"/>
    <s v="Cartão de crédito"/>
    <s v="Cartão de crédito"/>
    <x v="0"/>
    <s v="S"/>
    <x v="16"/>
    <s v="Kontrip - Vendas Cartao de Credito"/>
    <s v="-"/>
    <s v="Latam Airlines Brasil"/>
    <n v="2243683469"/>
    <x v="6"/>
    <s v="-"/>
    <x v="41"/>
    <n v="30.95"/>
    <n v="0"/>
    <n v="59.03"/>
    <n v="0"/>
    <n v="0"/>
    <n v="0"/>
    <s v="obsCancelamento VOID do pax FELIPE CARDOSO"/>
    <s v="Verificação de bilhetes: Bilhete 2243683469 já sendo utilizado para este fornecedor."/>
    <x v="4"/>
    <x v="6"/>
    <s v="Bilhete Já Contabilizado"/>
    <x v="2"/>
    <s v="Qualidade dos dados"/>
    <s v="KONTRIP VIAGENS"/>
    <x v="7"/>
  </r>
  <r>
    <n v="22693812"/>
    <n v="23496718"/>
    <s v="ACC01"/>
    <x v="43"/>
    <d v="2025-08-06T13:50:13"/>
    <x v="1"/>
    <x v="1"/>
    <s v="II9WRC"/>
    <s v="EBOOKING"/>
    <s v="EMILIO BRANDAO DE ARAUJO/CARLOS"/>
    <s v="Kontrip"/>
    <s v="Kontrip"/>
    <d v="2025-08-06T01:45:00"/>
    <s v="-"/>
    <s v="-"/>
    <s v="OFF LINE"/>
    <s v="Cartão de crédito"/>
    <s v="Cartão de crédito"/>
    <x v="0"/>
    <s v="N"/>
    <x v="16"/>
    <s v="Conorte Servicos Industriais Ltda"/>
    <s v="-"/>
    <s v="Azul Linhas Aereas"/>
    <n v="863078581"/>
    <x v="6"/>
    <s v="-"/>
    <x v="42"/>
    <n v="0"/>
    <n v="0"/>
    <n v="0"/>
    <n v="0"/>
    <n v="0"/>
    <n v="4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693553"/>
    <n v="23496484"/>
    <s v="ACC01"/>
    <x v="44"/>
    <d v="2025-08-06T12:55:23"/>
    <x v="1"/>
    <x v="1"/>
    <s v="EFCSHY"/>
    <s v="EBOOKING"/>
    <s v="ROGERIO DE FRANÇA/PAULO"/>
    <s v="Kontrip"/>
    <s v="Kontrip"/>
    <d v="2025-08-06T12:51:00"/>
    <s v="-"/>
    <s v="-"/>
    <s v="OFF LINE"/>
    <s v="Cartão de crédito"/>
    <s v="Cartão de crédito"/>
    <x v="0"/>
    <s v="N"/>
    <x v="16"/>
    <s v="Mei Instalacao Industrial Ltda"/>
    <s v="-"/>
    <s v="Azul Linhas Aereas"/>
    <n v="442777606"/>
    <x v="6"/>
    <s v="-"/>
    <x v="43"/>
    <n v="0"/>
    <n v="0"/>
    <n v="0"/>
    <n v="0"/>
    <n v="0"/>
    <n v="4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00070"/>
    <n v="23502309"/>
    <s v="ACC01"/>
    <x v="45"/>
    <d v="2025-08-07T11:56:50"/>
    <x v="1"/>
    <x v="1"/>
    <s v="YM1U2G"/>
    <s v="EBOOKING"/>
    <s v="ESTEVAO PERDIGAO DE MIRANDA/LUIZ"/>
    <s v="Kontrip"/>
    <s v="Kontrip"/>
    <d v="2025-08-07T11:48:00"/>
    <s v="-"/>
    <s v="-"/>
    <s v="OFF LINE"/>
    <s v="Cartão de crédito"/>
    <s v="Cartão de crédito"/>
    <x v="0"/>
    <s v="N"/>
    <x v="16"/>
    <s v="Kontrip - Vendas Cartao de Credito"/>
    <s v="-"/>
    <s v="Azul Linhas Aereas"/>
    <n v="743416547"/>
    <x v="6"/>
    <s v="-"/>
    <x v="44"/>
    <n v="87.96"/>
    <n v="0"/>
    <n v="0"/>
    <n v="0"/>
    <n v="0"/>
    <n v="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00473"/>
    <n v="23502703"/>
    <s v="ACC01"/>
    <x v="46"/>
    <d v="2025-08-07T12:28:19"/>
    <x v="1"/>
    <x v="1"/>
    <s v="WAQULI"/>
    <s v="EBOOKING"/>
    <s v="Santos Junior/Roberto"/>
    <s v="Kontrip"/>
    <s v="Kontrip"/>
    <d v="2025-08-07T12:23:00"/>
    <s v="-"/>
    <s v="-"/>
    <s v="OFF LINE"/>
    <s v="Cartão de crédito"/>
    <s v="Cartão de crédito"/>
    <x v="0"/>
    <s v="N"/>
    <x v="16"/>
    <s v="Memora"/>
    <s v="-"/>
    <s v="Latam Airlines Brasil"/>
    <n v="2244411354"/>
    <x v="6"/>
    <s v="-"/>
    <x v="45"/>
    <n v="80.69"/>
    <n v="0"/>
    <n v="0"/>
    <n v="0"/>
    <n v="0"/>
    <n v="88.19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00765"/>
    <n v="23502981"/>
    <s v="ACC01"/>
    <x v="47"/>
    <d v="2025-08-07T12:43:35"/>
    <x v="1"/>
    <x v="1"/>
    <s v="CME1UD"/>
    <s v="EBOOKING"/>
    <s v="MARIO MOUTINHO/LUIZ"/>
    <s v="Kontrip"/>
    <s v="Kontrip"/>
    <d v="2025-08-07T12:40:00"/>
    <s v="-"/>
    <s v="-"/>
    <s v="OFF LINE"/>
    <s v="Cartão de crédito"/>
    <s v="Cartão de crédito"/>
    <x v="0"/>
    <s v="N"/>
    <x v="16"/>
    <s v="Kontrip - Vendas Cartao de Credito"/>
    <s v="-"/>
    <s v="Azul Linhas Aereas"/>
    <n v="781870213"/>
    <x v="6"/>
    <s v="-"/>
    <x v="46"/>
    <n v="119.51"/>
    <n v="0"/>
    <n v="201.31"/>
    <n v="0"/>
    <n v="0"/>
    <n v="66.430000000000007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0623"/>
    <n v="23528103"/>
    <s v="ACC01"/>
    <x v="48"/>
    <d v="2025-08-12T15:37:02"/>
    <x v="0"/>
    <x v="0"/>
    <s v="FEORVQ"/>
    <s v="EBOOKING"/>
    <s v="CARVALHO/KAINAN"/>
    <s v="Kontrip"/>
    <s v="Kontrip"/>
    <d v="2025-08-12T03:33:00"/>
    <s v="-"/>
    <s v="-"/>
    <s v="OFF LINE"/>
    <s v="Invoice"/>
    <s v="Cartão convênio"/>
    <x v="0"/>
    <s v="N"/>
    <x v="16"/>
    <s v="Kontrip - Vendas Cartao de Credito"/>
    <s v="-"/>
    <s v="Gol Linhas Aereas"/>
    <n v="2143293256"/>
    <x v="6"/>
    <s v="-"/>
    <x v="19"/>
    <n v="0"/>
    <n v="0"/>
    <n v="0"/>
    <n v="0"/>
    <n v="0"/>
    <n v="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0623"/>
    <n v="23528104"/>
    <s v="ACC02"/>
    <x v="48"/>
    <d v="2025-08-12T15:37:02"/>
    <x v="0"/>
    <x v="0"/>
    <s v="FEORVQ"/>
    <s v="EBOOKING"/>
    <s v="Lindolfo Gomes/Luana"/>
    <s v="Kontrip"/>
    <s v="Kontrip"/>
    <d v="2025-08-12T03:33:00"/>
    <s v="-"/>
    <s v="-"/>
    <s v="OFF LINE"/>
    <s v="Invoice"/>
    <s v="Cartão convênio"/>
    <x v="0"/>
    <s v="N"/>
    <x v="16"/>
    <s v="Kontrip - Vendas Cartao de Credito"/>
    <s v="-"/>
    <s v="Gol Linhas Aereas"/>
    <n v="2143293257"/>
    <x v="6"/>
    <s v="-"/>
    <x v="40"/>
    <n v="0"/>
    <n v="0"/>
    <n v="0"/>
    <n v="0"/>
    <n v="0"/>
    <n v="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0693"/>
    <n v="23528171"/>
    <s v="ACC01"/>
    <x v="49"/>
    <d v="2025-08-12T15:51:41"/>
    <x v="0"/>
    <x v="0"/>
    <s v="LA9570032FKAY"/>
    <s v="EBOOKING"/>
    <s v="Eduardo Monteiro Miranda/José"/>
    <s v="Kontrip"/>
    <s v="Kontrip"/>
    <d v="2025-08-12T01:59:00"/>
    <s v="-"/>
    <s v="-"/>
    <s v="OFF LINE"/>
    <s v="Cartão de crédito"/>
    <s v="Cartão de crédito"/>
    <x v="0"/>
    <s v="N"/>
    <x v="16"/>
    <s v="Associacao Renova Br"/>
    <s v="-"/>
    <s v="Latam Airlines Brasil"/>
    <n v="2245525503"/>
    <x v="6"/>
    <s v="-"/>
    <x v="47"/>
    <n v="91.57"/>
    <n v="0"/>
    <n v="223.58"/>
    <n v="0"/>
    <n v="0"/>
    <n v="147.57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0737"/>
    <n v="23528229"/>
    <s v="ACC01"/>
    <x v="50"/>
    <d v="2025-08-12T16:04:59"/>
    <x v="0"/>
    <x v="0"/>
    <s v="YI8EMF"/>
    <s v="EBOOKING"/>
    <s v="RODRIGUES NETO/VASCO"/>
    <s v="Kontrip"/>
    <s v="Kontrip"/>
    <d v="2025-08-12T03:58:00"/>
    <s v="-"/>
    <s v="-"/>
    <s v="OFF LINE"/>
    <s v="Cartão de crédito"/>
    <s v="Cartão de crédito"/>
    <x v="0"/>
    <s v="N"/>
    <x v="16"/>
    <s v="Kontrip - Vendas Cartao de Credito"/>
    <s v="-"/>
    <s v="Azul Linhas Aereas"/>
    <n v="217902719"/>
    <x v="6"/>
    <s v="-"/>
    <x v="48"/>
    <n v="120.57"/>
    <n v="0"/>
    <n v="0"/>
    <n v="0"/>
    <n v="0"/>
    <n v="39.64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9862"/>
    <n v="23527394"/>
    <s v="ACC01"/>
    <x v="51"/>
    <d v="2025-08-12T12:49:03"/>
    <x v="0"/>
    <x v="0"/>
    <s v="AQLNTC"/>
    <s v="EBOOKING"/>
    <s v="CORREIA DOS SANTOS BORTOLUZZI/CAROLINA"/>
    <s v="Kontrip"/>
    <s v="Kontrip"/>
    <d v="2025-08-12T11:47:00"/>
    <s v="-"/>
    <s v="-"/>
    <s v="OFF LINE"/>
    <s v="Cartão de crédito"/>
    <s v="Cartão de crédito"/>
    <x v="0"/>
    <s v="N"/>
    <x v="16"/>
    <s v="Mobiauto Edicao de Anuncios On Line Ltda"/>
    <s v="-"/>
    <s v="Gol Linhas Aereas"/>
    <n v="2143287635"/>
    <x v="6"/>
    <s v="-"/>
    <x v="49"/>
    <n v="108.53"/>
    <n v="0"/>
    <n v="66.819999999999993"/>
    <n v="0"/>
    <n v="0"/>
    <n v="14.7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9862"/>
    <n v="23527395"/>
    <s v="ACC02"/>
    <x v="51"/>
    <d v="2025-08-12T12:49:03"/>
    <x v="0"/>
    <x v="0"/>
    <s v="AQLNTC"/>
    <s v="EBOOKING"/>
    <s v="Henrique Brugnago/Diogo"/>
    <s v="Kontrip"/>
    <s v="Kontrip"/>
    <d v="2025-08-12T11:47:00"/>
    <s v="-"/>
    <s v="-"/>
    <s v="OFF LINE"/>
    <s v="Cartão de crédito"/>
    <s v="Cartão de crédito"/>
    <x v="0"/>
    <s v="N"/>
    <x v="16"/>
    <s v="Mobiauto Edicao de Anuncios On Line Ltda"/>
    <s v="-"/>
    <s v="Gol Linhas Aereas"/>
    <n v="2143287636"/>
    <x v="6"/>
    <s v="-"/>
    <x v="49"/>
    <n v="108.53"/>
    <n v="0"/>
    <n v="66.819999999999993"/>
    <n v="0"/>
    <n v="0"/>
    <n v="0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9877"/>
    <n v="23527407"/>
    <s v="ACC01"/>
    <x v="52"/>
    <d v="2025-08-12T12:54:50"/>
    <x v="0"/>
    <x v="0"/>
    <s v="LLHTHY"/>
    <s v="EBOOKING"/>
    <s v="SAYER SAVOY/LAURA"/>
    <s v="Kontrip"/>
    <s v="Kontrip"/>
    <d v="2025-08-12T11:36:00"/>
    <s v="-"/>
    <s v="-"/>
    <s v="OFF LINE"/>
    <s v="Cartão de crédito"/>
    <s v="Cartão de crédito"/>
    <x v="0"/>
    <s v="N"/>
    <x v="16"/>
    <s v="Kontrip - Vendas Cartao de Credito"/>
    <s v="-"/>
    <s v="Gol Linhas Aereas"/>
    <n v="2143291826"/>
    <x v="6"/>
    <s v="-"/>
    <x v="50"/>
    <n v="50.92"/>
    <n v="0"/>
    <n v="44.48"/>
    <n v="0"/>
    <n v="0"/>
    <n v="4.8899999999999997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9677"/>
    <n v="23527222"/>
    <s v="ACC01"/>
    <x v="53"/>
    <d v="2025-08-12T12:39:47"/>
    <x v="0"/>
    <x v="0"/>
    <s v="HGDGXI"/>
    <s v="EBOOKING"/>
    <s v="Antonio Ferreira/Marco"/>
    <s v="Kontrip"/>
    <s v="Kontrip"/>
    <d v="2025-08-12T12:00:00"/>
    <s v="-"/>
    <s v="-"/>
    <s v="OFF LINE"/>
    <s v="Cartão de crédito"/>
    <s v="Cartão de crédito"/>
    <x v="0"/>
    <s v="N"/>
    <x v="16"/>
    <s v="Service Engenharia"/>
    <s v="-"/>
    <s v="Azul Linhas Aereas"/>
    <n v="935698164"/>
    <x v="6"/>
    <s v="-"/>
    <x v="51"/>
    <n v="46.72"/>
    <n v="0"/>
    <n v="0"/>
    <n v="0"/>
    <n v="0"/>
    <n v="56.15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9911"/>
    <n v="23527445"/>
    <s v="ACC01"/>
    <x v="54"/>
    <d v="2025-08-12T13:04:12"/>
    <x v="0"/>
    <x v="0"/>
    <s v="DLKJIP"/>
    <s v="EBOOKING"/>
    <s v="FRANCISCO DE CARVALHO/VINICIUS"/>
    <s v="Kontrip"/>
    <s v="Kontrip"/>
    <d v="2025-08-12T12:57:00"/>
    <s v="-"/>
    <s v="-"/>
    <s v="OFF LINE"/>
    <s v="Cartão de crédito"/>
    <s v="Cartão de crédito"/>
    <x v="0"/>
    <s v="N"/>
    <x v="16"/>
    <s v="Porto, Miranda, Rocha Sociedade de Advogados"/>
    <s v="-"/>
    <s v="Latam Airlines Brasil"/>
    <n v="2245493659"/>
    <x v="6"/>
    <s v="-"/>
    <x v="52"/>
    <n v="450"/>
    <n v="0"/>
    <n v="0"/>
    <n v="0"/>
    <n v="0"/>
    <n v="4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1320"/>
    <n v="23528797"/>
    <s v="ACC01"/>
    <x v="55"/>
    <d v="2025-08-12T17:42:30"/>
    <x v="0"/>
    <x v="0"/>
    <s v="CPBVLR"/>
    <s v="EBOOKING"/>
    <s v="RICARDO ALTERIO/JOAO"/>
    <s v="Kontrip"/>
    <s v="Kontrip"/>
    <d v="2025-08-12T05:37:00"/>
    <s v="-"/>
    <s v="-"/>
    <s v="OFF LINE"/>
    <s v="Cartão de crédito"/>
    <s v="Cartão de crédito"/>
    <x v="0"/>
    <s v="N"/>
    <x v="16"/>
    <s v="Ind de Torrone Nossa Senhora de Montevergine Ltda"/>
    <s v="-"/>
    <s v="Gol Linhas Aereas"/>
    <n v="2143313351"/>
    <x v="6"/>
    <s v="-"/>
    <x v="53"/>
    <n v="383.93"/>
    <n v="0"/>
    <n v="0"/>
    <n v="0"/>
    <n v="0"/>
    <n v="4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1393"/>
    <n v="23528859"/>
    <s v="ACC01"/>
    <x v="56"/>
    <d v="2025-08-12T17:51:49"/>
    <x v="0"/>
    <x v="0"/>
    <s v="MAZYOQ"/>
    <s v="EBOOKING"/>
    <s v="Flavia de Oliveira/Fernanda"/>
    <s v="Kontrip"/>
    <s v="Kontrip"/>
    <d v="2025-08-12T05:44:00"/>
    <s v="-"/>
    <s v="-"/>
    <s v="OFF LINE"/>
    <s v="Cartão de crédito"/>
    <s v="Cartão de crédito"/>
    <x v="0"/>
    <s v="N"/>
    <x v="16"/>
    <s v="Nina Saude Vitoria Ltda"/>
    <s v="-"/>
    <s v="Gol Linhas Aereas"/>
    <n v="2143310536"/>
    <x v="6"/>
    <s v="-"/>
    <x v="54"/>
    <n v="0"/>
    <n v="0"/>
    <n v="0"/>
    <n v="0"/>
    <n v="0"/>
    <n v="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1274"/>
    <n v="23528756"/>
    <s v="ACC01"/>
    <x v="57"/>
    <d v="2025-08-12T17:33:58"/>
    <x v="0"/>
    <x v="0"/>
    <s v="WMUJGC"/>
    <s v="EBOOKING"/>
    <s v="JARDIM/Fábio"/>
    <s v="Kontrip"/>
    <s v="Kontrip"/>
    <d v="2025-08-12T05:31:00"/>
    <s v="-"/>
    <s v="-"/>
    <s v="OFF LINE"/>
    <s v="Cartão de crédito"/>
    <s v="Cartão de crédito"/>
    <x v="0"/>
    <s v="N"/>
    <x v="16"/>
    <s v="Kontrip - Vendas Cartao de Credito"/>
    <s v="-"/>
    <s v="Latam Airlines Brasil"/>
    <n v="2245547443"/>
    <x v="6"/>
    <s v="-"/>
    <x v="55"/>
    <n v="0"/>
    <n v="0"/>
    <n v="0"/>
    <n v="0"/>
    <n v="0"/>
    <n v="40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2767"/>
    <n v="23530192"/>
    <s v="ACC01"/>
    <x v="58"/>
    <d v="2025-08-12T19:11:27"/>
    <x v="0"/>
    <x v="0"/>
    <s v="XNLLXT"/>
    <s v="EBOOKING"/>
    <s v="Silva Machado/Joana"/>
    <s v="Kontrip"/>
    <s v="Kontrip"/>
    <d v="2025-08-12T07:06:00"/>
    <s v="-"/>
    <s v="-"/>
    <s v="OFF LINE"/>
    <s v="Cartão de crédito"/>
    <s v="Cartão de crédito"/>
    <x v="0"/>
    <s v="N"/>
    <x v="16"/>
    <s v="Cinesystem S.a."/>
    <s v="-"/>
    <s v="Azul Linhas Aereas"/>
    <n v="817572019"/>
    <x v="6"/>
    <s v="-"/>
    <x v="56"/>
    <n v="450"/>
    <n v="0"/>
    <n v="0"/>
    <n v="0"/>
    <n v="0"/>
    <n v="4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2582"/>
    <n v="23530008"/>
    <s v="ACC01"/>
    <x v="59"/>
    <d v="2025-08-12T18:57:48"/>
    <x v="0"/>
    <x v="0"/>
    <s v="WYLIJR"/>
    <s v="EBOOKING"/>
    <s v="Silva Bosser/André"/>
    <s v="Kontrip"/>
    <s v="Kontrip"/>
    <d v="2025-08-12T06:53:00"/>
    <s v="-"/>
    <s v="-"/>
    <s v="OFF LINE"/>
    <s v="Invoice"/>
    <s v="Cartão convênio"/>
    <x v="0"/>
    <s v="N"/>
    <x v="16"/>
    <s v="Rought Promocoes e Eventos Eireli"/>
    <s v="-"/>
    <s v="Gol Linhas Aereas"/>
    <n v="2143298447"/>
    <x v="6"/>
    <s v="-"/>
    <x v="57"/>
    <n v="0"/>
    <n v="0"/>
    <n v="0"/>
    <n v="0"/>
    <n v="0"/>
    <n v="4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2644"/>
    <n v="23530073"/>
    <s v="ACC01"/>
    <x v="60"/>
    <d v="2025-08-12T19:04:34"/>
    <x v="0"/>
    <x v="0"/>
    <s v="XNLLXT"/>
    <s v="EBOOKING"/>
    <s v="Silva Machado/Joana"/>
    <s v="Kontrip"/>
    <s v="Kontrip"/>
    <d v="2025-08-12T07:00:00"/>
    <s v="-"/>
    <s v="-"/>
    <s v="OFF LINE"/>
    <s v="Cartão de crédito"/>
    <s v="Cartão de crédito"/>
    <x v="0"/>
    <s v="N"/>
    <x v="16"/>
    <s v="Cinesystem S.a."/>
    <s v="-"/>
    <s v="Azul Linhas Aereas"/>
    <n v="976145215"/>
    <x v="6"/>
    <s v="-"/>
    <x v="56"/>
    <n v="450"/>
    <n v="0"/>
    <n v="0"/>
    <n v="0"/>
    <n v="0"/>
    <n v="40"/>
    <s v="obs"/>
    <s v="Pnr já existente. A duplicidade de rloc é permitida apenas 6 meses após o último pnr emitido"/>
    <x v="4"/>
    <x v="3"/>
    <s v="Campo RLOC"/>
    <x v="2"/>
    <s v="Qualidade dos dados"/>
    <s v="KONTRIP VIAGENS"/>
    <x v="7"/>
  </r>
  <r>
    <n v="22730884"/>
    <n v="23528388"/>
    <s v="ACC01"/>
    <x v="61"/>
    <d v="2025-08-12T16:25:04"/>
    <x v="0"/>
    <x v="0"/>
    <s v="XIWE5P"/>
    <s v="EBOOKING"/>
    <s v="PYTERSON CAPELLETTI/IGOR"/>
    <s v="Kontrip"/>
    <s v="Kontrip"/>
    <d v="2025-08-12T03:14:00"/>
    <s v="-"/>
    <s v="-"/>
    <s v="OFF LINE"/>
    <s v="Cartão de crédito"/>
    <s v="Cartão de crédito"/>
    <x v="0"/>
    <s v="N"/>
    <x v="16"/>
    <s v="Tecthane Industria e Comercio de Artefatos Em Poliuretano"/>
    <s v="-"/>
    <s v="Azul Linhas Aereas"/>
    <n v="309649679"/>
    <x v="6"/>
    <s v="-"/>
    <x v="58"/>
    <n v="58.89"/>
    <n v="0"/>
    <n v="0"/>
    <n v="0"/>
    <n v="0"/>
    <n v="249.12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0884"/>
    <n v="23528389"/>
    <s v="ACC02"/>
    <x v="61"/>
    <d v="2025-08-12T16:25:04"/>
    <x v="0"/>
    <x v="0"/>
    <s v="XIWE5P"/>
    <s v="EBOOKING"/>
    <s v="Marziane Johann Capelletti/Deise"/>
    <s v="Kontrip"/>
    <s v="Kontrip"/>
    <d v="2025-08-12T03:14:00"/>
    <s v="-"/>
    <s v="-"/>
    <s v="OFF LINE"/>
    <s v="Cartão de crédito"/>
    <s v="Cartão de crédito"/>
    <x v="0"/>
    <s v="N"/>
    <x v="16"/>
    <s v="Tecthane Industria e Comercio de Artefatos Em Poliuretano"/>
    <s v="-"/>
    <s v="Azul Linhas Aereas"/>
    <n v="462835615"/>
    <x v="6"/>
    <s v="-"/>
    <x v="58"/>
    <n v="58.89"/>
    <n v="0"/>
    <n v="0"/>
    <n v="0"/>
    <n v="0"/>
    <n v="0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8064"/>
    <n v="23525707"/>
    <s v="ACC01"/>
    <x v="62"/>
    <d v="2025-08-12T08:12:41"/>
    <x v="0"/>
    <x v="0"/>
    <s v="LA9572863LTDJ"/>
    <s v="EBOOKING"/>
    <s v="Cardoso Ferreira/Walter"/>
    <s v="Kontrip"/>
    <s v="Kontrip"/>
    <d v="2025-08-12T08:06:00"/>
    <s v="-"/>
    <s v="-"/>
    <s v="OFF LINE"/>
    <s v="Cartão de crédito"/>
    <s v="Cartão de crédito"/>
    <x v="0"/>
    <s v="N"/>
    <x v="16"/>
    <s v="Pessoa e Pessoa Advogados Associados"/>
    <s v="-"/>
    <s v="Latam Airlines Brasil"/>
    <n v="2245457846"/>
    <x v="6"/>
    <s v="-"/>
    <x v="59"/>
    <n v="60.62"/>
    <n v="0"/>
    <n v="40"/>
    <n v="0"/>
    <n v="0"/>
    <n v="21.6"/>
    <s v="obs"/>
    <s v="Centro de custo não preenchido! (ACC01)"/>
    <x v="4"/>
    <x v="13"/>
    <s v="Falta de informação Gerencial"/>
    <x v="0"/>
    <s v="Qualidade dos dados"/>
    <s v="KONTRIP VIAGENS"/>
    <x v="7"/>
  </r>
  <r>
    <n v="22728612"/>
    <n v="23526178"/>
    <s v="ACC01"/>
    <x v="63"/>
    <d v="2025-08-12T10:18:45"/>
    <x v="0"/>
    <x v="0"/>
    <s v="BRSRMB"/>
    <s v="EBOOKING"/>
    <s v="Monteiro/André"/>
    <s v="Kontrip"/>
    <s v="Kontrip"/>
    <d v="2025-08-12T08:40:00"/>
    <s v="-"/>
    <s v="-"/>
    <s v="OFF LINE"/>
    <s v="Cartão de crédito"/>
    <s v="Cartão de crédito"/>
    <x v="0"/>
    <s v="N"/>
    <x v="16"/>
    <s v="Medcentro To Distribuidora de Produtos Farmaceuticos"/>
    <s v="-"/>
    <s v="Azul Linhas Aereas"/>
    <n v="934956635"/>
    <x v="6"/>
    <s v="-"/>
    <x v="60"/>
    <n v="36.67"/>
    <n v="0"/>
    <n v="0"/>
    <n v="0"/>
    <n v="0"/>
    <n v="46.45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8625"/>
    <n v="23526192"/>
    <s v="ACC01"/>
    <x v="64"/>
    <d v="2025-08-12T10:21:39"/>
    <x v="0"/>
    <x v="0"/>
    <s v="LA9579644LMFE"/>
    <s v="EBOOKING"/>
    <s v="Monteiro/André"/>
    <s v="Kontrip"/>
    <s v="Kontrip"/>
    <d v="2025-08-12T08:40:00"/>
    <s v="-"/>
    <s v="-"/>
    <s v="OFF LINE"/>
    <s v="Cartão de crédito"/>
    <s v="Cartão de crédito"/>
    <x v="0"/>
    <s v="N"/>
    <x v="16"/>
    <s v="Medcentro To Distribuidora de Produtos Farmaceuticos"/>
    <s v="-"/>
    <s v="Latam Airlines Brasil"/>
    <n v="2245458856"/>
    <x v="6"/>
    <s v="-"/>
    <x v="61"/>
    <n v="48.3"/>
    <n v="0"/>
    <n v="49.19"/>
    <n v="0"/>
    <n v="0"/>
    <n v="32.47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8626"/>
    <n v="23526193"/>
    <s v="ACC01"/>
    <x v="64"/>
    <d v="2025-08-12T10:21:53"/>
    <x v="0"/>
    <x v="0"/>
    <s v="CRFZ9B"/>
    <s v="EBOOKING"/>
    <s v="Monteiro/André"/>
    <s v="Kontrip"/>
    <s v="Kontrip"/>
    <d v="2025-08-12T08:40:00"/>
    <s v="-"/>
    <s v="-"/>
    <s v="OFF LINE"/>
    <s v="Cartão de crédito"/>
    <s v="Cartão de crédito"/>
    <x v="0"/>
    <s v="N"/>
    <x v="16"/>
    <s v="Medcentro To Distribuidora de Produtos Farmaceuticos"/>
    <s v="-"/>
    <s v="Azul Linhas Aereas"/>
    <n v="593786344"/>
    <x v="6"/>
    <s v="-"/>
    <x v="62"/>
    <n v="54.45"/>
    <n v="0"/>
    <n v="0"/>
    <n v="0"/>
    <n v="0"/>
    <n v="56.99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0463"/>
    <n v="23527953"/>
    <s v="ACC01"/>
    <x v="65"/>
    <d v="2025-08-12T15:01:32"/>
    <x v="0"/>
    <x v="0"/>
    <s v="QGMSXY"/>
    <s v="EBOOKING"/>
    <s v="LIMA SODRÉ/EDUARDO"/>
    <s v="Kontrip"/>
    <s v="Kontrip"/>
    <d v="2025-08-12T02:57:00"/>
    <s v="-"/>
    <s v="-"/>
    <s v="OFF LINE"/>
    <s v="Cartão de crédito"/>
    <s v="Cartão de crédito"/>
    <x v="0"/>
    <s v="N"/>
    <x v="17"/>
    <s v="Didier, Sodre e Rosa Advocacia e Consultoria"/>
    <s v="-"/>
    <s v="Azul Linhas Aereas"/>
    <n v="862062498"/>
    <x v="6"/>
    <s v="-"/>
    <x v="63"/>
    <n v="0"/>
    <n v="0"/>
    <n v="0"/>
    <n v="0"/>
    <n v="0"/>
    <n v="40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0220"/>
    <n v="23527745"/>
    <s v="ACC01"/>
    <x v="66"/>
    <d v="2025-08-12T14:08:28"/>
    <x v="0"/>
    <x v="0"/>
    <s v="CQ6HWH"/>
    <s v="EBOOKING"/>
    <s v="DOS SANTOS/RAUL"/>
    <s v="Kontrip"/>
    <s v="Kontrip"/>
    <d v="2025-08-12T01:35:00"/>
    <s v="-"/>
    <s v="-"/>
    <s v="OFF LINE"/>
    <s v="Cartão de crédito"/>
    <s v="Cartão de crédito"/>
    <x v="0"/>
    <s v="N"/>
    <x v="18"/>
    <s v="Tap Air Portugal"/>
    <s v="-"/>
    <s v="Azul Linhas Aereas"/>
    <n v="402053694"/>
    <x v="6"/>
    <s v="-"/>
    <x v="64"/>
    <n v="108.02"/>
    <n v="0"/>
    <n v="0"/>
    <n v="0"/>
    <n v="0"/>
    <n v="120.31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0293"/>
    <n v="23527806"/>
    <s v="ACC01"/>
    <x v="67"/>
    <d v="2025-08-12T14:19:07"/>
    <x v="0"/>
    <x v="0"/>
    <s v="WGCOWU"/>
    <s v="EBOOKING"/>
    <s v="OLIVEIRA/MIZAEL"/>
    <s v="Kontrip"/>
    <s v="Kontrip"/>
    <d v="2025-08-12T01:58:00"/>
    <s v="-"/>
    <s v="-"/>
    <s v="OFF LINE"/>
    <s v="Cartão de crédito"/>
    <s v="Cartão de crédito"/>
    <x v="0"/>
    <s v="N"/>
    <x v="18"/>
    <s v="Tap Air Portugal"/>
    <s v="-"/>
    <s v="Gol Linhas Aereas"/>
    <n v="2143297236"/>
    <x v="6"/>
    <s v="-"/>
    <x v="65"/>
    <n v="97.84"/>
    <n v="0"/>
    <n v="143.27000000000001"/>
    <n v="0"/>
    <n v="0"/>
    <n v="15.76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0805"/>
    <n v="23528293"/>
    <s v="ACC01"/>
    <x v="68"/>
    <d v="2025-08-12T16:14:00"/>
    <x v="0"/>
    <x v="0"/>
    <s v="IJUNUY"/>
    <s v="EBOOKING"/>
    <s v="OLIVEIRA/MIZAEL"/>
    <s v="Kontrip"/>
    <s v="Kontrip"/>
    <d v="2025-08-12T02:11:00"/>
    <s v="-"/>
    <s v="-"/>
    <s v="OFF LINE"/>
    <s v="Cartão de crédito"/>
    <s v="Cartão de crédito"/>
    <x v="0"/>
    <s v="N"/>
    <x v="18"/>
    <s v="Tap Air Portugal"/>
    <s v="-"/>
    <s v="Gol Linhas Aereas"/>
    <n v="2143305823"/>
    <x v="6"/>
    <s v="-"/>
    <x v="66"/>
    <n v="53.57"/>
    <n v="0"/>
    <n v="53.1"/>
    <n v="0"/>
    <n v="0"/>
    <n v="5.84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0806"/>
    <n v="23528294"/>
    <s v="ACC01"/>
    <x v="69"/>
    <d v="2025-08-12T16:16:16"/>
    <x v="0"/>
    <x v="0"/>
    <s v="LA9576369METC"/>
    <s v="EBOOKING"/>
    <s v="OLIVEIRA/MIZAEL"/>
    <s v="Kontrip"/>
    <s v="Kontrip"/>
    <d v="2025-08-12T02:11:00"/>
    <s v="-"/>
    <s v="-"/>
    <s v="OFF LINE"/>
    <s v="Cartão de crédito"/>
    <s v="Cartão de crédito"/>
    <x v="0"/>
    <s v="N"/>
    <x v="18"/>
    <s v="Tap Air Portugal"/>
    <s v="-"/>
    <s v="Latam Airlines Brasil"/>
    <n v="2245530252"/>
    <x v="6"/>
    <s v="-"/>
    <x v="67"/>
    <n v="44.27"/>
    <n v="0"/>
    <n v="46.71"/>
    <n v="0"/>
    <n v="0"/>
    <n v="30.83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8562"/>
    <n v="23526137"/>
    <s v="ACC01"/>
    <x v="70"/>
    <d v="2025-08-12T10:10:12"/>
    <x v="0"/>
    <x v="0"/>
    <s v="LA9576468SHXP"/>
    <s v="EBOOKING"/>
    <s v="de Sousa Correia/Renato"/>
    <s v="Kontrip"/>
    <s v="Kontrip"/>
    <d v="2025-08-12T09:55:00"/>
    <s v="-"/>
    <s v="-"/>
    <s v="OFF LINE"/>
    <s v="Cartão de crédito"/>
    <s v="Cartão de crédito"/>
    <x v="0"/>
    <s v="N"/>
    <x v="18"/>
    <s v="Blood Comunicacao e Eventos Ltda"/>
    <s v="-"/>
    <s v="Latam Airlines Brasil"/>
    <n v="2245466812"/>
    <x v="6"/>
    <s v="-"/>
    <x v="68"/>
    <n v="60.62"/>
    <n v="0"/>
    <n v="40"/>
    <n v="0"/>
    <n v="0"/>
    <n v="15.31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32327"/>
    <n v="23529769"/>
    <s v="ACC01"/>
    <x v="71"/>
    <d v="2025-08-12T18:42:52"/>
    <x v="0"/>
    <x v="0"/>
    <s v="XGJMGY"/>
    <s v="EBOOKING"/>
    <s v="MELO/Cláudia"/>
    <s v="Kontrip"/>
    <s v="Kontrip"/>
    <d v="2025-08-11T11:43:00"/>
    <s v="-"/>
    <s v="-"/>
    <s v="OFF LINE"/>
    <s v="Cartão de crédito"/>
    <s v="Cartão de crédito"/>
    <x v="0"/>
    <s v="N"/>
    <x v="19"/>
    <s v="System Service"/>
    <s v="-"/>
    <s v="Azul Linhas Aereas"/>
    <n v="131492023"/>
    <x v="6"/>
    <s v="-"/>
    <x v="69"/>
    <n v="58.89"/>
    <n v="0"/>
    <n v="0"/>
    <n v="0"/>
    <n v="0"/>
    <n v="43.19"/>
    <s v="obs"/>
    <s v="Não foi possível encontrar configuração válida para Administradora de código 1 e Data Emissão 11/08/2025"/>
    <x v="4"/>
    <x v="4"/>
    <s v="Análise Benner"/>
    <x v="3"/>
    <s v="Qualidade dos dados"/>
    <s v="KONTRIP VIAGENS"/>
    <x v="7"/>
  </r>
  <r>
    <n v="22732986"/>
    <n v="23530385"/>
    <s v="ACC01"/>
    <x v="72"/>
    <d v="2025-08-12T19:57:42"/>
    <x v="0"/>
    <x v="0"/>
    <s v="SWHZRA"/>
    <s v="EBOOKING"/>
    <s v="MELO/Cláudia"/>
    <s v="Kontrip"/>
    <s v="Kontrip"/>
    <d v="2025-08-12T12:03:00"/>
    <s v="-"/>
    <s v="-"/>
    <s v="OFF LINE"/>
    <s v="Cartão de crédito"/>
    <s v="Cartão de crédito"/>
    <x v="0"/>
    <s v="N"/>
    <x v="19"/>
    <s v="System Service"/>
    <s v="-"/>
    <s v="Azul Linhas Aereas"/>
    <n v="240455122"/>
    <x v="6"/>
    <s v="-"/>
    <x v="70"/>
    <n v="33.64"/>
    <n v="0"/>
    <n v="0"/>
    <n v="0"/>
    <n v="0"/>
    <n v="57.04"/>
    <s v="obs"/>
    <s v="Não foi possível encontrar configuração válida para Administradora de código 1 e Data Emissão 12/08/2025"/>
    <x v="4"/>
    <x v="4"/>
    <s v="Análise Benner"/>
    <x v="3"/>
    <s v="Qualidade dos dados"/>
    <s v="KONTRIP VIAGENS"/>
    <x v="7"/>
  </r>
  <r>
    <n v="22728131"/>
    <n v="23525761"/>
    <s v="ACC01"/>
    <x v="73"/>
    <d v="2025-08-13T05:21:09"/>
    <x v="0"/>
    <x v="0"/>
    <s v="QDOZKUT"/>
    <s v="SABRE"/>
    <s v="TABET/MARIANA"/>
    <s v="Nathalia dos Santos Batista"/>
    <s v="Nathalia dos Santos Batista"/>
    <d v="2025-08-12T06:25:00"/>
    <s v="QDOZKU"/>
    <s v="-"/>
    <s v="ON LINE"/>
    <s v="Cartão de crédito"/>
    <s v="Cartão de crédito"/>
    <x v="1"/>
    <s v="N"/>
    <x v="20"/>
    <s v="Avaya Brasil Ltda"/>
    <s v="Cliente FEE no POS"/>
    <s v="Camino Real Polanco Mexico"/>
    <s v="-"/>
    <x v="7"/>
    <s v="-"/>
    <x v="71"/>
    <n v="1460"/>
    <n v="0"/>
    <n v="0"/>
    <n v="0"/>
    <n v="0"/>
    <n v="12.23"/>
    <s v="Reserva importada por HubTravel"/>
    <s v="Centro de custo não preenchido! (ACC01)"/>
    <x v="0"/>
    <x v="13"/>
    <s v="Falta de informação Gerencial"/>
    <x v="0"/>
    <s v="Qualidade dos dados"/>
    <s v="KONTIK BUSINESS TRAVEL"/>
    <x v="6"/>
  </r>
  <r>
    <n v="22728037"/>
    <n v="23525690"/>
    <s v="ACC01"/>
    <x v="74"/>
    <d v="2025-08-12T08:24:51"/>
    <x v="0"/>
    <x v="0"/>
    <s v="YLWOQMC"/>
    <s v="SABRE"/>
    <s v="BUTTON/PAULO ALVARO NANTES MR"/>
    <s v="WS"/>
    <s v="WS"/>
    <d v="2025-08-11T11:52:00"/>
    <s v="YLWOQM"/>
    <s v="REC"/>
    <s v="ON LINE"/>
    <s v="Invoice"/>
    <s v="Faturado"/>
    <x v="3"/>
    <s v="N"/>
    <x v="21"/>
    <s v="Axa Cs - Inativo"/>
    <s v="Cliente FEE no POS"/>
    <s v="Avis - Br - Pe - Recife - Ibura"/>
    <s v="-"/>
    <x v="8"/>
    <s v="-"/>
    <x v="72"/>
    <n v="155.28"/>
    <n v="0"/>
    <n v="0"/>
    <n v="0"/>
    <n v="0"/>
    <n v="0"/>
    <s v="Reserva importada por HubTravel"/>
    <s v="Centro de custo não preenchido! (ACC01) Empenho/departamento não preenchido! (ACC01)"/>
    <x v="0"/>
    <x v="0"/>
    <s v="Falta de informação Gerencial"/>
    <x v="0"/>
    <s v="Qualidade dos dados"/>
    <s v="KONTIK BUSINESS TRAVEL"/>
    <x v="2"/>
  </r>
  <r>
    <n v="22729991"/>
    <n v="23527516"/>
    <s v="ACC01"/>
    <x v="75"/>
    <d v="2025-08-13T05:21:10"/>
    <x v="0"/>
    <x v="0"/>
    <s v="HNSZFJT"/>
    <s v="SABRE"/>
    <s v="BUTTON/PAULO ALVARO NANTES MR"/>
    <s v="WS"/>
    <s v="WS"/>
    <d v="2025-08-12T07:34:00"/>
    <s v="HNSZFJ"/>
    <s v="-"/>
    <s v="ON LINE"/>
    <s v="Cartão de crédito"/>
    <s v="Cartão de crédito"/>
    <x v="1"/>
    <s v="N"/>
    <x v="21"/>
    <s v="Axa Cs - Inativo"/>
    <s v="Cliente FEE no POS"/>
    <s v="Mar Hotel Conventions"/>
    <s v="-"/>
    <x v="8"/>
    <s v="-"/>
    <x v="73"/>
    <n v="52"/>
    <n v="0"/>
    <n v="0"/>
    <n v="0"/>
    <n v="0"/>
    <n v="21"/>
    <s v="Reserva importada por HubTravel"/>
    <s v="Centro de custo não preenchido! (ACC01) Empenho/departamento não preenchido! (ACC01)"/>
    <x v="0"/>
    <x v="0"/>
    <s v="Falta de informação Gerencial"/>
    <x v="0"/>
    <s v="Qualidade dos dados"/>
    <s v="KONTIK BUSINESS TRAVEL"/>
    <x v="2"/>
  </r>
  <r>
    <n v="22729992"/>
    <n v="23527518"/>
    <s v="ACC01"/>
    <x v="76"/>
    <d v="2025-08-13T05:21:10"/>
    <x v="0"/>
    <x v="0"/>
    <s v="OSJXFKT"/>
    <s v="SABRE"/>
    <s v="BUTTON/PAULO ALVARO NANTES MR"/>
    <s v="WS"/>
    <s v="WS"/>
    <d v="2025-08-12T07:38:00"/>
    <s v="OSJXFK"/>
    <s v="-"/>
    <s v="ON LINE"/>
    <s v="Cartão de crédito"/>
    <s v="Cartão de crédito"/>
    <x v="1"/>
    <s v="N"/>
    <x v="21"/>
    <s v="Axa Cs - Inativo"/>
    <s v="Cliente FEE no POS"/>
    <s v="-"/>
    <s v="-"/>
    <x v="8"/>
    <s v="-"/>
    <x v="74"/>
    <n v="21.68"/>
    <n v="0"/>
    <n v="0"/>
    <n v="0"/>
    <n v="0"/>
    <n v="21"/>
    <s v="Reserva importada por HubTravel"/>
    <s v="Centro de custo não preenchido! (ACC01) Empenho/departamento não preenchido! (ACC01)"/>
    <x v="0"/>
    <x v="0"/>
    <s v="Falta de informação Gerencial"/>
    <x v="0"/>
    <s v="Qualidade dos dados"/>
    <s v="KONTIK BUSINESS TRAVEL"/>
    <x v="2"/>
  </r>
  <r>
    <n v="22729993"/>
    <n v="23527519"/>
    <s v="ACC01"/>
    <x v="77"/>
    <d v="2025-08-13T05:21:11"/>
    <x v="0"/>
    <x v="0"/>
    <s v="OTACEJT"/>
    <s v="SABRE"/>
    <s v="BUTTON/PAULO ALVARO NANTES MR"/>
    <s v="WS"/>
    <s v="WS"/>
    <d v="2025-08-12T07:45:00"/>
    <s v="OTACEJ"/>
    <s v="-"/>
    <s v="ON LINE"/>
    <s v="Cartão de crédito"/>
    <s v="Cartão de crédito"/>
    <x v="1"/>
    <s v="N"/>
    <x v="21"/>
    <s v="Axa Cs - Inativo"/>
    <s v="Cliente FEE no POS"/>
    <s v="Mar Hotel Conventions"/>
    <s v="-"/>
    <x v="8"/>
    <s v="-"/>
    <x v="75"/>
    <n v="12"/>
    <n v="0"/>
    <n v="0"/>
    <n v="0"/>
    <n v="0"/>
    <n v="21"/>
    <s v="Reserva importada por HubTravel"/>
    <s v="Centro de custo não preenchido! (ACC01) Empenho/departamento não preenchido! (ACC01)"/>
    <x v="0"/>
    <x v="0"/>
    <s v="Falta de informação Gerencial"/>
    <x v="0"/>
    <s v="Qualidade dos dados"/>
    <s v="KONTIK BUSINESS TRAVEL"/>
    <x v="2"/>
  </r>
  <r>
    <n v="22702991"/>
    <n v="23505110"/>
    <s v="ACC01"/>
    <x v="78"/>
    <d v="2025-08-07T18:28:30"/>
    <x v="1"/>
    <x v="1"/>
    <s v="QHUXOS"/>
    <s v="SABRE"/>
    <s v="GOMEZ JORDAN/MATEO"/>
    <s v="Itamar de Souza"/>
    <s v="Karen Aparecida Ferreira"/>
    <d v="2025-08-07T00:00:00"/>
    <s v="QHUXOS"/>
    <s v="-"/>
    <s v="ON LINE"/>
    <s v="?"/>
    <s v="TKT"/>
    <x v="0"/>
    <s v="N"/>
    <x v="22"/>
    <s v="Honeywell"/>
    <s v="Cliente FEE no POS"/>
    <s v="Latam Airlines Brasil"/>
    <n v="2971622841"/>
    <x v="9"/>
    <s v="-"/>
    <x v="19"/>
    <n v="0"/>
    <n v="450"/>
    <n v="0"/>
    <n v="17.88"/>
    <n v="0"/>
    <n v="0"/>
    <s v="Reserva importada por HubTravel"/>
    <s v="Este cliente não possui permissão para usar este tipo de pagamento e recebimento para este produto."/>
    <x v="0"/>
    <x v="7"/>
    <s v="Forma PG. e REC."/>
    <x v="0"/>
    <s v="Qualidade dos dados"/>
    <s v="KONTIK BUSINESS TRAVEL"/>
    <x v="6"/>
  </r>
  <r>
    <n v="22660650"/>
    <n v="23469373"/>
    <s v="ACC01"/>
    <x v="79"/>
    <d v="2025-08-01T05:26:09"/>
    <x v="2"/>
    <x v="4"/>
    <s v="KTWYDMT"/>
    <s v="SABRE"/>
    <s v="GUALBINO/DANILO EDSON MR"/>
    <s v="Karen Aparecida Ferreira"/>
    <s v="Karen Aparecida Ferreira"/>
    <d v="2025-07-31T07:29:00"/>
    <s v="KTWYDM"/>
    <s v="-"/>
    <s v="OFF LINE"/>
    <s v="Cartão de crédito"/>
    <s v="Cartão de crédito"/>
    <x v="1"/>
    <s v="N"/>
    <x v="22"/>
    <s v="Honeywell"/>
    <s v="Cliente FEE no POS"/>
    <s v="-"/>
    <s v="-"/>
    <x v="9"/>
    <s v="-"/>
    <x v="76"/>
    <n v="60.36"/>
    <n v="0"/>
    <n v="0"/>
    <n v="0"/>
    <n v="0"/>
    <n v="55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2719"/>
    <n v="23530143"/>
    <s v="ACC01"/>
    <x v="80"/>
    <d v="2025-08-12T19:12:29"/>
    <x v="0"/>
    <x v="0"/>
    <s v="QLVOIKT"/>
    <s v="SABRE"/>
    <s v="SALLES SR/ELVIS CARLOS DE SOUSA MR"/>
    <s v="Eliane da Silva Souza Paula"/>
    <s v="Eliane da Silva Souza Paula"/>
    <d v="2025-08-12T16:49:00"/>
    <s v="QLVOIK"/>
    <s v="-"/>
    <s v="ON LINE"/>
    <s v="Invoice"/>
    <s v="Faturado"/>
    <x v="1"/>
    <s v="N"/>
    <x v="22"/>
    <s v="Essex Hornets Brazil Ltda."/>
    <s v="-"/>
    <s v="-"/>
    <s v="-"/>
    <x v="9"/>
    <s v="-"/>
    <x v="77"/>
    <n v="0"/>
    <n v="0"/>
    <n v="0"/>
    <n v="0"/>
    <n v="0"/>
    <n v="0"/>
    <s v="Reserva importada por HubTravel"/>
    <s v="Centro de custo não preenchido! (ACC01)"/>
    <x v="0"/>
    <x v="13"/>
    <s v="Falta de informação Gerencial"/>
    <x v="0"/>
    <s v="Qualidade dos dados"/>
    <s v="KONTIK BUSINESS TRAVEL"/>
    <x v="6"/>
  </r>
  <r>
    <n v="22667753"/>
    <n v="23475551"/>
    <s v="ACC01"/>
    <x v="81"/>
    <d v="2025-08-01T19:30:17"/>
    <x v="2"/>
    <x v="4"/>
    <s v="IRMFBJC"/>
    <s v="SABRE"/>
    <s v="ROCHA/CLEBER DOS SANTOS SIR"/>
    <s v="WS"/>
    <s v="WS"/>
    <d v="2025-08-01T16:47:00"/>
    <s v="IRMFBJ"/>
    <s v="FLN"/>
    <s v="ON LINE"/>
    <s v="Invoice"/>
    <s v="Faturado"/>
    <x v="3"/>
    <s v="N"/>
    <x v="22"/>
    <s v="Honeywell Industria de Tecnologia - Itajuba - Mg"/>
    <s v="Cliente FEE no POS"/>
    <s v="-"/>
    <s v="-"/>
    <x v="9"/>
    <s v="-"/>
    <x v="78"/>
    <n v="92.4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0858"/>
    <n v="23528340"/>
    <s v="ACC01"/>
    <x v="82"/>
    <d v="2025-08-13T05:04:09"/>
    <x v="0"/>
    <x v="0"/>
    <s v="OOEHUN"/>
    <s v="SABRE"/>
    <s v="VIEIRA AGUIAR/LETICIA"/>
    <s v="Itamar de Souza"/>
    <s v="WS"/>
    <d v="2025-07-29T07:28:00"/>
    <s v="OOEHUN"/>
    <s v="-"/>
    <s v="ON LINE"/>
    <s v="Cartão de crédito"/>
    <s v="Cartão de crédito"/>
    <x v="0"/>
    <s v="N"/>
    <x v="22"/>
    <s v="Honeywell"/>
    <s v="Cliente FEE no POS"/>
    <s v="Latam Airlines Brasil"/>
    <n v="2971612570"/>
    <x v="9"/>
    <s v="-"/>
    <x v="79"/>
    <n v="120.57"/>
    <n v="0"/>
    <n v="0"/>
    <n v="120.57"/>
    <n v="0"/>
    <n v="38"/>
    <s v="Reserva importada por HubTravel"/>
    <s v="Falta informar o status no trecho da accounting aérea (Bilhete: 2971612570)"/>
    <x v="0"/>
    <x v="12"/>
    <s v="Atualização de Trechos"/>
    <x v="0"/>
    <s v="Qualidade dos dados"/>
    <s v="KONTIK BUSINESS TRAVEL"/>
    <x v="6"/>
  </r>
  <r>
    <n v="22730858"/>
    <n v="23528341"/>
    <s v="ACC02"/>
    <x v="82"/>
    <d v="2025-08-13T05:04:09"/>
    <x v="0"/>
    <x v="0"/>
    <s v="OOEHUN"/>
    <s v="SABRE"/>
    <s v="VIEIRA AGUIAR/LETICIA"/>
    <s v="Itamar de Souza"/>
    <s v="WS"/>
    <d v="2025-07-29T07:28:00"/>
    <s v="OOEHUN"/>
    <s v="-"/>
    <s v="ON LINE"/>
    <s v="Cartão de crédito"/>
    <s v="Cartão de crédito"/>
    <x v="0"/>
    <s v="N"/>
    <x v="22"/>
    <s v="Honeywell"/>
    <s v="Cliente FEE no POS"/>
    <s v="Latam Airlines Brasil"/>
    <n v="2971612570"/>
    <x v="9"/>
    <s v="-"/>
    <x v="19"/>
    <n v="0"/>
    <n v="0"/>
    <n v="0"/>
    <n v="0"/>
    <n v="0"/>
    <n v="0"/>
    <s v="Reserva importada por HubTravel"/>
    <s v="Falta informar o status no trecho da accounting aérea (Bilhete: 2971612570)"/>
    <x v="0"/>
    <x v="12"/>
    <s v="Atualização de Trechos"/>
    <x v="0"/>
    <s v="Qualidade dos dados"/>
    <s v="KONTIK BUSINESS TRAVEL"/>
    <x v="6"/>
  </r>
  <r>
    <n v="22730875"/>
    <n v="23528365"/>
    <s v="ACC01"/>
    <x v="83"/>
    <d v="2025-08-12T16:21:20"/>
    <x v="0"/>
    <x v="0"/>
    <s v="SIRVJQ"/>
    <s v="SABRE"/>
    <s v="LOUZAVIO/WILLIAN GUERRA"/>
    <s v="Beatrys Ferreira Rocha"/>
    <s v="WS"/>
    <d v="2025-07-03T09:37:00"/>
    <s v="SIRVJQ"/>
    <s v="-"/>
    <s v="ON LINE"/>
    <s v="Invoice"/>
    <s v="Faturado"/>
    <x v="0"/>
    <s v="N"/>
    <x v="22"/>
    <s v="Honeywell"/>
    <s v="Cliente FEE no POS"/>
    <s v="Latam Airlines Brasil"/>
    <n v="9783240000"/>
    <x v="9"/>
    <s v="-"/>
    <x v="80"/>
    <n v="55.65"/>
    <n v="136.28"/>
    <n v="0"/>
    <n v="55.65"/>
    <n v="0"/>
    <n v="0"/>
    <s v="Reserva importada por HubTravel"/>
    <s v="Este cliente não possui permissão para usar este tipo de pagamento e recebimento para este produto."/>
    <x v="0"/>
    <x v="7"/>
    <s v="Forma PG. e REC."/>
    <x v="0"/>
    <s v="Qualidade dos dados"/>
    <s v="KONTIK BUSINESS TRAVEL"/>
    <x v="6"/>
  </r>
  <r>
    <n v="22730875"/>
    <n v="23528366"/>
    <s v="ACC02"/>
    <x v="83"/>
    <d v="2025-08-12T16:21:20"/>
    <x v="0"/>
    <x v="0"/>
    <s v="SIRVJQ"/>
    <s v="SABRE"/>
    <s v="LOUZAVIO/WILLIAN GUERRA"/>
    <s v="Beatrys Ferreira Rocha"/>
    <s v="WS"/>
    <d v="2025-07-03T09:37:00"/>
    <s v="SIRVJQ"/>
    <s v="-"/>
    <s v="ON LINE"/>
    <s v="?"/>
    <s v="TKT"/>
    <x v="0"/>
    <s v="N"/>
    <x v="22"/>
    <s v="Honeywell"/>
    <s v="Cliente FEE no POS"/>
    <s v="Latam Airlines Brasil"/>
    <n v="9783240000"/>
    <x v="9"/>
    <s v="-"/>
    <x v="19"/>
    <n v="3.89"/>
    <n v="0"/>
    <n v="0"/>
    <n v="3.89"/>
    <n v="0"/>
    <n v="0"/>
    <s v="Reserva importada por HubTravel"/>
    <s v="Este cliente não possui permissão para usar este tipo de pagamento e recebimento para este produto."/>
    <x v="0"/>
    <x v="7"/>
    <s v="Forma PG. e REC."/>
    <x v="0"/>
    <s v="Qualidade dos dados"/>
    <s v="KONTIK BUSINESS TRAVEL"/>
    <x v="6"/>
  </r>
  <r>
    <n v="22663510"/>
    <n v="23471555"/>
    <s v="ACC01"/>
    <x v="84"/>
    <d v="2025-08-01T10:21:12"/>
    <x v="2"/>
    <x v="4"/>
    <s v="CKJQDBC"/>
    <s v="SABRE"/>
    <s v="FALASQUI/LUIS EDUARDO MR"/>
    <s v="WS"/>
    <s v="WS"/>
    <d v="2025-07-31T14:56:00"/>
    <s v="CKJQDB"/>
    <s v="MAO"/>
    <s v="ON LINE"/>
    <s v="Invoice"/>
    <s v="Faturado"/>
    <x v="3"/>
    <s v="N"/>
    <x v="22"/>
    <s v="Honeywell"/>
    <s v="Cliente FEE no POS"/>
    <s v="-"/>
    <s v="-"/>
    <x v="9"/>
    <s v="-"/>
    <x v="81"/>
    <n v="82.8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8099"/>
    <n v="23525736"/>
    <s v="ACC01"/>
    <x v="85"/>
    <d v="2025-08-13T05:03:52"/>
    <x v="0"/>
    <x v="0"/>
    <s v="OKPGEAT"/>
    <s v="SABRE"/>
    <s v="AGUIAR/DORIVALDO GONCALVES"/>
    <s v="WS"/>
    <s v="WS"/>
    <d v="2025-08-11T17:17:00"/>
    <s v="OKPGEA"/>
    <s v="-"/>
    <s v="ON LINE"/>
    <s v="Cartão de crédito"/>
    <s v="Cartão de crédito"/>
    <x v="1"/>
    <s v="N"/>
    <x v="22"/>
    <s v="Honeywell"/>
    <s v="Cliente FEE no POS"/>
    <s v="-"/>
    <s v="-"/>
    <x v="9"/>
    <s v="-"/>
    <x v="82"/>
    <n v="20.7"/>
    <n v="0"/>
    <n v="0"/>
    <n v="0"/>
    <n v="0"/>
    <n v="13"/>
    <s v="Reserva importada por HubTravel"/>
    <s v="Fornecedor não preenchido! (ACC01)"/>
    <x v="0"/>
    <x v="1"/>
    <s v="Campo Fornecedor"/>
    <x v="0"/>
    <s v="Sistêmico"/>
    <s v="GRUPO KONTIK"/>
    <x v="1"/>
  </r>
  <r>
    <n v="22666098"/>
    <n v="23473958"/>
    <s v="ACC01"/>
    <x v="86"/>
    <d v="2025-08-01T17:16:01"/>
    <x v="2"/>
    <x v="4"/>
    <s v="YIHDQEC"/>
    <s v="SABRE"/>
    <s v="SANTOS/AILTON RIBEIRO DOS MR"/>
    <s v="WS"/>
    <s v="WS"/>
    <d v="2025-08-01T11:07:00"/>
    <s v="YIHDQE"/>
    <s v="CWB"/>
    <s v="ON LINE"/>
    <s v="Invoice"/>
    <s v="Faturado"/>
    <x v="3"/>
    <s v="N"/>
    <x v="22"/>
    <s v="Honeywell"/>
    <s v="Cliente FEE no POS"/>
    <s v="-"/>
    <s v="-"/>
    <x v="9"/>
    <s v="-"/>
    <x v="83"/>
    <n v="50.4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1544"/>
    <n v="23503697"/>
    <s v="ACC01"/>
    <x v="87"/>
    <d v="2025-08-07T15:18:17"/>
    <x v="1"/>
    <x v="1"/>
    <s v="KYNHEFC"/>
    <s v="SABRE"/>
    <s v="SANTOS I/PATRICIA MS"/>
    <s v="WS"/>
    <s v="WS"/>
    <d v="2025-08-07T11:57:00"/>
    <s v="KYNHEF"/>
    <s v="GRU"/>
    <s v="ON LINE"/>
    <s v="Invoice"/>
    <s v="Faturado"/>
    <x v="3"/>
    <s v="N"/>
    <x v="22"/>
    <s v="Honeywell"/>
    <s v="Cliente FEE no POS"/>
    <s v="-"/>
    <s v="-"/>
    <x v="9"/>
    <s v="-"/>
    <x v="83"/>
    <n v="50.4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86110"/>
    <n v="23489886"/>
    <s v="ACC01"/>
    <x v="88"/>
    <d v="2025-08-05T16:06:19"/>
    <x v="1"/>
    <x v="1"/>
    <s v="ISLQTUC"/>
    <s v="SABRE"/>
    <s v="ROCHA/CLEBER DOS SANTOS SIR"/>
    <s v="WS"/>
    <s v="WS"/>
    <d v="2025-08-05T07:34:00"/>
    <s v="ISLQTU"/>
    <s v="FOR"/>
    <s v="ON LINE"/>
    <s v="Invoice"/>
    <s v="Faturado"/>
    <x v="3"/>
    <s v="N"/>
    <x v="22"/>
    <s v="Honeywell Industria de Tecnologia - Itajuba - Mg"/>
    <s v="Cliente FEE no POS"/>
    <s v="-"/>
    <s v="-"/>
    <x v="9"/>
    <s v="-"/>
    <x v="84"/>
    <n v="100.8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0908"/>
    <n v="23519319"/>
    <s v="ACC01"/>
    <x v="89"/>
    <d v="2025-08-12T05:06:25"/>
    <x v="0"/>
    <x v="0"/>
    <s v="CURRLRT"/>
    <s v="SABRE"/>
    <s v="MONTEALEGRE/MATEO MR"/>
    <s v="WS"/>
    <s v="WS"/>
    <d v="2025-08-10T17:44:00"/>
    <s v="CURRLR"/>
    <s v="-"/>
    <s v="ON LINE"/>
    <s v="Cartão de crédito"/>
    <s v="Cartão de crédito"/>
    <x v="1"/>
    <s v="N"/>
    <x v="22"/>
    <s v="Honeywell"/>
    <s v="Cliente FEE no POS"/>
    <s v="-"/>
    <s v="-"/>
    <x v="9"/>
    <s v="-"/>
    <x v="85"/>
    <n v="1326"/>
    <n v="0"/>
    <n v="0"/>
    <n v="0"/>
    <n v="0"/>
    <n v="13"/>
    <s v="Reserva importada por HubTravel"/>
    <s v="Fornecedor não preenchido! (ACC01)"/>
    <x v="0"/>
    <x v="1"/>
    <s v="Campo Fornecedor"/>
    <x v="0"/>
    <s v="Sistêmico"/>
    <s v="GRUPO KONTIK"/>
    <x v="1"/>
  </r>
  <r>
    <n v="22663266"/>
    <n v="23471354"/>
    <s v="ACC01"/>
    <x v="90"/>
    <d v="2025-08-02T04:18:35"/>
    <x v="2"/>
    <x v="4"/>
    <s v="YQFUMC"/>
    <s v="GOVER"/>
    <s v="GRACE CHINEN HIGA"/>
    <s v="Gover"/>
    <s v="Gover"/>
    <d v="2025-08-01T08:54:00"/>
    <n v="4575595"/>
    <s v="-"/>
    <s v="ON LINE"/>
    <s v="Invoice"/>
    <s v="Cartão convênio"/>
    <x v="0"/>
    <s v="N"/>
    <x v="23"/>
    <s v="Rps"/>
    <s v="Cliente FEE no POS"/>
    <s v="Latam Airlines Brasil"/>
    <n v="2243830150"/>
    <x v="10"/>
    <s v="-"/>
    <x v="86"/>
    <n v="80.37"/>
    <n v="0"/>
    <n v="0"/>
    <n v="0"/>
    <n v="0"/>
    <n v="0"/>
    <s v="Reserva importada do sistema Gover. Id: 4575595"/>
    <s v="8914890/6016184&quot; possui uma transação de cartão efetivada"/>
    <x v="5"/>
    <x v="14"/>
    <s v="Financeiro Conciliado"/>
    <x v="4"/>
    <s v="Processo Operacional"/>
    <s v="GRUPO KONTIK"/>
    <x v="8"/>
  </r>
  <r>
    <n v="22130785"/>
    <n v="23011274"/>
    <s v="ACC01"/>
    <x v="91"/>
    <d v="2025-08-06T11:55:28"/>
    <x v="1"/>
    <x v="2"/>
    <n v="1545065602"/>
    <s v="MANUAL"/>
    <s v="ADRIANA BRENTANO"/>
    <s v="Gover"/>
    <s v="Gover"/>
    <d v="2025-05-02T18:32:00"/>
    <n v="4401013"/>
    <s v="-"/>
    <s v="OFF LINE"/>
    <s v="Invoice"/>
    <s v="Faturado"/>
    <x v="1"/>
    <s v="S"/>
    <x v="23"/>
    <s v="Pra"/>
    <s v="Cliente FEE no POS"/>
    <s v="Cozzy Suites Paraiso Hotel"/>
    <s v="-"/>
    <x v="10"/>
    <s v="-"/>
    <x v="87"/>
    <n v="0"/>
    <n v="0"/>
    <n v="0"/>
    <n v="0"/>
    <n v="0"/>
    <n v="57"/>
    <s v="Reserva importada do sistema Gover. Id: 4401013"/>
    <s v="Este cliente não possui permissão para usar este tipo de pagamento e recebimento para este produto."/>
    <x v="2"/>
    <x v="7"/>
    <s v="Forma PG. e REC."/>
    <x v="0"/>
    <s v="Qualidade dos dados"/>
    <s v="KONTIK BUSINESS TRAVEL"/>
    <x v="6"/>
  </r>
  <r>
    <n v="22709862"/>
    <n v="23511217"/>
    <s v="ACC01"/>
    <x v="92"/>
    <d v="2025-08-08T18:15:44"/>
    <x v="3"/>
    <x v="3"/>
    <n v="19505224"/>
    <s v="GOVER"/>
    <s v="FLÁVIA VAZ DE SOUZA"/>
    <s v="Gover"/>
    <s v="Gover"/>
    <d v="2025-08-08T17:36:00"/>
    <n v="4579588"/>
    <s v="-"/>
    <s v="ON LINE"/>
    <s v="Pagamento direto"/>
    <s v="Pagamento direto"/>
    <x v="1"/>
    <s v="N"/>
    <x v="23"/>
    <s v="Rps"/>
    <s v="Cliente FEE no POS"/>
    <s v="Travel Inn Wise Indaiatuba"/>
    <s v="-"/>
    <x v="10"/>
    <s v="-"/>
    <x v="88"/>
    <n v="27"/>
    <n v="0"/>
    <n v="0"/>
    <n v="0"/>
    <n v="0"/>
    <n v="0"/>
    <s v="Reserva importada do sistema Gover. Id: 4579588"/>
    <s v="Este cliente não possui permissão para usar este tipo de pagamento e recebimento para este produto."/>
    <x v="5"/>
    <x v="7"/>
    <s v="Forma PG. e REC."/>
    <x v="0"/>
    <s v="Sistêmico"/>
    <s v="GRUPO KONTIK"/>
    <x v="1"/>
  </r>
  <r>
    <n v="22721365"/>
    <n v="23519727"/>
    <s v="ACC01"/>
    <x v="93"/>
    <d v="2025-08-11T10:52:02"/>
    <x v="0"/>
    <x v="0"/>
    <n v="19514619"/>
    <s v="GOVER"/>
    <s v="VIVIANE ANDRADE"/>
    <s v="Gover"/>
    <s v="Gover"/>
    <d v="2025-08-11T10:32:00"/>
    <n v="4579900"/>
    <s v="-"/>
    <s v="ON LINE"/>
    <s v="Pagamento direto"/>
    <s v="Pagamento direto"/>
    <x v="1"/>
    <s v="N"/>
    <x v="23"/>
    <s v="Rps"/>
    <s v="Cliente FEE no POS"/>
    <s v="Hilton Garden Inn Sao Jose do Rio Preto"/>
    <s v="-"/>
    <x v="10"/>
    <s v="-"/>
    <x v="89"/>
    <n v="14.04"/>
    <n v="0"/>
    <n v="0"/>
    <n v="0"/>
    <n v="0"/>
    <n v="0"/>
    <s v="Reserva importada do sistema Gover. Id: 4579900"/>
    <s v="Este cliente não possui permissão para usar este tipo de pagamento e recebimento para este produto."/>
    <x v="5"/>
    <x v="7"/>
    <s v="Forma PG. e REC."/>
    <x v="0"/>
    <s v="Sistêmico"/>
    <s v="GRUPO KONTIK"/>
    <x v="1"/>
  </r>
  <r>
    <n v="22730862"/>
    <n v="23528345"/>
    <s v="ACC01"/>
    <x v="94"/>
    <d v="2025-08-12T16:21:18"/>
    <x v="0"/>
    <x v="0"/>
    <s v="WMDZHS"/>
    <s v="SABRE"/>
    <s v="MENDONCA/FELIPE"/>
    <s v="Beatrys Ferreira Rocha"/>
    <s v="Karen Aparecida Ferreira"/>
    <d v="2025-08-12T08:06:00"/>
    <s v="WMDZHS"/>
    <s v="-"/>
    <s v="ON LINE"/>
    <s v="Cartão de crédito"/>
    <s v="Cartão de crédito"/>
    <x v="0"/>
    <s v="N"/>
    <x v="24"/>
    <s v="Jti Distribuidora - Sao Paulo - Vila Nova Conceicao"/>
    <s v="-"/>
    <s v="Swiss"/>
    <n v="2971262605"/>
    <x v="11"/>
    <s v="-"/>
    <x v="90"/>
    <n v="59.54"/>
    <n v="778.51"/>
    <n v="0"/>
    <n v="59.54"/>
    <n v="0"/>
    <n v="0"/>
    <s v="Reserva importada por HubTravel"/>
    <s v="Centro de custo não preenchido! (ACC01) Empenho/departamento não preenchido! (ACC01) Matrícula não preenchida! (ACC01)"/>
    <x v="0"/>
    <x v="0"/>
    <s v="Falta de informação Gerencial"/>
    <x v="0"/>
    <s v="Qualidade dos dados"/>
    <s v="KONTIK BUSINESS TRAVEL"/>
    <x v="6"/>
  </r>
  <r>
    <n v="22729470"/>
    <n v="23527022"/>
    <s v="ACC01"/>
    <x v="95"/>
    <d v="2025-08-12T12:55:26"/>
    <x v="0"/>
    <x v="0"/>
    <s v="5GF308"/>
    <s v="TMS"/>
    <s v="CLAY REGAZZONNI TELES"/>
    <s v="Tms"/>
    <s v="Tms"/>
    <d v="2025-08-12T11:20:00"/>
    <n v="8053"/>
    <s v="Salvador / SSA"/>
    <s v="ON LINE"/>
    <s v="Invoice"/>
    <s v="Faturado"/>
    <x v="3"/>
    <s v="N"/>
    <x v="25"/>
    <s v="Mars Brasil - Mogi Mirim"/>
    <s v="-"/>
    <s v="-"/>
    <s v="-"/>
    <x v="12"/>
    <s v="-"/>
    <x v="91"/>
    <n v="0"/>
    <n v="0"/>
    <n v="0"/>
    <n v="0"/>
    <n v="0"/>
    <n v="0"/>
    <s v="Reserva importada do Sistema TMS. OS: 8053"/>
    <s v="Fornecedor não preenchido! (ACC01)"/>
    <x v="1"/>
    <x v="1"/>
    <s v="Campo Fornecedor"/>
    <x v="0"/>
    <s v="Qualidade dos dados"/>
    <s v="KONTIK BUSINESS TRAVEL"/>
    <x v="2"/>
  </r>
  <r>
    <n v="22729471"/>
    <n v="23527023"/>
    <s v="ACC01"/>
    <x v="96"/>
    <d v="2025-08-12T12:55:26"/>
    <x v="0"/>
    <x v="0"/>
    <s v="5GT3MK"/>
    <s v="TMS"/>
    <s v="CLARA BARIN"/>
    <s v="Tms"/>
    <s v="Tms"/>
    <d v="2025-08-12T10:06:00"/>
    <n v="8046"/>
    <s v="Joinville / JOI"/>
    <s v="ON LINE"/>
    <s v="Invoice"/>
    <s v="Faturado"/>
    <x v="3"/>
    <s v="N"/>
    <x v="25"/>
    <s v="Mars Brasil - Mogi Mirim"/>
    <s v="-"/>
    <s v="-"/>
    <s v="-"/>
    <x v="12"/>
    <s v="-"/>
    <x v="92"/>
    <n v="0"/>
    <n v="0"/>
    <n v="0"/>
    <n v="0"/>
    <n v="0"/>
    <n v="0"/>
    <s v="Reserva importada do Sistema TMS. OS: 8046"/>
    <s v="Fornecedor não preenchido! (ACC01)"/>
    <x v="1"/>
    <x v="1"/>
    <s v="Campo Fornecedor"/>
    <x v="0"/>
    <s v="Qualidade dos dados"/>
    <s v="KONTIK BUSINESS TRAVEL"/>
    <x v="2"/>
  </r>
  <r>
    <n v="22729475"/>
    <n v="23527026"/>
    <s v="ACC01"/>
    <x v="97"/>
    <d v="2025-08-12T12:55:26"/>
    <x v="0"/>
    <x v="0"/>
    <s v="5GUDBK"/>
    <s v="TMS"/>
    <s v="NATALIA FARIA"/>
    <s v="Tms"/>
    <s v="Tms"/>
    <d v="2025-08-12T09:17:00"/>
    <n v="8030"/>
    <s v="Campinas / VCP"/>
    <s v="ON LINE"/>
    <s v="Invoice"/>
    <s v="Faturado"/>
    <x v="3"/>
    <s v="N"/>
    <x v="25"/>
    <s v="Mars Brasil - Guararema"/>
    <s v="-"/>
    <s v="-"/>
    <s v="-"/>
    <x v="12"/>
    <s v="-"/>
    <x v="93"/>
    <n v="0"/>
    <n v="0"/>
    <n v="0"/>
    <n v="0"/>
    <n v="0"/>
    <n v="0"/>
    <s v="Reserva importada do Sistema TMS. OS: 8030"/>
    <s v="Fornecedor não preenchido! (ACC01)"/>
    <x v="1"/>
    <x v="1"/>
    <s v="Campo Fornecedor"/>
    <x v="0"/>
    <s v="Qualidade dos dados"/>
    <s v="KONTIK BUSINESS TRAVEL"/>
    <x v="2"/>
  </r>
  <r>
    <n v="22731569"/>
    <n v="23529033"/>
    <s v="ACC01"/>
    <x v="98"/>
    <d v="2025-08-12T18:19:14"/>
    <x v="0"/>
    <x v="0"/>
    <s v="5G87VI"/>
    <s v="LEMONTECH"/>
    <s v="FERNANDA DOS SANTOS PISKE"/>
    <s v="Ana Cristina Neto de Almeida"/>
    <s v="Ana Cristina Neto de Almeida"/>
    <d v="2025-08-12T16:58:00"/>
    <n v="17272386"/>
    <s v="-"/>
    <s v="OFF LINE"/>
    <s v="Invoice"/>
    <s v="Faturado"/>
    <x v="2"/>
    <s v="N"/>
    <x v="26"/>
    <s v="Youcom"/>
    <s v="-"/>
    <s v="-"/>
    <s v="-"/>
    <x v="13"/>
    <s v="-"/>
    <x v="94"/>
    <n v="8.32"/>
    <n v="9.9499999999999993"/>
    <n v="0"/>
    <n v="0"/>
    <n v="0"/>
    <n v="0"/>
    <s v="Reserva importada do Sistema Lemontech. Solicitação: 17272386"/>
    <s v="Fornecedor não preenchido! (ACC01)"/>
    <x v="6"/>
    <x v="1"/>
    <s v="Campo Fornecedor"/>
    <x v="0"/>
    <s v="Qualidade dos dados"/>
    <s v="KONTIK BUSINESS TRAVEL"/>
    <x v="2"/>
  </r>
  <r>
    <n v="22731572"/>
    <n v="23529034"/>
    <s v="ACC01"/>
    <x v="99"/>
    <d v="2025-08-12T18:19:15"/>
    <x v="0"/>
    <x v="0"/>
    <s v="5GPI4I"/>
    <s v="LEMONTECH"/>
    <s v="FERNANDA DOS SANTOS PISKE"/>
    <s v="Ana Cristina Neto de Almeida"/>
    <s v="Ana Cristina Neto de Almeida"/>
    <d v="2025-08-12T16:59:00"/>
    <n v="17272386"/>
    <s v="-"/>
    <s v="OFF LINE"/>
    <s v="Invoice"/>
    <s v="Faturado"/>
    <x v="2"/>
    <s v="N"/>
    <x v="26"/>
    <s v="Youcom"/>
    <s v="-"/>
    <s v="-"/>
    <s v="-"/>
    <x v="13"/>
    <s v="-"/>
    <x v="95"/>
    <n v="9.08"/>
    <n v="9.9499999999999993"/>
    <n v="0"/>
    <n v="0"/>
    <n v="0"/>
    <n v="0"/>
    <s v="Reserva importada do Sistema Lemontech. Solicitação: 17272386"/>
    <s v="Fornecedor não preenchido! (ACC01)"/>
    <x v="6"/>
    <x v="1"/>
    <s v="Campo Fornecedor"/>
    <x v="0"/>
    <s v="Qualidade dos dados"/>
    <s v="KONTIK BUSINESS TRAVEL"/>
    <x v="2"/>
  </r>
  <r>
    <n v="22731108"/>
    <n v="23528597"/>
    <s v="ACC01"/>
    <x v="100"/>
    <d v="2025-08-12T17:07:03"/>
    <x v="0"/>
    <x v="0"/>
    <s v="5GP8CK"/>
    <s v="LEMONTECH"/>
    <s v="CAMPOS/LEANDRO"/>
    <s v="Vitoria Silva Lopes"/>
    <s v="Vitoria Silva Lopes"/>
    <d v="2025-08-12T13:25:00"/>
    <n v="17269714"/>
    <s v="-"/>
    <s v="OFF LINE"/>
    <s v="Invoice"/>
    <s v="Faturado"/>
    <x v="2"/>
    <s v="N"/>
    <x v="26"/>
    <s v="Lojas Renner"/>
    <s v="-"/>
    <s v="-"/>
    <s v="-"/>
    <x v="13"/>
    <s v="-"/>
    <x v="96"/>
    <n v="0"/>
    <n v="0"/>
    <n v="0"/>
    <n v="0"/>
    <n v="0"/>
    <n v="0"/>
    <s v="Reserva importada do Sistema Lemontech. Solicitação: 17269714"/>
    <s v="Fornecedor não preenchido! (ACC01)"/>
    <x v="6"/>
    <x v="1"/>
    <s v="Campo Fornecedor"/>
    <x v="0"/>
    <s v="Qualidade dos dados"/>
    <s v="KONTIK BUSINESS TRAVEL"/>
    <x v="2"/>
  </r>
  <r>
    <n v="22730195"/>
    <n v="23527713"/>
    <s v="ACC01"/>
    <x v="101"/>
    <d v="2025-08-12T14:06:46"/>
    <x v="0"/>
    <x v="0"/>
    <s v="5G4IWK"/>
    <s v="LEMONTECH"/>
    <s v="LUIS GUSTAVO MARQUES SERAFIM"/>
    <s v="Vitoria Silva Lopes"/>
    <s v="Vitoria Silva Lopes"/>
    <d v="2025-08-11T16:59:00"/>
    <n v="17262512"/>
    <s v="-"/>
    <s v="OFF LINE"/>
    <s v="Invoice"/>
    <s v="Faturado"/>
    <x v="2"/>
    <s v="N"/>
    <x v="26"/>
    <s v="Lojas Renner"/>
    <s v="-"/>
    <s v="-"/>
    <s v="-"/>
    <x v="13"/>
    <s v="-"/>
    <x v="97"/>
    <n v="29.15"/>
    <n v="10.95"/>
    <n v="0"/>
    <n v="0"/>
    <n v="0"/>
    <n v="0"/>
    <s v="Reserva importada do Sistema Lemontech. Solicitação: 17262512"/>
    <s v="Fornecedor não preenchido! (ACC01)"/>
    <x v="6"/>
    <x v="1"/>
    <s v="Campo Fornecedor"/>
    <x v="0"/>
    <s v="Qualidade dos dados"/>
    <s v="KONTIK BUSINESS TRAVEL"/>
    <x v="2"/>
  </r>
  <r>
    <n v="22730196"/>
    <n v="23527714"/>
    <s v="ACC01"/>
    <x v="102"/>
    <d v="2025-08-12T14:06:47"/>
    <x v="0"/>
    <x v="0"/>
    <s v="5GT828"/>
    <s v="LEMONTECH"/>
    <s v="LUIS GUSTAVO MARQUES SERAFIM"/>
    <s v="Vitoria Silva Lopes"/>
    <s v="Vitoria Silva Lopes"/>
    <d v="2025-08-11T16:49:00"/>
    <n v="17262512"/>
    <s v="-"/>
    <s v="OFF LINE"/>
    <s v="Invoice"/>
    <s v="Faturado"/>
    <x v="2"/>
    <s v="N"/>
    <x v="26"/>
    <s v="Lojas Renner"/>
    <s v="-"/>
    <s v="-"/>
    <s v="-"/>
    <x v="13"/>
    <s v="-"/>
    <x v="98"/>
    <n v="25.07"/>
    <n v="9.9499999999999993"/>
    <n v="0"/>
    <n v="0"/>
    <n v="0"/>
    <n v="0"/>
    <s v="Reserva importada do Sistema Lemontech. Solicitação: 17262512"/>
    <s v="Fornecedor não preenchido! (ACC01)"/>
    <x v="6"/>
    <x v="1"/>
    <s v="Campo Fornecedor"/>
    <x v="0"/>
    <s v="Qualidade dos dados"/>
    <s v="KONTIK BUSINESS TRAVEL"/>
    <x v="2"/>
  </r>
  <r>
    <n v="22729095"/>
    <n v="23526657"/>
    <s v="ACC01"/>
    <x v="103"/>
    <d v="2025-08-12T12:06:21"/>
    <x v="0"/>
    <x v="0"/>
    <s v="5G1W8U"/>
    <s v="LEMONTECH"/>
    <s v="HARUMI BARRANCO/ANA"/>
    <s v="Vitoria Silva Lopes"/>
    <s v="Vitoria Silva Lopes"/>
    <d v="2025-08-12T00:00:00"/>
    <n v="17244126"/>
    <s v="-"/>
    <s v="ON LINE"/>
    <s v="Invoice"/>
    <s v="Faturado"/>
    <x v="1"/>
    <s v="N"/>
    <x v="26"/>
    <s v="Lojas Renner"/>
    <s v="-"/>
    <s v="-"/>
    <s v="-"/>
    <x v="13"/>
    <s v="-"/>
    <x v="99"/>
    <n v="0"/>
    <n v="0"/>
    <n v="0"/>
    <n v="0"/>
    <n v="0"/>
    <n v="0"/>
    <s v="Reserva importada do Sistema Lemontech. Solicitação: 17244126"/>
    <s v="Fornecedor não preenchido! (ACC01)"/>
    <x v="6"/>
    <x v="1"/>
    <s v="Campo Fornecedor"/>
    <x v="0"/>
    <s v="Qualidade dos dados"/>
    <s v="KONTIK BUSINESS TRAVEL"/>
    <x v="2"/>
  </r>
  <r>
    <n v="22724128"/>
    <n v="23522378"/>
    <s v="ACC01"/>
    <x v="104"/>
    <d v="2025-08-11T18:06:54"/>
    <x v="0"/>
    <x v="0"/>
    <s v="5GT5UY"/>
    <s v="LEMONTECH"/>
    <s v="STEIN/BRUNA"/>
    <s v="Vitoria Silva Lopes"/>
    <s v="Vitoria Silva Lopes"/>
    <d v="2025-08-11T00:00:00"/>
    <n v="17222446"/>
    <s v="-"/>
    <s v="ON LINE"/>
    <s v="Invoice"/>
    <s v="Faturado"/>
    <x v="1"/>
    <s v="N"/>
    <x v="26"/>
    <s v="Lojas Renner"/>
    <s v="-"/>
    <s v="-"/>
    <s v="-"/>
    <x v="13"/>
    <s v="-"/>
    <x v="100"/>
    <n v="0"/>
    <n v="0"/>
    <n v="0"/>
    <n v="0"/>
    <n v="0"/>
    <n v="0"/>
    <s v="Reserva importada do Sistema Lemontech. Solicitação: 17222446"/>
    <s v="Fornecedor não preenchido! (ACC01)"/>
    <x v="6"/>
    <x v="1"/>
    <s v="Campo Fornecedor"/>
    <x v="0"/>
    <s v="Qualidade dos dados"/>
    <s v="KONTIK BUSINESS TRAVEL"/>
    <x v="2"/>
  </r>
  <r>
    <n v="22724136"/>
    <n v="23522388"/>
    <s v="ACC01"/>
    <x v="105"/>
    <d v="2025-08-11T18:07:08"/>
    <x v="0"/>
    <x v="0"/>
    <s v="5G0YJH"/>
    <s v="LEMONTECH"/>
    <s v="DE CARVALHO/DANIEL"/>
    <s v="Vitoria Silva Lopes"/>
    <s v="Vitoria Silva Lopes"/>
    <d v="2025-08-11T00:00:00"/>
    <n v="17244115"/>
    <s v="-"/>
    <s v="ON LINE"/>
    <s v="Invoice"/>
    <s v="Faturado"/>
    <x v="1"/>
    <s v="N"/>
    <x v="26"/>
    <s v="Lojas Renner"/>
    <s v="-"/>
    <s v="-"/>
    <s v="-"/>
    <x v="13"/>
    <s v="-"/>
    <x v="99"/>
    <n v="0"/>
    <n v="0"/>
    <n v="0"/>
    <n v="0"/>
    <n v="0"/>
    <n v="0"/>
    <s v="Reserva importada do Sistema Lemontech. Solicitação: 17244115"/>
    <s v="Fornecedor não preenchido! (ACC01)"/>
    <x v="6"/>
    <x v="1"/>
    <s v="Campo Fornecedor"/>
    <x v="0"/>
    <s v="Qualidade dos dados"/>
    <s v="KONTIK BUSINESS TRAVEL"/>
    <x v="2"/>
  </r>
  <r>
    <n v="22724176"/>
    <n v="23522425"/>
    <s v="ACC01"/>
    <x v="106"/>
    <d v="2025-08-11T18:07:18"/>
    <x v="0"/>
    <x v="0"/>
    <s v="5GA7UH"/>
    <s v="LEMONTECH"/>
    <s v="MARTINS DOS SANTOS/DANIEL"/>
    <s v="Daniel Luis Soares"/>
    <s v="Daniel Luis Soares"/>
    <d v="2025-08-11T00:00:00"/>
    <n v="17260897"/>
    <s v="-"/>
    <s v="ON LINE"/>
    <s v="Invoice"/>
    <s v="Faturado"/>
    <x v="1"/>
    <s v="N"/>
    <x v="26"/>
    <s v="Lojas Renner"/>
    <s v="-"/>
    <s v="-"/>
    <s v="-"/>
    <x v="13"/>
    <s v="-"/>
    <x v="101"/>
    <n v="0"/>
    <n v="0"/>
    <n v="0"/>
    <n v="0"/>
    <n v="0"/>
    <n v="0"/>
    <s v="Reserva importada do Sistema Lemontech. Solicitação: 17260897"/>
    <s v="Fornecedor não preenchido! (ACC01)"/>
    <x v="6"/>
    <x v="1"/>
    <s v="Campo Fornecedor"/>
    <x v="0"/>
    <s v="Qualidade dos dados"/>
    <s v="KONTIK BUSINESS TRAVEL"/>
    <x v="2"/>
  </r>
  <r>
    <n v="22731109"/>
    <n v="23528598"/>
    <s v="ACC01"/>
    <x v="107"/>
    <d v="2025-08-12T17:07:04"/>
    <x v="0"/>
    <x v="0"/>
    <s v="5GA8DK"/>
    <s v="LEMONTECH"/>
    <s v="CINTHIA HIDALGO MOLINA"/>
    <s v="Daniel Luis Soares"/>
    <s v="Daniel Luis Soares"/>
    <d v="2025-08-12T14:31:00"/>
    <n v="17270685"/>
    <s v="-"/>
    <s v="OFF LINE"/>
    <s v="Invoice"/>
    <s v="Faturado"/>
    <x v="2"/>
    <s v="N"/>
    <x v="26"/>
    <s v="Lojas Renner"/>
    <s v="-"/>
    <s v="-"/>
    <s v="-"/>
    <x v="13"/>
    <s v="-"/>
    <x v="102"/>
    <n v="40.67"/>
    <n v="9.9499999999999993"/>
    <n v="0"/>
    <n v="0"/>
    <n v="0"/>
    <n v="0"/>
    <s v="Reserva importada do Sistema Lemontech. Solicitação: 17270685"/>
    <s v="Fornecedor não preenchido! (ACC01)"/>
    <x v="6"/>
    <x v="1"/>
    <s v="Campo Fornecedor"/>
    <x v="0"/>
    <s v="Qualidade dos dados"/>
    <s v="KONTIK BUSINESS TRAVEL"/>
    <x v="2"/>
  </r>
  <r>
    <n v="22728498"/>
    <n v="23526077"/>
    <s v="ACC01"/>
    <x v="108"/>
    <d v="2025-08-12T10:07:24"/>
    <x v="0"/>
    <x v="0"/>
    <s v="5GKVJU"/>
    <s v="LEMONTECH"/>
    <s v="ELIDIANE WITKOSKI"/>
    <s v="Daniel Luis Soares"/>
    <s v="Daniel Luis Soares"/>
    <d v="2025-08-11T14:03:00"/>
    <n v="17258829"/>
    <s v="-"/>
    <s v="OFF LINE"/>
    <s v="Invoice"/>
    <s v="Faturado"/>
    <x v="2"/>
    <s v="N"/>
    <x v="26"/>
    <s v="Lojas Renner"/>
    <s v="-"/>
    <s v="-"/>
    <s v="-"/>
    <x v="13"/>
    <s v="-"/>
    <x v="102"/>
    <n v="40.67"/>
    <n v="9.9499999999999993"/>
    <n v="0"/>
    <n v="0"/>
    <n v="0"/>
    <n v="0"/>
    <s v="Reserva importada do Sistema Lemontech. Solicitação: 17258829"/>
    <s v="Fornecedor não preenchido! (ACC01)"/>
    <x v="6"/>
    <x v="1"/>
    <s v="Campo Fornecedor"/>
    <x v="0"/>
    <s v="Qualidade dos dados"/>
    <s v="KONTIK BUSINESS TRAVEL"/>
    <x v="2"/>
  </r>
  <r>
    <n v="22728499"/>
    <n v="23526078"/>
    <s v="ACC01"/>
    <x v="109"/>
    <d v="2025-08-12T10:07:24"/>
    <x v="0"/>
    <x v="0"/>
    <s v="5GLV77"/>
    <s v="LEMONTECH"/>
    <s v="ELIDIANE WITKOSKI"/>
    <s v="Daniel Luis Soares"/>
    <s v="Daniel Luis Soares"/>
    <d v="2025-08-11T14:04:00"/>
    <n v="17258829"/>
    <s v="-"/>
    <s v="OFF LINE"/>
    <s v="Invoice"/>
    <s v="Faturado"/>
    <x v="2"/>
    <s v="N"/>
    <x v="26"/>
    <s v="Lojas Renner"/>
    <s v="-"/>
    <s v="-"/>
    <s v="-"/>
    <x v="13"/>
    <s v="-"/>
    <x v="103"/>
    <n v="40.67"/>
    <n v="9.9499999999999993"/>
    <n v="0"/>
    <n v="0"/>
    <n v="0"/>
    <n v="0"/>
    <s v="Reserva importada do Sistema Lemontech. Solicitação: 17258829"/>
    <s v="Fornecedor não preenchido! (ACC01)"/>
    <x v="6"/>
    <x v="1"/>
    <s v="Campo Fornecedor"/>
    <x v="0"/>
    <s v="Qualidade dos dados"/>
    <s v="KONTIK BUSINESS TRAVEL"/>
    <x v="2"/>
  </r>
  <r>
    <n v="22728500"/>
    <n v="23526080"/>
    <s v="ACC01"/>
    <x v="110"/>
    <d v="2025-08-12T10:12:41"/>
    <x v="0"/>
    <x v="0"/>
    <s v="5G0TJ7"/>
    <s v="LEMONTECH"/>
    <s v="OLIVEIRA DUCHINI/HANNY"/>
    <s v="Hiran Ricardo da Silva Ramos"/>
    <s v="Hiran Ricardo da Silva Ramos"/>
    <d v="2025-08-12T00:00:00"/>
    <n v="17259517"/>
    <s v="-"/>
    <s v="ON LINE"/>
    <s v="Cartão de crédito"/>
    <s v="Cartão de crédito"/>
    <x v="1"/>
    <s v="N"/>
    <x v="26"/>
    <s v="Lojas Renner"/>
    <s v="-"/>
    <s v="-"/>
    <s v="-"/>
    <x v="13"/>
    <s v="-"/>
    <x v="104"/>
    <n v="0"/>
    <n v="0"/>
    <n v="0"/>
    <n v="0"/>
    <n v="0"/>
    <n v="0"/>
    <s v="Reserva importada do Sistema Lemontech. Solicitação: 17259517"/>
    <s v="Fornecedor não preenchido! (ACC01)"/>
    <x v="6"/>
    <x v="1"/>
    <s v="Campo Fornecedor"/>
    <x v="0"/>
    <s v="Qualidade dos dados"/>
    <s v="KONTIK BUSINESS TRAVEL"/>
    <x v="2"/>
  </r>
  <r>
    <n v="22730740"/>
    <n v="23528232"/>
    <s v="ACC01"/>
    <x v="111"/>
    <d v="2025-08-12T16:00:59"/>
    <x v="0"/>
    <x v="0"/>
    <s v="5GNVCI"/>
    <s v="LEMONTECH"/>
    <s v="TIEZZI/LUIZA"/>
    <s v="Hiran Ricardo da Silva Ramos"/>
    <s v="Hiran Ricardo da Silva Ramos"/>
    <d v="2025-08-12T00:00:00"/>
    <n v="17231468"/>
    <s v="-"/>
    <s v="ON LINE"/>
    <s v="Invoice"/>
    <s v="Faturado"/>
    <x v="1"/>
    <s v="N"/>
    <x v="26"/>
    <s v="Lojas Renner"/>
    <s v="-"/>
    <s v="-"/>
    <s v="-"/>
    <x v="13"/>
    <s v="-"/>
    <x v="105"/>
    <n v="0"/>
    <n v="0"/>
    <n v="0"/>
    <n v="0"/>
    <n v="0"/>
    <n v="0"/>
    <s v="Reserva importada do Sistema Lemontech. Solicitação: 17231468"/>
    <s v="Fornecedor não preenchido! (ACC01)"/>
    <x v="6"/>
    <x v="1"/>
    <s v="Campo Fornecedor"/>
    <x v="0"/>
    <s v="Qualidade dos dados"/>
    <s v="KONTIK BUSINESS TRAVEL"/>
    <x v="2"/>
  </r>
  <r>
    <n v="22731584"/>
    <n v="23529048"/>
    <s v="ACC01"/>
    <x v="112"/>
    <d v="2025-08-12T18:19:30"/>
    <x v="0"/>
    <x v="0"/>
    <s v="5G6IRI"/>
    <s v="LEMONTECH"/>
    <s v="DE MORAES/GABRIELA"/>
    <s v="Hiran Ricardo da Silva Ramos"/>
    <s v="Hiran Ricardo da Silva Ramos"/>
    <d v="2025-08-12T17:33:00"/>
    <n v="17275152"/>
    <s v="-"/>
    <s v="OFF LINE"/>
    <s v="Invoice"/>
    <s v="Faturado"/>
    <x v="2"/>
    <s v="N"/>
    <x v="26"/>
    <s v="Lojas Renner"/>
    <s v="-"/>
    <s v="-"/>
    <s v="-"/>
    <x v="13"/>
    <s v="-"/>
    <x v="106"/>
    <n v="0"/>
    <n v="0"/>
    <n v="0"/>
    <n v="0"/>
    <n v="0"/>
    <n v="0"/>
    <s v="Reserva importada do Sistema Lemontech. Solicitação: 17275152"/>
    <s v="Fornecedor não preenchido! (ACC01)"/>
    <x v="6"/>
    <x v="1"/>
    <s v="Campo Fornecedor"/>
    <x v="0"/>
    <s v="Qualidade dos dados"/>
    <s v="KONTIK BUSINESS TRAVEL"/>
    <x v="2"/>
  </r>
  <r>
    <n v="22731585"/>
    <n v="23529049"/>
    <s v="ACC01"/>
    <x v="113"/>
    <d v="2025-08-12T18:19:31"/>
    <x v="0"/>
    <x v="0"/>
    <s v="5G7KRK"/>
    <s v="LEMONTECH"/>
    <s v="GIMENEZ/ANDERSON"/>
    <s v="Hiran Ricardo da Silva Ramos"/>
    <s v="Hiran Ricardo da Silva Ramos"/>
    <d v="2025-08-12T17:37:00"/>
    <n v="17275213"/>
    <s v="-"/>
    <s v="OFF LINE"/>
    <s v="Invoice"/>
    <s v="Faturado"/>
    <x v="2"/>
    <s v="N"/>
    <x v="26"/>
    <s v="Lojas Renner"/>
    <s v="-"/>
    <s v="-"/>
    <s v="-"/>
    <x v="13"/>
    <s v="-"/>
    <x v="107"/>
    <n v="0"/>
    <n v="0"/>
    <n v="0"/>
    <n v="0"/>
    <n v="0"/>
    <n v="0"/>
    <s v="Reserva importada do Sistema Lemontech. Solicitação: 17275213"/>
    <s v="Fornecedor não preenchido! (ACC01)"/>
    <x v="6"/>
    <x v="1"/>
    <s v="Campo Fornecedor"/>
    <x v="0"/>
    <s v="Qualidade dos dados"/>
    <s v="KONTIK BUSINESS TRAVEL"/>
    <x v="2"/>
  </r>
  <r>
    <n v="22731587"/>
    <n v="23529051"/>
    <s v="ACC01"/>
    <x v="114"/>
    <d v="2025-08-12T18:19:32"/>
    <x v="0"/>
    <x v="0"/>
    <s v="5G8K4I"/>
    <s v="LEMONTECH"/>
    <s v="DE ARAUJO/GABRIELA"/>
    <s v="Hiran Ricardo da Silva Ramos"/>
    <s v="Hiran Ricardo da Silva Ramos"/>
    <d v="2025-08-12T17:40:00"/>
    <n v="17275239"/>
    <s v="-"/>
    <s v="OFF LINE"/>
    <s v="Invoice"/>
    <s v="Faturado"/>
    <x v="2"/>
    <s v="N"/>
    <x v="26"/>
    <s v="Lojas Renner"/>
    <s v="-"/>
    <s v="-"/>
    <s v="-"/>
    <x v="13"/>
    <s v="-"/>
    <x v="108"/>
    <n v="0"/>
    <n v="0"/>
    <n v="0"/>
    <n v="0"/>
    <n v="0"/>
    <n v="0"/>
    <s v="Reserva importada do Sistema Lemontech. Solicitação: 17275239"/>
    <s v="Fornecedor não preenchido! (ACC01)"/>
    <x v="6"/>
    <x v="1"/>
    <s v="Campo Fornecedor"/>
    <x v="0"/>
    <s v="Qualidade dos dados"/>
    <s v="KONTIK BUSINESS TRAVEL"/>
    <x v="2"/>
  </r>
  <r>
    <n v="22731588"/>
    <n v="23529052"/>
    <s v="ACC01"/>
    <x v="115"/>
    <d v="2025-08-12T18:24:31"/>
    <x v="0"/>
    <x v="0"/>
    <s v="5GNI4K"/>
    <s v="LEMONTECH"/>
    <s v="DE OLIVEIRA/THAIS"/>
    <s v="Hiran Ricardo da Silva Ramos"/>
    <s v="Hiran Ricardo da Silva Ramos"/>
    <d v="2025-08-12T17:43:00"/>
    <n v="17275278"/>
    <s v="-"/>
    <s v="OFF LINE"/>
    <s v="Invoice"/>
    <s v="Faturado"/>
    <x v="2"/>
    <s v="N"/>
    <x v="26"/>
    <s v="Lojas Renner"/>
    <s v="-"/>
    <s v="-"/>
    <s v="-"/>
    <x v="13"/>
    <s v="-"/>
    <x v="109"/>
    <n v="0"/>
    <n v="0"/>
    <n v="0"/>
    <n v="0"/>
    <n v="0"/>
    <n v="0"/>
    <s v="Reserva importada do Sistema Lemontech. Solicitação: 17275278"/>
    <s v="Fornecedor não preenchido! (ACC01)"/>
    <x v="6"/>
    <x v="1"/>
    <s v="Campo Fornecedor"/>
    <x v="0"/>
    <s v="Qualidade dos dados"/>
    <s v="KONTIK BUSINESS TRAVEL"/>
    <x v="2"/>
  </r>
  <r>
    <n v="22731589"/>
    <n v="23529053"/>
    <s v="ACC01"/>
    <x v="116"/>
    <d v="2025-08-12T18:24:32"/>
    <x v="0"/>
    <x v="0"/>
    <s v="5G0LVK"/>
    <s v="LEMONTECH"/>
    <s v="POKORSKI/LUCAS"/>
    <s v="Hiran Ricardo da Silva Ramos"/>
    <s v="Hiran Ricardo da Silva Ramos"/>
    <d v="2025-08-12T17:45:00"/>
    <n v="17275319"/>
    <s v="-"/>
    <s v="OFF LINE"/>
    <s v="Invoice"/>
    <s v="Faturado"/>
    <x v="2"/>
    <s v="N"/>
    <x v="26"/>
    <s v="Lojas Renner"/>
    <s v="-"/>
    <s v="-"/>
    <s v="-"/>
    <x v="13"/>
    <s v="-"/>
    <x v="110"/>
    <n v="0"/>
    <n v="0"/>
    <n v="0"/>
    <n v="0"/>
    <n v="0"/>
    <n v="0"/>
    <s v="Reserva importada do Sistema Lemontech. Solicitação: 17275319"/>
    <s v="Fornecedor não preenchido! (ACC01)"/>
    <x v="6"/>
    <x v="1"/>
    <s v="Campo Fornecedor"/>
    <x v="0"/>
    <s v="Qualidade dos dados"/>
    <s v="KONTIK BUSINESS TRAVEL"/>
    <x v="2"/>
  </r>
  <r>
    <n v="22724161"/>
    <n v="23522412"/>
    <s v="ACC01"/>
    <x v="117"/>
    <d v="2025-08-11T18:07:12"/>
    <x v="0"/>
    <x v="0"/>
    <s v="5GG6U6"/>
    <s v="LEMONTECH"/>
    <s v="DE OLIVEIRA/ANA"/>
    <s v="Hiran Ricardo da Silva Ramos"/>
    <s v="Hiran Ricardo da Silva Ramos"/>
    <d v="2025-08-11T00:00:00"/>
    <n v="17259081"/>
    <s v="-"/>
    <s v="ON LINE"/>
    <s v="Invoice"/>
    <s v="Faturado"/>
    <x v="1"/>
    <s v="N"/>
    <x v="26"/>
    <s v="Lojas Renner"/>
    <s v="-"/>
    <s v="-"/>
    <s v="-"/>
    <x v="13"/>
    <s v="-"/>
    <x v="111"/>
    <n v="0"/>
    <n v="0"/>
    <n v="0"/>
    <n v="0"/>
    <n v="0"/>
    <n v="0"/>
    <s v="Reserva importada do Sistema Lemontech. Solicitação: 17259081"/>
    <s v="Fornecedor não preenchido! (ACC01)"/>
    <x v="6"/>
    <x v="1"/>
    <s v="Campo Fornecedor"/>
    <x v="0"/>
    <s v="Qualidade dos dados"/>
    <s v="KONTIK BUSINESS TRAVEL"/>
    <x v="2"/>
  </r>
  <r>
    <n v="22720861"/>
    <n v="23519280"/>
    <s v="ACC01"/>
    <x v="118"/>
    <d v="2025-08-11T09:06:04"/>
    <x v="0"/>
    <x v="0"/>
    <s v="5GVQMH"/>
    <s v="LEMONTECH"/>
    <s v="SCHULTZ RODRIGUES/CAROLINE"/>
    <s v="Hiran Ricardo da Silva Ramos"/>
    <s v="Hiran Ricardo da Silva Ramos"/>
    <d v="2025-08-11T00:00:00"/>
    <n v="17221532"/>
    <s v="-"/>
    <s v="ON LINE"/>
    <s v="Invoice"/>
    <s v="Faturado"/>
    <x v="1"/>
    <s v="N"/>
    <x v="26"/>
    <s v="Lojas Renner"/>
    <s v="-"/>
    <s v="-"/>
    <s v="-"/>
    <x v="13"/>
    <s v="-"/>
    <x v="112"/>
    <n v="0"/>
    <n v="0"/>
    <n v="0"/>
    <n v="0"/>
    <n v="0"/>
    <n v="0"/>
    <s v="Reserva importada do Sistema Lemontech. Solicitação: 17221532"/>
    <s v="Fornecedor não preenchido! (ACC01)"/>
    <x v="6"/>
    <x v="1"/>
    <s v="Campo Fornecedor"/>
    <x v="0"/>
    <s v="Qualidade dos dados"/>
    <s v="KONTIK BUSINESS TRAVEL"/>
    <x v="2"/>
  </r>
  <r>
    <n v="22720868"/>
    <n v="23519287"/>
    <s v="ACC01"/>
    <x v="119"/>
    <d v="2025-08-11T09:06:25"/>
    <x v="0"/>
    <x v="0"/>
    <s v="5GIA0H"/>
    <s v="LEMONTECH"/>
    <s v="DA SILVA/MARCIA"/>
    <s v="Hiran Ricardo da Silva Ramos"/>
    <s v="Hiran Ricardo da Silva Ramos"/>
    <d v="2025-08-11T00:00:00"/>
    <n v="17248713"/>
    <s v="-"/>
    <s v="ON LINE"/>
    <s v="Invoice"/>
    <s v="Faturado"/>
    <x v="1"/>
    <s v="N"/>
    <x v="26"/>
    <s v="Lojas Renner"/>
    <s v="-"/>
    <s v="-"/>
    <s v="-"/>
    <x v="13"/>
    <s v="-"/>
    <x v="113"/>
    <n v="0"/>
    <n v="0"/>
    <n v="0"/>
    <n v="0"/>
    <n v="0"/>
    <n v="0"/>
    <s v="Reserva importada do Sistema Lemontech. Solicitação: 17248713"/>
    <s v="Fornecedor não preenchido! (ACC01)"/>
    <x v="6"/>
    <x v="1"/>
    <s v="Campo Fornecedor"/>
    <x v="0"/>
    <s v="Qualidade dos dados"/>
    <s v="KONTIK BUSINESS TRAVEL"/>
    <x v="2"/>
  </r>
  <r>
    <n v="22709980"/>
    <n v="23511337"/>
    <s v="ACC01"/>
    <x v="120"/>
    <d v="2025-08-08T18:07:36"/>
    <x v="3"/>
    <x v="3"/>
    <s v="5G9Z0G"/>
    <s v="LEMONTECH"/>
    <s v="SUKIENNIK/ALICE"/>
    <s v="Hiran Ricardo da Silva Ramos"/>
    <s v="Hiran Ricardo da Silva Ramos"/>
    <d v="2025-08-08T00:00:00"/>
    <n v="17248123"/>
    <s v="-"/>
    <s v="ON LINE"/>
    <s v="Invoice"/>
    <s v="Faturado"/>
    <x v="1"/>
    <s v="N"/>
    <x v="26"/>
    <s v="Lojas Renner"/>
    <s v="-"/>
    <s v="-"/>
    <s v="-"/>
    <x v="13"/>
    <s v="-"/>
    <x v="114"/>
    <n v="0"/>
    <n v="0"/>
    <n v="0"/>
    <n v="0"/>
    <n v="0"/>
    <n v="0"/>
    <s v="Reserva importada do Sistema Lemontech. Solicitação: 17248123"/>
    <s v="Fornecedor não preenchido! (ACC01)"/>
    <x v="6"/>
    <x v="1"/>
    <s v="Campo Fornecedor"/>
    <x v="0"/>
    <s v="Qualidade dos dados"/>
    <s v="KONTIK BUSINESS TRAVEL"/>
    <x v="2"/>
  </r>
  <r>
    <n v="22721448"/>
    <n v="23519808"/>
    <s v="ACC01"/>
    <x v="121"/>
    <d v="2025-08-11T11:12:30"/>
    <x v="0"/>
    <x v="0"/>
    <s v="5GFMZH"/>
    <s v="LEMONTECH"/>
    <s v="DE OLIVEIRA/JANETE"/>
    <s v="Hiran Ricardo da Silva Ramos"/>
    <s v="Hiran Ricardo da Silva Ramos"/>
    <d v="2025-08-11T00:00:00"/>
    <n v="17255625"/>
    <s v="-"/>
    <s v="ON LINE"/>
    <s v="Invoice"/>
    <s v="Faturado"/>
    <x v="1"/>
    <s v="N"/>
    <x v="26"/>
    <s v="Lojas Renner"/>
    <s v="-"/>
    <s v="-"/>
    <s v="-"/>
    <x v="13"/>
    <s v="-"/>
    <x v="115"/>
    <n v="0"/>
    <n v="0"/>
    <n v="0"/>
    <n v="0"/>
    <n v="0"/>
    <n v="0"/>
    <s v="Reserva importada do Sistema Lemontech. Solicitação: 17255625"/>
    <s v="Fornecedor não preenchido! (ACC01)"/>
    <x v="6"/>
    <x v="1"/>
    <s v="Campo Fornecedor"/>
    <x v="0"/>
    <s v="Qualidade dos dados"/>
    <s v="KONTIK BUSINESS TRAVEL"/>
    <x v="2"/>
  </r>
  <r>
    <n v="22706945"/>
    <n v="23508393"/>
    <s v="ACC01"/>
    <x v="122"/>
    <d v="2025-08-08T10:00:37"/>
    <x v="3"/>
    <x v="3"/>
    <s v="5G0KWV"/>
    <s v="LEMONTECH"/>
    <s v="MELLO DAMBROS/KAREN"/>
    <s v="Hiran Ricardo da Silva Ramos"/>
    <s v="Hiran Ricardo da Silva Ramos"/>
    <d v="2025-08-05T17:26:00"/>
    <n v="17130921"/>
    <s v="-"/>
    <s v="OFF LINE"/>
    <s v="Invoice"/>
    <s v="Faturado"/>
    <x v="2"/>
    <s v="N"/>
    <x v="26"/>
    <s v="Lojas Renner"/>
    <s v="-"/>
    <s v="-"/>
    <s v="-"/>
    <x v="13"/>
    <s v="-"/>
    <x v="116"/>
    <n v="0"/>
    <n v="0"/>
    <n v="0"/>
    <n v="0"/>
    <n v="0"/>
    <n v="0"/>
    <s v="Reserva importada do Sistema Lemontech. Solicitação: 17130921"/>
    <s v="Fornecedor não preenchido! (ACC01)"/>
    <x v="6"/>
    <x v="1"/>
    <s v="Campo Fornecedor"/>
    <x v="0"/>
    <s v="Qualidade dos dados"/>
    <s v="KONTIK BUSINESS TRAVEL"/>
    <x v="2"/>
  </r>
  <r>
    <n v="22653035"/>
    <n v="23462600"/>
    <s v="ACC01"/>
    <x v="123"/>
    <d v="2025-07-30T18:00:44"/>
    <x v="2"/>
    <x v="4"/>
    <s v="5FNFJX"/>
    <s v="LEMONTECH"/>
    <s v="MORASTONI/SHARI"/>
    <s v="Hiran Ricardo da Silva Ramos"/>
    <s v="Hiran Ricardo da Silva Ramos"/>
    <d v="2025-07-30T00:00:00"/>
    <n v="17088272"/>
    <s v="-"/>
    <s v="ON LINE"/>
    <s v="Invoice"/>
    <s v="Faturado"/>
    <x v="1"/>
    <s v="N"/>
    <x v="26"/>
    <s v="Lojas Renner"/>
    <s v="-"/>
    <s v="-"/>
    <s v="-"/>
    <x v="13"/>
    <s v="-"/>
    <x v="117"/>
    <n v="0"/>
    <n v="0"/>
    <n v="0"/>
    <n v="0"/>
    <n v="0"/>
    <n v="0"/>
    <s v="Reserva importada do Sistema Lemontech. Solicitação: 17088272"/>
    <s v="Fornecedor não preenchido! (ACC01)"/>
    <x v="6"/>
    <x v="1"/>
    <s v="Campo Fornecedor"/>
    <x v="0"/>
    <s v="Qualidade dos dados"/>
    <s v="KONTIK BUSINESS TRAVEL"/>
    <x v="2"/>
  </r>
  <r>
    <n v="22677964"/>
    <n v="23482555"/>
    <s v="ACC01"/>
    <x v="124"/>
    <d v="2025-08-04T12:00:46"/>
    <x v="2"/>
    <x v="4"/>
    <s v="5F11EU"/>
    <s v="LEMONTECH"/>
    <s v="PEDOT/RENAN"/>
    <s v="Hiran Ricardo da Silva Ramos"/>
    <s v="Hiran Ricardo da Silva Ramos"/>
    <d v="2025-07-24T00:00:00"/>
    <n v="17072029"/>
    <s v="-"/>
    <s v="ON LINE"/>
    <s v="Invoice"/>
    <s v="Faturado"/>
    <x v="1"/>
    <s v="N"/>
    <x v="26"/>
    <s v="Lojas Renner"/>
    <s v="-"/>
    <s v="-"/>
    <s v="-"/>
    <x v="13"/>
    <s v="-"/>
    <x v="117"/>
    <n v="0"/>
    <n v="0"/>
    <n v="0"/>
    <n v="0"/>
    <n v="0"/>
    <n v="0"/>
    <s v="Reserva importada do Sistema Lemontech. Solicitação: 17072029"/>
    <s v="Fornecedor não preenchido! (ACC01)"/>
    <x v="6"/>
    <x v="1"/>
    <s v="Campo Fornecedor"/>
    <x v="0"/>
    <s v="Qualidade dos dados"/>
    <s v="KONTIK BUSINESS TRAVEL"/>
    <x v="2"/>
  </r>
  <r>
    <n v="22677965"/>
    <n v="23482556"/>
    <s v="ACC01"/>
    <x v="125"/>
    <d v="2025-08-04T12:00:46"/>
    <x v="2"/>
    <x v="4"/>
    <s v="5FXADU"/>
    <s v="LEMONTECH"/>
    <s v="MELLO DAMBROS/KAREN"/>
    <s v="Hiran Ricardo da Silva Ramos"/>
    <s v="Hiran Ricardo da Silva Ramos"/>
    <d v="2025-07-24T00:00:00"/>
    <n v="17072037"/>
    <s v="-"/>
    <s v="ON LINE"/>
    <s v="Invoice"/>
    <s v="Faturado"/>
    <x v="1"/>
    <s v="N"/>
    <x v="26"/>
    <s v="Lojas Renner"/>
    <s v="-"/>
    <s v="-"/>
    <s v="-"/>
    <x v="13"/>
    <s v="-"/>
    <x v="118"/>
    <n v="0"/>
    <n v="0"/>
    <n v="0"/>
    <n v="0"/>
    <n v="0"/>
    <n v="0"/>
    <s v="Reserva importada do Sistema Lemontech. Solicitação: 17072037"/>
    <s v="Fornecedor não preenchido! (ACC01)"/>
    <x v="6"/>
    <x v="1"/>
    <s v="Campo Fornecedor"/>
    <x v="0"/>
    <s v="Qualidade dos dados"/>
    <s v="KONTIK BUSINESS TRAVEL"/>
    <x v="2"/>
  </r>
  <r>
    <n v="22705301"/>
    <n v="23507217"/>
    <s v="ACC01"/>
    <x v="126"/>
    <d v="2025-08-08T01:06:04"/>
    <x v="3"/>
    <x v="3"/>
    <s v="5GETBV"/>
    <s v="LEMONTECH"/>
    <s v="VIEIRA FERNANDES/LILIAM"/>
    <s v="Ronaldo Pereira Muzel"/>
    <s v="Ronaldo Pereira Muzel"/>
    <d v="2025-07-16T00:00:00"/>
    <n v="17240154"/>
    <s v="-"/>
    <s v="ON LINE"/>
    <s v="Cartão de crédito"/>
    <s v="Cartão de crédito"/>
    <x v="1"/>
    <s v="N"/>
    <x v="26"/>
    <s v="Lojas Renner"/>
    <s v="-"/>
    <s v="-"/>
    <s v="-"/>
    <x v="13"/>
    <s v="-"/>
    <x v="119"/>
    <n v="0"/>
    <n v="0"/>
    <n v="0"/>
    <n v="0"/>
    <n v="24.4"/>
    <n v="0"/>
    <s v="Reserva importada do Sistema Lemontech. Solicitação: 17240154"/>
    <s v="Fornecedor não preenchido! (ACC01)"/>
    <x v="6"/>
    <x v="1"/>
    <s v="Campo Fornecedor"/>
    <x v="0"/>
    <s v="Qualidade dos dados"/>
    <s v="KONTIK BUSINESS TRAVEL"/>
    <x v="2"/>
  </r>
  <r>
    <n v="22727011"/>
    <n v="23525087"/>
    <s v="ACC01"/>
    <x v="127"/>
    <d v="2025-08-12T00:46:19"/>
    <x v="0"/>
    <x v="0"/>
    <s v="5G4X67"/>
    <s v="TMS"/>
    <s v="PAULO HENRIQUE RIBEIRO"/>
    <s v="Tms"/>
    <s v="Tms"/>
    <d v="2025-08-11T18:21:00"/>
    <n v="5010"/>
    <s v="-"/>
    <s v="ON LINE"/>
    <s v="Invoice"/>
    <s v="Faturado"/>
    <x v="1"/>
    <s v="N"/>
    <x v="27"/>
    <s v="Track e Field Co Sa Matriz"/>
    <s v="-"/>
    <s v="-"/>
    <s v="-"/>
    <x v="14"/>
    <s v="-"/>
    <x v="120"/>
    <n v="0"/>
    <n v="0"/>
    <n v="0"/>
    <n v="0"/>
    <n v="13.54"/>
    <n v="0"/>
    <s v="Reserva importada do Sistema TMS. OS: 5010"/>
    <s v="Fornecedor não preenchido! (ACC01)"/>
    <x v="1"/>
    <x v="1"/>
    <s v="Campo Fornecedor"/>
    <x v="0"/>
    <s v="Sistêmico"/>
    <s v="GRUPO KONTIK"/>
    <x v="1"/>
  </r>
  <r>
    <n v="22679969"/>
    <n v="23484417"/>
    <s v="ACC01"/>
    <x v="128"/>
    <d v="2025-08-04T17:05:15"/>
    <x v="2"/>
    <x v="4"/>
    <s v="5FTDL7"/>
    <s v="MANUAL"/>
    <s v="RAFAEL YANES SOARES"/>
    <s v="Tms"/>
    <s v="Tms"/>
    <d v="2025-02-17T14:51:00"/>
    <n v="296"/>
    <s v="-"/>
    <s v="OFF LINE"/>
    <s v="Invoice"/>
    <s v="Faturado"/>
    <x v="1"/>
    <s v="N"/>
    <x v="27"/>
    <s v="Tfsports Eventos Esportivos Ltda"/>
    <s v="-"/>
    <s v="Hf Fenix Lisboa"/>
    <s v="-"/>
    <x v="14"/>
    <s v="-"/>
    <x v="121"/>
    <n v="0"/>
    <n v="0"/>
    <n v="0"/>
    <n v="0"/>
    <n v="0"/>
    <n v="0"/>
    <s v="Reserva importada do Sistema TMS. OS: 296"/>
    <s v="Não foi possível encontrar um contrato válido para o fornecedor 64482 (Código fornecedor) "/>
    <x v="2"/>
    <x v="5"/>
    <s v="Análise Cadastro"/>
    <x v="0"/>
    <s v="Qualidade dos dados"/>
    <s v="KONTIK BUSINESS TRAVEL"/>
    <x v="0"/>
  </r>
  <r>
    <n v="22679983"/>
    <n v="23484427"/>
    <s v="ACC01"/>
    <x v="129"/>
    <d v="2025-08-04T17:06:27"/>
    <x v="2"/>
    <x v="4"/>
    <s v="4U61T7.F"/>
    <s v="MANUAL"/>
    <s v="RAFAEL YANES SOARES"/>
    <s v="Tms"/>
    <s v="Tms"/>
    <d v="2025-02-17T14:51:00"/>
    <n v="296"/>
    <s v="-"/>
    <s v="OFF LINE"/>
    <s v="Invoice"/>
    <s v="Faturado"/>
    <x v="1"/>
    <s v="N"/>
    <x v="27"/>
    <s v="Tfsports Eventos Esportivos Ltda"/>
    <s v="-"/>
    <s v="Hf Fenix Lisboa"/>
    <s v="-"/>
    <x v="14"/>
    <s v="-"/>
    <x v="121"/>
    <n v="0"/>
    <n v="0"/>
    <n v="0"/>
    <n v="0"/>
    <n v="0"/>
    <n v="0"/>
    <s v="Reserva importada do Sistema TMS. OS: 296"/>
    <s v="Não foi possível encontrar um contrato válido para o fornecedor 64482 (Código fornecedor) "/>
    <x v="2"/>
    <x v="5"/>
    <s v="Análise Cadastro"/>
    <x v="0"/>
    <s v="Qualidade dos dados"/>
    <s v="KONTIK BUSINESS TRAVEL"/>
    <x v="0"/>
  </r>
  <r>
    <n v="22732464"/>
    <n v="23529899"/>
    <s v="ACC01"/>
    <x v="130"/>
    <d v="2025-08-12T19:36:49"/>
    <x v="0"/>
    <x v="0"/>
    <s v="5GJB9K"/>
    <s v="TMS"/>
    <s v="THIAGO LARA"/>
    <s v="Tms"/>
    <s v="Tms"/>
    <d v="2025-08-12T17:33:00"/>
    <n v="586"/>
    <s v="-"/>
    <s v="ON LINE"/>
    <s v="Invoice"/>
    <s v="Faturado"/>
    <x v="1"/>
    <s v="N"/>
    <x v="27"/>
    <s v="Tfsports Eventos Esportivos Ltda"/>
    <s v="-"/>
    <s v="-"/>
    <s v="-"/>
    <x v="14"/>
    <s v="-"/>
    <x v="122"/>
    <n v="0"/>
    <n v="0"/>
    <n v="0"/>
    <n v="0"/>
    <n v="9.35"/>
    <n v="0"/>
    <s v="Reserva importada do Sistema TMS. OS: 586"/>
    <s v="Fornecedor não preenchido! (ACC01)"/>
    <x v="1"/>
    <x v="1"/>
    <s v="Campo Fornecedor"/>
    <x v="0"/>
    <s v="Sistêmico"/>
    <s v="GRUPO KONTIK"/>
    <x v="1"/>
  </r>
  <r>
    <n v="22732465"/>
    <n v="23529900"/>
    <s v="ACC01"/>
    <x v="131"/>
    <d v="2025-08-12T19:36:49"/>
    <x v="0"/>
    <x v="0"/>
    <s v="5GKMLI"/>
    <s v="TMS"/>
    <s v="FLAVIA MORGADO"/>
    <s v="Tms"/>
    <s v="Tms"/>
    <d v="2025-08-12T16:34:00"/>
    <n v="585"/>
    <s v="-"/>
    <s v="ON LINE"/>
    <s v="Invoice"/>
    <s v="Faturado"/>
    <x v="1"/>
    <s v="N"/>
    <x v="27"/>
    <s v="Tfsports Eventos Esportivos Ltda"/>
    <s v="-"/>
    <s v="-"/>
    <s v="-"/>
    <x v="14"/>
    <s v="-"/>
    <x v="122"/>
    <n v="0"/>
    <n v="0"/>
    <n v="0"/>
    <n v="0"/>
    <n v="9.35"/>
    <n v="0"/>
    <s v="Reserva importada do Sistema TMS. OS: 585"/>
    <s v="Fornecedor não preenchido! (ACC01)"/>
    <x v="1"/>
    <x v="1"/>
    <s v="Campo Fornecedor"/>
    <x v="0"/>
    <s v="Sistêmico"/>
    <s v="GRUPO KONTIK"/>
    <x v="1"/>
  </r>
  <r>
    <n v="22680829"/>
    <n v="23485310"/>
    <s v="ACC01"/>
    <x v="132"/>
    <d v="2025-08-04T18:52:25"/>
    <x v="2"/>
    <x v="4"/>
    <s v="5FBVWK"/>
    <s v="TMS"/>
    <s v="CATIA BAZARIN"/>
    <s v="Claudia Lucia Stella"/>
    <s v="Claudia Lucia Stella"/>
    <d v="2025-08-04T17:32:00"/>
    <n v="3457"/>
    <s v="-"/>
    <s v="OFF LINE"/>
    <s v="Cartão de crédito"/>
    <s v="Cartão de crédito"/>
    <x v="1"/>
    <s v="N"/>
    <x v="28"/>
    <s v="Epson"/>
    <s v="-"/>
    <s v="-"/>
    <s v="-"/>
    <x v="14"/>
    <s v="-"/>
    <x v="123"/>
    <n v="0"/>
    <n v="0"/>
    <n v="0"/>
    <n v="0"/>
    <n v="9.7799999999999994"/>
    <n v="0"/>
    <s v="Reserva importada do Sistema TMS. OS: 3457"/>
    <s v="Fornecedor não preenchido! (ACC01)"/>
    <x v="1"/>
    <x v="1"/>
    <s v="Campo Fornecedor"/>
    <x v="0"/>
    <s v="Qualidade dos dados"/>
    <s v="KONTIK BUSINESS TRAVEL"/>
    <x v="2"/>
  </r>
  <r>
    <n v="22724679"/>
    <n v="23522920"/>
    <s v="ACC01"/>
    <x v="133"/>
    <d v="2025-08-11T19:03:08"/>
    <x v="0"/>
    <x v="0"/>
    <s v="5G6S0U"/>
    <s v="TMS"/>
    <s v="MILENA CRISTINA"/>
    <s v="Tms"/>
    <s v="Tms"/>
    <d v="2025-08-11T16:47:00"/>
    <n v="3513"/>
    <s v="-"/>
    <s v="ON LINE"/>
    <s v="Cartão de crédito"/>
    <s v="Cartão de crédito"/>
    <x v="1"/>
    <s v="N"/>
    <x v="28"/>
    <s v="Epson"/>
    <s v="-"/>
    <s v="-"/>
    <s v="-"/>
    <x v="14"/>
    <s v="-"/>
    <x v="124"/>
    <n v="0"/>
    <n v="0"/>
    <n v="0"/>
    <n v="0"/>
    <n v="0"/>
    <n v="0"/>
    <s v="Reserva importada do Sistema TMS. OS: 3513"/>
    <s v="Fornecedor não preenchido! (ACC01)"/>
    <x v="1"/>
    <x v="1"/>
    <s v="Campo Fornecedor"/>
    <x v="0"/>
    <s v="Sistêmico"/>
    <s v="GRUPO KONTIK"/>
    <x v="1"/>
  </r>
  <r>
    <n v="22729436"/>
    <n v="23526987"/>
    <s v="ACC01"/>
    <x v="134"/>
    <d v="2025-08-12T12:50:58"/>
    <x v="0"/>
    <x v="0"/>
    <s v="5GQWPK"/>
    <s v="TMS"/>
    <s v="RICARDO COLLAZO"/>
    <s v="Tms"/>
    <s v="Tms"/>
    <d v="2025-08-12T11:27:00"/>
    <n v="3526"/>
    <s v="Confins / CNF"/>
    <s v="ON LINE"/>
    <s v="Invoice"/>
    <s v="Faturado"/>
    <x v="3"/>
    <s v="N"/>
    <x v="28"/>
    <s v="Epson"/>
    <s v="-"/>
    <s v="-"/>
    <s v="-"/>
    <x v="14"/>
    <s v="-"/>
    <x v="125"/>
    <n v="0"/>
    <n v="0"/>
    <n v="0"/>
    <n v="0"/>
    <n v="0"/>
    <n v="0"/>
    <s v="Reserva importada do Sistema TMS. OS: 3526"/>
    <s v="Fornecedor não preenchido! (ACC01)"/>
    <x v="1"/>
    <x v="1"/>
    <s v="Campo Fornecedor"/>
    <x v="0"/>
    <s v="Qualidade dos dados"/>
    <s v="KONTIK BUSINESS TRAVEL"/>
    <x v="2"/>
  </r>
  <r>
    <n v="22733911"/>
    <n v="23531194"/>
    <s v="ACC01"/>
    <x v="135"/>
    <d v="2025-08-13T00:20:54"/>
    <x v="0"/>
    <x v="0"/>
    <s v="5G1LAL"/>
    <s v="TMS"/>
    <s v="Rocha/Bernardo"/>
    <s v="Henrique Batista Tolentino"/>
    <s v="Henrique Batista Tolentino"/>
    <d v="2025-08-12T18:56:00"/>
    <n v="915"/>
    <s v="-"/>
    <s v="OFF LINE"/>
    <s v="Invoice"/>
    <s v="Faturado"/>
    <x v="0"/>
    <s v="N"/>
    <x v="29"/>
    <s v="Banco Genial"/>
    <s v="-"/>
    <s v="Gol Linhas Aereas"/>
    <n v="4432056194"/>
    <x v="14"/>
    <s v="-"/>
    <x v="19"/>
    <n v="85"/>
    <n v="0"/>
    <n v="0"/>
    <n v="0"/>
    <n v="0"/>
    <n v="0"/>
    <s v="Reserva importada do Sistema TMS. OS: 915"/>
    <s v="Tarifa mínima não preenchida! (ACC01) Tarifa máxima não preenchida! (ACC01)"/>
    <x v="1"/>
    <x v="0"/>
    <s v="Falta de informação Gerencial"/>
    <x v="0"/>
    <s v="Qualidade dos dados"/>
    <s v="KONTIK BUSINESS TRAVEL"/>
    <x v="0"/>
  </r>
  <r>
    <n v="22688330"/>
    <n v="23491973"/>
    <s v="ACC01"/>
    <x v="136"/>
    <d v="2025-08-05T19:15:33"/>
    <x v="1"/>
    <x v="1"/>
    <s v="5GPZPM"/>
    <s v="TMS"/>
    <s v="FILIPE LEMOS"/>
    <s v="Mariane Goncalves dos Santos"/>
    <s v="Mariane Goncalves dos Santos"/>
    <d v="2025-08-05T13:02:00"/>
    <n v="3425"/>
    <s v="-"/>
    <s v="OFF LINE"/>
    <s v="Invoice"/>
    <s v="Faturado"/>
    <x v="1"/>
    <s v="N"/>
    <x v="30"/>
    <s v="Airbus"/>
    <s v="-"/>
    <s v="-"/>
    <s v="-"/>
    <x v="14"/>
    <s v="-"/>
    <x v="126"/>
    <n v="0"/>
    <n v="0"/>
    <n v="0"/>
    <n v="0"/>
    <n v="0"/>
    <n v="0"/>
    <s v="Reserva importada do Sistema TMS. OS: 3425"/>
    <s v="Fornecedor não preenchido! (ACC01)"/>
    <x v="1"/>
    <x v="1"/>
    <s v="Campo Fornecedor"/>
    <x v="0"/>
    <s v="Qualidade dos dados"/>
    <s v="KONTIK BUSINESS TRAVEL"/>
    <x v="2"/>
  </r>
  <r>
    <n v="22733983"/>
    <n v="23531267"/>
    <s v="ACC01"/>
    <x v="137"/>
    <d v="2025-08-13T00:43:28"/>
    <x v="0"/>
    <x v="0"/>
    <s v="FPQBCM"/>
    <s v="TMS"/>
    <s v="SARYANE PALLADINO ABREU"/>
    <s v="Raissa Iorio Cestari"/>
    <s v="Tms"/>
    <d v="2025-08-12T18:23:00"/>
    <n v="74525"/>
    <s v="-"/>
    <s v="ON LINE"/>
    <s v="Cartão de crédito"/>
    <s v="Cartão AMEX"/>
    <x v="0"/>
    <s v="N"/>
    <x v="1"/>
    <s v="Ultragaz-matriz"/>
    <s v="-"/>
    <s v="Latam Airlines Brasil"/>
    <n v="2971498996"/>
    <x v="14"/>
    <s v="-"/>
    <x v="127"/>
    <n v="48.75"/>
    <n v="0"/>
    <n v="0"/>
    <n v="0"/>
    <n v="0"/>
    <n v="0"/>
    <s v="Reserva importada do Sistema TMS. OS: 74525"/>
    <s v="Pnr já existente. A duplicidade de rloc é permitida apenas 6 meses após o último pnr emitido"/>
    <x v="1"/>
    <x v="3"/>
    <s v="Campo RLOC"/>
    <x v="2"/>
    <s v="Qualidade dos dados"/>
    <s v="GRUPO KONTIK"/>
    <x v="5"/>
  </r>
  <r>
    <n v="22727041"/>
    <n v="23525117"/>
    <s v="ACC01"/>
    <x v="138"/>
    <d v="2025-08-12T00:51:42"/>
    <x v="0"/>
    <x v="0"/>
    <s v="5GQ5HU"/>
    <s v="TMS"/>
    <s v="CLEUTON DA SILVA"/>
    <s v="Tms"/>
    <s v="Tms"/>
    <d v="2025-08-11T21:34:00"/>
    <n v="76695"/>
    <s v="-"/>
    <s v="ON LINE"/>
    <s v="Cartão de crédito"/>
    <s v="Cartão de crédito"/>
    <x v="1"/>
    <s v="N"/>
    <x v="1"/>
    <s v="Bahiana Distribuidora de Gas"/>
    <s v="-"/>
    <s v="-"/>
    <s v="-"/>
    <x v="14"/>
    <s v="-"/>
    <x v="128"/>
    <n v="0"/>
    <n v="0"/>
    <n v="0"/>
    <n v="0"/>
    <n v="0"/>
    <n v="0"/>
    <s v="Reserva importada do Sistema TMS. OS: 76695"/>
    <s v="Fornecedor não preenchido! (ACC01)"/>
    <x v="1"/>
    <x v="1"/>
    <s v="Campo Fornecedor"/>
    <x v="0"/>
    <s v="Sistêmico"/>
    <s v="GRUPO KONTIK"/>
    <x v="1"/>
  </r>
  <r>
    <n v="22732581"/>
    <n v="23530007"/>
    <s v="ACC01"/>
    <x v="139"/>
    <d v="2025-08-12T19:50:49"/>
    <x v="0"/>
    <x v="0"/>
    <s v="5G5HOI"/>
    <s v="TMS"/>
    <s v="MIQUEIAS SILVA COUTINHO"/>
    <s v="Tms"/>
    <s v="Tms"/>
    <d v="2025-08-12T15:03:00"/>
    <n v="76934"/>
    <s v="Luís Eduardo Magalhães /    "/>
    <s v="ON LINE"/>
    <s v="Invoice"/>
    <s v="Faturado"/>
    <x v="3"/>
    <s v="N"/>
    <x v="1"/>
    <s v="Bahiana Distribuidora de Gas"/>
    <s v="-"/>
    <s v="-"/>
    <s v="-"/>
    <x v="14"/>
    <s v="-"/>
    <x v="129"/>
    <n v="0"/>
    <n v="0"/>
    <n v="0"/>
    <n v="0"/>
    <n v="0"/>
    <n v="0"/>
    <s v="Reserva importada do Sistema TMS. OS: 76934"/>
    <s v="Fornecedor não preenchido! (ACC01)"/>
    <x v="1"/>
    <x v="1"/>
    <s v="Campo Fornecedor"/>
    <x v="0"/>
    <s v="Qualidade dos dados"/>
    <s v="KONTIK BUSINESS TRAVEL"/>
    <x v="2"/>
  </r>
  <r>
    <n v="22727046"/>
    <n v="23525122"/>
    <s v="ACC01"/>
    <x v="140"/>
    <d v="2025-08-12T00:55:24"/>
    <x v="0"/>
    <x v="0"/>
    <s v="5G6THU"/>
    <s v="TMS"/>
    <s v="ADILSON ADILSON ALERICO"/>
    <s v="Jessica Soares Teixeira"/>
    <s v="Jessica Soares Teixeira"/>
    <d v="2025-08-11T18:03:00"/>
    <n v="76595"/>
    <s v="-"/>
    <s v="OFF LINE"/>
    <s v="Invoice"/>
    <s v="Faturado"/>
    <x v="1"/>
    <s v="N"/>
    <x v="1"/>
    <s v="Ultragaz-matriz"/>
    <s v="-"/>
    <s v="-"/>
    <s v="-"/>
    <x v="14"/>
    <s v="-"/>
    <x v="130"/>
    <n v="0"/>
    <n v="0"/>
    <n v="0"/>
    <n v="0"/>
    <n v="0"/>
    <n v="0"/>
    <s v="Reserva importada do Sistema TMS. OS: 76595"/>
    <s v="Fornecedor não preenchido! (ACC01)"/>
    <x v="1"/>
    <x v="1"/>
    <s v="Campo Fornecedor"/>
    <x v="0"/>
    <s v="Qualidade dos dados"/>
    <s v="KONTIK BUSINESS TRAVEL"/>
    <x v="2"/>
  </r>
  <r>
    <n v="22725403"/>
    <n v="23523629"/>
    <s v="ACC01"/>
    <x v="141"/>
    <d v="2025-08-11T20:10:54"/>
    <x v="0"/>
    <x v="0"/>
    <s v="5GCD37"/>
    <s v="TMS"/>
    <s v="ANDREYA KARINE SAMPAIO PINHEIRO"/>
    <s v="Raissa Iorio Cestari"/>
    <s v="Raissa Iorio Cestari"/>
    <d v="2025-08-11T17:29:00"/>
    <n v="76562"/>
    <s v="-"/>
    <s v="OFF LINE"/>
    <s v="Cartão de crédito"/>
    <s v="Cartão de crédito"/>
    <x v="1"/>
    <s v="N"/>
    <x v="1"/>
    <s v="Bahiana Distribuidora de Gas"/>
    <s v="-"/>
    <s v="-"/>
    <s v="-"/>
    <x v="14"/>
    <s v="-"/>
    <x v="131"/>
    <n v="0"/>
    <n v="0"/>
    <n v="0"/>
    <n v="0"/>
    <n v="0"/>
    <n v="0"/>
    <s v="Reserva importada do Sistema TMS. OS: 76562"/>
    <s v="Fornecedor não preenchido! (ACC01)"/>
    <x v="1"/>
    <x v="1"/>
    <s v="Campo Fornecedor"/>
    <x v="0"/>
    <s v="Qualidade dos dados"/>
    <s v="KONTIK BUSINESS TRAVEL"/>
    <x v="2"/>
  </r>
  <r>
    <n v="22703819"/>
    <n v="23505909"/>
    <s v="ACC01"/>
    <x v="142"/>
    <d v="2025-08-07T20:10:22"/>
    <x v="1"/>
    <x v="1"/>
    <s v="5G6GID"/>
    <s v="TMS"/>
    <s v="ED CARLOS FRANCISCO"/>
    <s v="Raissa Iorio Cestari"/>
    <s v="Raissa Iorio Cestari"/>
    <d v="2025-08-07T14:14:00"/>
    <n v="76303"/>
    <s v="-"/>
    <s v="OFF LINE"/>
    <s v="Cartão de crédito"/>
    <s v="Cartão de crédito"/>
    <x v="1"/>
    <s v="N"/>
    <x v="1"/>
    <s v="Ultragaz-matriz"/>
    <s v="-"/>
    <s v="-"/>
    <s v="-"/>
    <x v="14"/>
    <s v="-"/>
    <x v="132"/>
    <n v="0"/>
    <n v="0"/>
    <n v="0"/>
    <n v="0"/>
    <n v="0"/>
    <n v="0"/>
    <s v="Reserva importada do Sistema TMS. OS: 76303"/>
    <s v="Fornecedor não preenchido! (ACC01)"/>
    <x v="1"/>
    <x v="1"/>
    <s v="Campo Fornecedor"/>
    <x v="0"/>
    <s v="Qualidade dos dados"/>
    <s v="KONTIK BUSINESS TRAVEL"/>
    <x v="2"/>
  </r>
  <r>
    <n v="22703820"/>
    <n v="23505910"/>
    <s v="ACC01"/>
    <x v="143"/>
    <d v="2025-08-07T20:10:22"/>
    <x v="1"/>
    <x v="1"/>
    <s v="5G75I3"/>
    <s v="TMS"/>
    <s v="RAFAEL DE SOUSA COSTA"/>
    <s v="Raissa Iorio Cestari"/>
    <s v="Raissa Iorio Cestari"/>
    <d v="2025-08-07T14:00:00"/>
    <n v="76302"/>
    <s v="-"/>
    <s v="OFF LINE"/>
    <s v="Cartão de crédito"/>
    <s v="Cartão de crédito"/>
    <x v="1"/>
    <s v="N"/>
    <x v="1"/>
    <s v="Ultragaz-matriz"/>
    <s v="-"/>
    <s v="-"/>
    <s v="-"/>
    <x v="14"/>
    <s v="-"/>
    <x v="133"/>
    <n v="0"/>
    <n v="0"/>
    <n v="0"/>
    <n v="0"/>
    <n v="0"/>
    <n v="0"/>
    <s v="Reserva importada do Sistema TMS. OS: 76302"/>
    <s v="Fornecedor não preenchido! (ACC01)"/>
    <x v="1"/>
    <x v="1"/>
    <s v="Campo Fornecedor"/>
    <x v="0"/>
    <s v="Qualidade dos dados"/>
    <s v="KONTIK BUSINESS TRAVEL"/>
    <x v="2"/>
  </r>
  <r>
    <n v="22722325"/>
    <n v="23520682"/>
    <s v="ACC01"/>
    <x v="144"/>
    <d v="2025-08-11T13:26:29"/>
    <x v="0"/>
    <x v="0"/>
    <s v="5GBLF6"/>
    <s v="TMS"/>
    <s v="HUGO DA SILVA"/>
    <s v="Raissa Iorio Cestari"/>
    <s v="Raissa Iorio Cestari"/>
    <d v="2025-08-11T08:41:00"/>
    <n v="76560"/>
    <s v="-"/>
    <s v="OFF LINE"/>
    <s v="Cartão de crédito"/>
    <s v="Cartão de crédito"/>
    <x v="1"/>
    <s v="N"/>
    <x v="1"/>
    <s v="Bahiana Distribuidora de Gas"/>
    <s v="-"/>
    <s v="-"/>
    <s v="-"/>
    <x v="14"/>
    <s v="-"/>
    <x v="131"/>
    <n v="0"/>
    <n v="0"/>
    <n v="0"/>
    <n v="0"/>
    <n v="0"/>
    <n v="0"/>
    <s v="Reserva importada do Sistema TMS. OS: 76560"/>
    <s v="Fornecedor não preenchido! (ACC01)"/>
    <x v="1"/>
    <x v="1"/>
    <s v="Campo Fornecedor"/>
    <x v="0"/>
    <s v="Qualidade dos dados"/>
    <s v="KONTIK BUSINESS TRAVEL"/>
    <x v="2"/>
  </r>
  <r>
    <n v="22667347"/>
    <n v="23475160"/>
    <s v="ACC01"/>
    <x v="145"/>
    <d v="2025-08-01T19:46:22"/>
    <x v="2"/>
    <x v="4"/>
    <s v="5FSVRY"/>
    <s v="TMS"/>
    <s v="KAMILA OSOWSKI TOMAZI"/>
    <s v="Tms"/>
    <s v="Tms"/>
    <d v="2025-08-01T17:32:00"/>
    <n v="75692"/>
    <s v="Palhoca / FLN"/>
    <s v="ON LINE"/>
    <s v="Invoice"/>
    <s v="Faturado"/>
    <x v="3"/>
    <s v="N"/>
    <x v="1"/>
    <s v="Ultragaz-matriz"/>
    <s v="-"/>
    <s v="-"/>
    <s v="-"/>
    <x v="14"/>
    <s v="-"/>
    <x v="134"/>
    <n v="0"/>
    <n v="0"/>
    <n v="0"/>
    <n v="0"/>
    <n v="0"/>
    <n v="0"/>
    <s v="Reserva importada do Sistema TMS. OS: 75692"/>
    <s v="Fornecedor não preenchido! (ACC01)"/>
    <x v="1"/>
    <x v="1"/>
    <s v="Campo Fornecedor"/>
    <x v="0"/>
    <s v="Qualidade dos dados"/>
    <s v="KONTIK BUSINESS TRAVEL"/>
    <x v="2"/>
  </r>
  <r>
    <n v="22615074"/>
    <n v="23431403"/>
    <s v="ACC01"/>
    <x v="146"/>
    <d v="2025-07-23T19:35:40"/>
    <x v="4"/>
    <x v="5"/>
    <s v="5EYH75"/>
    <s v="TMS"/>
    <s v="CARLOS VINICIUS SALLES COSTA"/>
    <s v="Tms"/>
    <s v="Tms"/>
    <d v="2025-07-23T14:28:00"/>
    <n v="74580"/>
    <s v="-"/>
    <s v="ON LINE"/>
    <s v="Cartão de crédito"/>
    <s v="Cartão de crédito"/>
    <x v="1"/>
    <s v="N"/>
    <x v="1"/>
    <s v="Ultragaz-matriz"/>
    <s v="-"/>
    <s v="-"/>
    <s v="-"/>
    <x v="14"/>
    <s v="-"/>
    <x v="135"/>
    <n v="0"/>
    <n v="0"/>
    <n v="0"/>
    <n v="0"/>
    <n v="14.4"/>
    <n v="0"/>
    <s v="Reserva importada do Sistema TMS. OS: 74580"/>
    <s v="Fornecedor não preenchido! (ACC01)"/>
    <x v="1"/>
    <x v="1"/>
    <s v="Campo Fornecedor"/>
    <x v="0"/>
    <s v="Sistêmico"/>
    <s v="GRUPO KONTIK"/>
    <x v="1"/>
  </r>
  <r>
    <n v="22690391"/>
    <n v="23493899"/>
    <s v="ACC01"/>
    <x v="147"/>
    <d v="2025-08-06T00:26:25"/>
    <x v="1"/>
    <x v="1"/>
    <s v="5G105M"/>
    <s v="TMS"/>
    <s v="KAMILA OSOWSKI TOMAZI"/>
    <s v="Tms"/>
    <s v="Tms"/>
    <d v="2025-08-05T18:53:00"/>
    <n v="76097"/>
    <s v="-"/>
    <s v="ON LINE"/>
    <s v="Cartão de crédito"/>
    <s v="Cartão de crédito"/>
    <x v="1"/>
    <s v="N"/>
    <x v="1"/>
    <s v="Ultragaz-matriz"/>
    <s v="-"/>
    <s v="-"/>
    <s v="-"/>
    <x v="14"/>
    <s v="-"/>
    <x v="136"/>
    <n v="0"/>
    <n v="0"/>
    <n v="0"/>
    <n v="0"/>
    <n v="14.75"/>
    <n v="0"/>
    <s v="Reserva importada do Sistema TMS. OS: 76097"/>
    <s v="Fornecedor não preenchido! (ACC01)"/>
    <x v="1"/>
    <x v="1"/>
    <s v="Campo Fornecedor"/>
    <x v="0"/>
    <s v="Sistêmico"/>
    <s v="GRUPO KONTIK"/>
    <x v="1"/>
  </r>
  <r>
    <n v="22690425"/>
    <n v="23493933"/>
    <s v="ACC01"/>
    <x v="148"/>
    <d v="2025-08-06T00:35:47"/>
    <x v="1"/>
    <x v="1"/>
    <s v="5G7WGM"/>
    <s v="TMS"/>
    <s v="VICTOR DE OLIVEIRA"/>
    <s v="Tms"/>
    <s v="Tms"/>
    <d v="2025-08-05T18:02:00"/>
    <n v="75930"/>
    <s v="-"/>
    <s v="ON LINE"/>
    <s v="Cartão de crédito"/>
    <s v="Cartão de crédito"/>
    <x v="1"/>
    <s v="N"/>
    <x v="1"/>
    <s v="Ultragaz-matriz"/>
    <s v="-"/>
    <s v="-"/>
    <s v="-"/>
    <x v="14"/>
    <s v="-"/>
    <x v="137"/>
    <n v="0"/>
    <n v="0"/>
    <n v="0"/>
    <n v="0"/>
    <n v="29.5"/>
    <n v="0"/>
    <s v="Reserva importada do Sistema TMS. OS: 75930"/>
    <s v="Fornecedor não preenchido! (ACC01)"/>
    <x v="1"/>
    <x v="1"/>
    <s v="Campo Fornecedor"/>
    <x v="0"/>
    <s v="Sistêmico"/>
    <s v="GRUPO KONTIK"/>
    <x v="1"/>
  </r>
  <r>
    <n v="22719691"/>
    <n v="23518614"/>
    <s v="ACC01"/>
    <x v="149"/>
    <d v="2025-08-11T13:11:50"/>
    <x v="0"/>
    <x v="0"/>
    <s v="5GPJNT"/>
    <s v="TMS"/>
    <s v="RAFAEL SOARES REIS"/>
    <s v="Tms"/>
    <s v="Tms"/>
    <d v="2025-08-10T19:54:00"/>
    <n v="76619"/>
    <s v="-"/>
    <s v="ON LINE"/>
    <s v="Cartão de crédito"/>
    <s v="Cartão de crédito"/>
    <x v="1"/>
    <s v="N"/>
    <x v="1"/>
    <s v="Ultragaz-matriz"/>
    <s v="-"/>
    <s v="Pousada Pau Brasil"/>
    <s v="-"/>
    <x v="14"/>
    <s v="-"/>
    <x v="138"/>
    <n v="0"/>
    <n v="0"/>
    <n v="0"/>
    <n v="0"/>
    <n v="14"/>
    <n v="0"/>
    <s v="Reserva importada do Sistema TMS. OS: 76619"/>
    <s v="Não foi possível encontrar um contrato válido para o fornecedor 24948 (Código fornecedor) "/>
    <x v="1"/>
    <x v="5"/>
    <s v="Análise Cadastro"/>
    <x v="0"/>
    <s v="Qualidade dos dados"/>
    <s v="KONTIK BUSINESS TRAVEL"/>
    <x v="2"/>
  </r>
  <r>
    <n v="22725415"/>
    <n v="23523642"/>
    <s v="ACC01"/>
    <x v="150"/>
    <d v="2025-08-11T20:11:17"/>
    <x v="0"/>
    <x v="0"/>
    <s v="5GDV37"/>
    <s v="TMS"/>
    <s v="FABRICIO FABRICIO MACIEL"/>
    <s v="Isabela de Melo da Silva"/>
    <s v="Isabela de Melo da Silva"/>
    <d v="2025-08-11T17:52:00"/>
    <n v="76305"/>
    <s v="-"/>
    <s v="ON LINE"/>
    <s v="Cartão de crédito"/>
    <s v="Cartão de crédito"/>
    <x v="1"/>
    <s v="N"/>
    <x v="1"/>
    <s v="Ultragaz-matriz"/>
    <s v="-"/>
    <s v="-"/>
    <s v="-"/>
    <x v="14"/>
    <s v="-"/>
    <x v="139"/>
    <n v="0"/>
    <n v="0"/>
    <n v="0"/>
    <n v="0"/>
    <n v="107.45"/>
    <n v="0"/>
    <s v="Reserva importada do Sistema TMS. OS: 76305"/>
    <s v="Fornecedor não preenchido! (ACC01)"/>
    <x v="1"/>
    <x v="1"/>
    <s v="Campo Fornecedor"/>
    <x v="0"/>
    <s v="Sistêmico"/>
    <s v="GRUPO KONTIK"/>
    <x v="1"/>
  </r>
  <r>
    <n v="22732653"/>
    <n v="23530080"/>
    <s v="ACC01"/>
    <x v="151"/>
    <d v="2025-08-12T20:31:41"/>
    <x v="0"/>
    <x v="0"/>
    <s v="5G8PPN"/>
    <s v="TMS"/>
    <s v="HENRIQUE DONAIRE SERTORIO"/>
    <s v="Maria Gabriela Stella Azevedo Neves"/>
    <s v="Isabela de Melo da Silva"/>
    <d v="2025-08-12T16:21:00"/>
    <n v="76090"/>
    <s v="-"/>
    <s v="ON LINE"/>
    <s v="Cartão de crédito"/>
    <s v="Cartão de crédito"/>
    <x v="1"/>
    <s v="N"/>
    <x v="1"/>
    <s v="Ultragaz-matriz"/>
    <s v="-"/>
    <s v="-"/>
    <s v="-"/>
    <x v="14"/>
    <s v="-"/>
    <x v="140"/>
    <n v="0"/>
    <n v="0"/>
    <n v="0"/>
    <n v="0"/>
    <n v="0"/>
    <n v="0"/>
    <s v="Reserva importada do Sistema TMS. OS: 76090"/>
    <s v="Fornecedor não preenchido! (ACC01)"/>
    <x v="1"/>
    <x v="1"/>
    <s v="Campo Fornecedor"/>
    <x v="0"/>
    <s v="Sistêmico"/>
    <s v="GRUPO KONTIK"/>
    <x v="1"/>
  </r>
  <r>
    <n v="22685870"/>
    <n v="23489673"/>
    <s v="ACC01"/>
    <x v="152"/>
    <d v="2025-08-05T13:15:33"/>
    <x v="1"/>
    <x v="1"/>
    <s v="5F8FVO"/>
    <s v="TMS"/>
    <s v="AELIO GOMES REGO"/>
    <s v="Tamara Michels Behn"/>
    <s v="Tamara Michels Behn"/>
    <d v="2025-08-05T11:21:00"/>
    <n v="75571"/>
    <s v="-"/>
    <s v="OFF LINE"/>
    <s v="Cartão de crédito"/>
    <s v="Cartão de crédito"/>
    <x v="1"/>
    <s v="N"/>
    <x v="1"/>
    <s v="Ultragaz-matriz"/>
    <s v="-"/>
    <s v="-"/>
    <s v="-"/>
    <x v="14"/>
    <s v="-"/>
    <x v="141"/>
    <n v="0"/>
    <n v="0"/>
    <n v="0"/>
    <n v="0"/>
    <n v="0"/>
    <n v="0"/>
    <s v="Reserva importada do Sistema TMS. OS: 75571"/>
    <s v="Fornecedor não preenchido! (ACC01)"/>
    <x v="1"/>
    <x v="1"/>
    <s v="Campo Fornecedor"/>
    <x v="0"/>
    <s v="Qualidade dos dados"/>
    <s v="KONTIK BUSINESS TRAVEL"/>
    <x v="2"/>
  </r>
  <r>
    <n v="22651362"/>
    <n v="23460927"/>
    <s v="ACC01"/>
    <x v="153"/>
    <d v="2025-07-30T13:37:41"/>
    <x v="2"/>
    <x v="4"/>
    <s v="5FQTV2"/>
    <s v="TMS"/>
    <s v="FERNANDO OLIVEIRA CORREA"/>
    <s v="Tamara Michels Behn"/>
    <s v="Tamara Michels Behn"/>
    <d v="2025-07-30T11:39:00"/>
    <n v="75371"/>
    <s v="-"/>
    <s v="OFF LINE"/>
    <s v="Cartão de crédito"/>
    <s v="Cartão de crédito"/>
    <x v="1"/>
    <s v="N"/>
    <x v="1"/>
    <s v="Ultragaz-matriz"/>
    <s v="-"/>
    <s v="-"/>
    <s v="-"/>
    <x v="14"/>
    <s v="-"/>
    <x v="142"/>
    <n v="0"/>
    <n v="0"/>
    <n v="0"/>
    <n v="0"/>
    <n v="0"/>
    <n v="0"/>
    <s v="Reserva importada do Sistema TMS. OS: 75371"/>
    <s v="Fornecedor não preenchido! (ACC01)"/>
    <x v="1"/>
    <x v="1"/>
    <s v="Campo Fornecedor"/>
    <x v="0"/>
    <s v="Qualidade dos dados"/>
    <s v="KONTIK BUSINESS TRAVEL"/>
    <x v="2"/>
  </r>
  <r>
    <n v="22703814"/>
    <n v="23505905"/>
    <s v="ACC01"/>
    <x v="154"/>
    <d v="2025-08-07T20:06:37"/>
    <x v="1"/>
    <x v="1"/>
    <s v="5GS5K3"/>
    <s v="TMS"/>
    <s v="NILSON CESAR MONTEIRO NOGUEIRA"/>
    <s v="Tamara Michels Behn"/>
    <s v="Tamara Michels Behn"/>
    <d v="2025-08-07T12:14:00"/>
    <n v="76308"/>
    <s v="-"/>
    <s v="OFF LINE"/>
    <s v="Cartão de crédito"/>
    <s v="Cartão de crédito"/>
    <x v="1"/>
    <s v="N"/>
    <x v="1"/>
    <s v="Ultragaz-matriz"/>
    <s v="-"/>
    <s v="-"/>
    <s v="-"/>
    <x v="14"/>
    <s v="-"/>
    <x v="143"/>
    <n v="0"/>
    <n v="0"/>
    <n v="0"/>
    <n v="0"/>
    <n v="20"/>
    <n v="0"/>
    <s v="Reserva importada do Sistema TMS. OS: 76308"/>
    <s v="Fornecedor não preenchido! (ACC01)"/>
    <x v="1"/>
    <x v="1"/>
    <s v="Campo Fornecedor"/>
    <x v="0"/>
    <s v="Qualidade dos dados"/>
    <s v="KONTIK BUSINESS TRAVEL"/>
    <x v="2"/>
  </r>
  <r>
    <n v="22703815"/>
    <n v="23505906"/>
    <s v="ACC01"/>
    <x v="155"/>
    <d v="2025-08-07T20:06:37"/>
    <x v="1"/>
    <x v="1"/>
    <s v="5GEG8D"/>
    <s v="TMS"/>
    <s v="MAURICIO CESAR LADEIRA"/>
    <s v="Tamara Michels Behn"/>
    <s v="Tamara Michels Behn"/>
    <d v="2025-08-07T14:45:00"/>
    <n v="76307"/>
    <s v="-"/>
    <s v="OFF LINE"/>
    <s v="Cartão de crédito"/>
    <s v="Cartão de crédito"/>
    <x v="1"/>
    <s v="N"/>
    <x v="1"/>
    <s v="Ultragaz-matriz"/>
    <s v="-"/>
    <s v="-"/>
    <s v="-"/>
    <x v="14"/>
    <s v="-"/>
    <x v="144"/>
    <n v="0"/>
    <n v="0"/>
    <n v="0"/>
    <n v="0"/>
    <n v="0"/>
    <n v="0"/>
    <s v="Reserva importada do Sistema TMS. OS: 76307"/>
    <s v="Fornecedor não preenchido! (ACC01)"/>
    <x v="1"/>
    <x v="1"/>
    <s v="Campo Fornecedor"/>
    <x v="0"/>
    <s v="Qualidade dos dados"/>
    <s v="KONTIK BUSINESS TRAVEL"/>
    <x v="2"/>
  </r>
  <r>
    <n v="22697828"/>
    <n v="23500590"/>
    <s v="ACC01"/>
    <x v="156"/>
    <d v="2025-08-07T00:30:50"/>
    <x v="1"/>
    <x v="1"/>
    <s v="5GVQEX"/>
    <s v="TMS"/>
    <s v="NEIMAR DOS SANTOS"/>
    <s v="Tamara Michels Behn"/>
    <s v="Tamara Michels Behn"/>
    <d v="2025-08-06T18:39:00"/>
    <n v="76179"/>
    <s v="-"/>
    <s v="OFF LINE"/>
    <s v="Cartão de crédito"/>
    <s v="Cartão de crédito"/>
    <x v="1"/>
    <s v="N"/>
    <x v="1"/>
    <s v="Ultragaz-matriz"/>
    <s v="-"/>
    <s v="-"/>
    <s v="-"/>
    <x v="14"/>
    <s v="-"/>
    <x v="145"/>
    <n v="0"/>
    <n v="0"/>
    <n v="0"/>
    <n v="0"/>
    <n v="0"/>
    <n v="0"/>
    <s v="Reserva importada do Sistema TMS. OS: 76179"/>
    <s v="Fornecedor não preenchido! (ACC01)"/>
    <x v="1"/>
    <x v="1"/>
    <s v="Campo Fornecedor"/>
    <x v="0"/>
    <s v="Qualidade dos dados"/>
    <s v="KONTIK BUSINESS TRAVEL"/>
    <x v="2"/>
  </r>
  <r>
    <n v="22690422"/>
    <n v="23493930"/>
    <s v="ACC01"/>
    <x v="157"/>
    <d v="2025-08-06T00:31:45"/>
    <x v="1"/>
    <x v="1"/>
    <s v="5GF25B"/>
    <s v="TMS"/>
    <s v="SARYANE PALLADINO ABREU"/>
    <s v="Maria Gabriela Stella Azevedo Neves"/>
    <s v="Maria Gabriela Stella Azevedo Neves"/>
    <d v="2025-08-05T18:54:00"/>
    <n v="75959"/>
    <s v="-"/>
    <s v="OFF LINE"/>
    <s v="Cartão de crédito"/>
    <s v="Cartão de crédito"/>
    <x v="1"/>
    <s v="N"/>
    <x v="1"/>
    <s v="Bahiana Distribuidora de Gas"/>
    <s v="-"/>
    <s v="-"/>
    <s v="-"/>
    <x v="14"/>
    <s v="-"/>
    <x v="146"/>
    <n v="0"/>
    <n v="0"/>
    <n v="0"/>
    <n v="0"/>
    <n v="0"/>
    <n v="0"/>
    <s v="Reserva importada do Sistema TMS. OS: 75959"/>
    <s v="Fornecedor não preenchido! (ACC01)"/>
    <x v="1"/>
    <x v="1"/>
    <s v="Campo Fornecedor"/>
    <x v="0"/>
    <s v="Qualidade dos dados"/>
    <s v="KONTIK BUSINESS TRAVEL"/>
    <x v="2"/>
  </r>
  <r>
    <n v="22696304"/>
    <n v="23499151"/>
    <s v="ACC01"/>
    <x v="158"/>
    <d v="2025-08-06T20:05:37"/>
    <x v="1"/>
    <x v="1"/>
    <s v="5GBQZW"/>
    <s v="TMS"/>
    <s v="WAGNER DA CONCEICAO"/>
    <s v="Maria Gabriela Stella Azevedo Neves"/>
    <s v="Maria Gabriela Stella Azevedo Neves"/>
    <d v="2025-08-06T14:04:00"/>
    <n v="76060"/>
    <s v="-"/>
    <s v="OFF LINE"/>
    <s v="Cartão de crédito"/>
    <s v="Cartão de crédito"/>
    <x v="1"/>
    <s v="N"/>
    <x v="1"/>
    <s v="Ultragaz-matriz"/>
    <s v="-"/>
    <s v="-"/>
    <s v="-"/>
    <x v="14"/>
    <s v="-"/>
    <x v="147"/>
    <n v="0"/>
    <n v="0"/>
    <n v="0"/>
    <n v="0"/>
    <n v="0"/>
    <n v="0"/>
    <s v="Reserva importada do Sistema TMS. OS: 76060"/>
    <s v="Fornecedor não preenchido! (ACC01)"/>
    <x v="1"/>
    <x v="1"/>
    <s v="Campo Fornecedor"/>
    <x v="0"/>
    <s v="Qualidade dos dados"/>
    <s v="KONTIK BUSINESS TRAVEL"/>
    <x v="2"/>
  </r>
  <r>
    <n v="22729722"/>
    <n v="23527268"/>
    <s v="ACC01"/>
    <x v="159"/>
    <d v="2025-08-12T13:25:29"/>
    <x v="0"/>
    <x v="0"/>
    <s v="5GG7AK"/>
    <s v="TMS"/>
    <s v="YURI LIRA"/>
    <s v="Tms"/>
    <s v="Tms"/>
    <d v="2025-08-12T09:55:00"/>
    <n v="76933"/>
    <s v="Vitoria / VIX"/>
    <s v="ON LINE"/>
    <s v="Invoice"/>
    <s v="Faturado"/>
    <x v="3"/>
    <s v="N"/>
    <x v="1"/>
    <s v="Ultragaz-matriz"/>
    <s v="-"/>
    <s v="-"/>
    <s v="-"/>
    <x v="14"/>
    <s v="-"/>
    <x v="148"/>
    <n v="0"/>
    <n v="0"/>
    <n v="0"/>
    <n v="0"/>
    <n v="0"/>
    <n v="0"/>
    <s v="Reserva importada do Sistema TMS. OS: 76933"/>
    <s v="Fornecedor não preenchido! (ACC01)"/>
    <x v="1"/>
    <x v="1"/>
    <s v="Campo Fornecedor"/>
    <x v="0"/>
    <s v="Qualidade dos dados"/>
    <s v="KONTIK BUSINESS TRAVEL"/>
    <x v="2"/>
  </r>
  <r>
    <n v="22707818"/>
    <n v="23509275"/>
    <s v="ACC01"/>
    <x v="160"/>
    <d v="2025-08-08T12:42:41"/>
    <x v="3"/>
    <x v="3"/>
    <s v="HWCKYB"/>
    <s v="TMS"/>
    <s v="PATRICIA BURRIDGE"/>
    <s v="SAMANTHA OLIVEIRA NASCIMENTO"/>
    <s v="SAMANTHA OLIVEIRA NASCIMENTO"/>
    <d v="2025-08-08T08:43:00"/>
    <n v="110903"/>
    <s v="-"/>
    <s v="OFF LINE"/>
    <s v="Cartão de crédito"/>
    <s v="Cartão AMEX"/>
    <x v="0"/>
    <s v="N"/>
    <x v="31"/>
    <s v="Deloitte Consultores - Sao Paulo"/>
    <s v="-"/>
    <s v="Air Canada"/>
    <n v="2971622195"/>
    <x v="15"/>
    <s v="-"/>
    <x v="149"/>
    <n v="0"/>
    <n v="0"/>
    <n v="0"/>
    <n v="0"/>
    <n v="0"/>
    <n v="0"/>
    <s v="Reserva importada do Sistema TMS. OS: 110903"/>
    <s v="Verificação de bilhetes: Bilhete 2971622195 já sendo utilizado para este fornecedor."/>
    <x v="1"/>
    <x v="6"/>
    <s v="Bilhete Já Contabilizado"/>
    <x v="2"/>
    <s v="Qualidade dos dados"/>
    <s v="GRUPO KONTIK"/>
    <x v="5"/>
  </r>
  <r>
    <n v="22731930"/>
    <n v="23529381"/>
    <s v="ACC01"/>
    <x v="161"/>
    <d v="2025-08-12T18:30:33"/>
    <x v="0"/>
    <x v="0"/>
    <s v="NRAHJB"/>
    <s v="TMS"/>
    <s v="CELSO GIULITO JUNIOR"/>
    <s v="SAMANTHA OLIVEIRA NASCIMENTO"/>
    <s v="SAMANTHA OLIVEIRA NASCIMENTO"/>
    <d v="2025-08-12T16:50:00"/>
    <n v="111225"/>
    <s v="-"/>
    <s v="OFF LINE"/>
    <s v="Cartão de crédito"/>
    <s v="Cartão AMEX"/>
    <x v="0"/>
    <s v="N"/>
    <x v="31"/>
    <s v="Deloitte Assessoria - Sao Paulo"/>
    <s v="-"/>
    <s v="Air Canada"/>
    <n v="2971622238"/>
    <x v="15"/>
    <s v="-"/>
    <x v="150"/>
    <n v="427.97"/>
    <n v="0"/>
    <n v="0"/>
    <n v="0"/>
    <n v="0"/>
    <n v="0"/>
    <s v="Reserva importada do Sistema TMS. OS: 111225"/>
    <s v="Autorização do cartão da forma de pagamento não preenchida! (ACC01) Autorização do cartão da forma de recebimento não preenchida! (ACC01)"/>
    <x v="1"/>
    <x v="0"/>
    <s v="Falta de informação Gerencial"/>
    <x v="0"/>
    <s v="Qualidade dos dados"/>
    <s v="KONTIK BUSINESS TRAVEL"/>
    <x v="0"/>
  </r>
  <r>
    <n v="22731934"/>
    <n v="23529385"/>
    <s v="ACC01"/>
    <x v="162"/>
    <d v="2025-08-12T18:30:34"/>
    <x v="0"/>
    <x v="0"/>
    <s v="SIJHIT"/>
    <s v="TMS"/>
    <s v="ILVANIR CASTRO"/>
    <s v="SAMANTHA OLIVEIRA NASCIMENTO"/>
    <s v="SAMANTHA OLIVEIRA NASCIMENTO"/>
    <d v="2025-08-12T13:20:00"/>
    <n v="111161"/>
    <s v="-"/>
    <s v="OFF LINE"/>
    <s v="Cartão de crédito"/>
    <s v="Cartão AMEX"/>
    <x v="0"/>
    <s v="N"/>
    <x v="31"/>
    <s v="Deloitte Operate Services"/>
    <s v="-"/>
    <s v="Alitalia"/>
    <n v="2971622226"/>
    <x v="15"/>
    <s v="-"/>
    <x v="151"/>
    <n v="438.75"/>
    <n v="0"/>
    <n v="0"/>
    <n v="0"/>
    <n v="0"/>
    <n v="0"/>
    <s v="Reserva importada do Sistema TMS. OS: 111161"/>
    <s v="Autorização do cartão da forma de pagamento não preenchida! (ACC01) Autorização do cartão da forma de recebimento não preenchida! (ACC01)"/>
    <x v="1"/>
    <x v="0"/>
    <s v="Falta de informação Gerencial"/>
    <x v="0"/>
    <s v="Qualidade dos dados"/>
    <s v="KONTIK BUSINESS TRAVEL"/>
    <x v="0"/>
  </r>
  <r>
    <n v="22620713"/>
    <n v="23436166"/>
    <s v="ACC01"/>
    <x v="163"/>
    <d v="2025-07-30T08:09:17"/>
    <x v="2"/>
    <x v="5"/>
    <s v="5EQI8Y"/>
    <s v="TMS"/>
    <s v="ROGERIO PANESSA"/>
    <s v="Catia Leite Oliveira"/>
    <s v="Catia Leite Oliveira"/>
    <d v="2025-07-24T17:41:00"/>
    <n v="109945"/>
    <s v="-"/>
    <s v="OFF LINE"/>
    <s v="Pagamento direto"/>
    <s v="Pagamento direto"/>
    <x v="1"/>
    <s v="N"/>
    <x v="31"/>
    <s v="Deloitte Outsourcing - Sao Paulo"/>
    <s v="-"/>
    <s v="Hyatt Place San Jose Downtown"/>
    <s v="-"/>
    <x v="15"/>
    <s v="-"/>
    <x v="152"/>
    <n v="0"/>
    <n v="0"/>
    <n v="0"/>
    <n v="0"/>
    <n v="0"/>
    <n v="0"/>
    <s v="Reserva importada do Sistema TMS. OS: 109945"/>
    <s v="Não foi possível encontrar um contrato válido para o fornecedor 52355 (Código fornecedor) "/>
    <x v="1"/>
    <x v="5"/>
    <s v="Análise Cadastro"/>
    <x v="0"/>
    <s v="Qualidade dos dados"/>
    <s v="KONTIK BUSINESS TRAVEL"/>
    <x v="2"/>
  </r>
  <r>
    <n v="22620719"/>
    <n v="23436172"/>
    <s v="ACC01"/>
    <x v="164"/>
    <d v="2025-07-30T08:09:19"/>
    <x v="2"/>
    <x v="5"/>
    <s v="5EVKI6"/>
    <s v="TMS"/>
    <s v="ROGERIO PANESSA"/>
    <s v="Catia Leite Oliveira"/>
    <s v="Catia Leite Oliveira"/>
    <d v="2025-07-24T17:45:00"/>
    <n v="109907"/>
    <s v="-"/>
    <s v="OFF LINE"/>
    <s v="Pagamento direto"/>
    <s v="Pagamento direto"/>
    <x v="1"/>
    <s v="N"/>
    <x v="31"/>
    <s v="Deloitte Outsourcing - Sao Paulo"/>
    <s v="-"/>
    <s v="Hyatt Place San Jose Downtown"/>
    <s v="-"/>
    <x v="15"/>
    <s v="-"/>
    <x v="153"/>
    <n v="0"/>
    <n v="0"/>
    <n v="0"/>
    <n v="0"/>
    <n v="0"/>
    <n v="0"/>
    <s v="Reserva importada do Sistema TMS. OS: 109907"/>
    <s v="Não foi possível encontrar um contrato válido para o fornecedor 52355 (Código fornecedor) "/>
    <x v="1"/>
    <x v="5"/>
    <s v="Análise Cadastro"/>
    <x v="0"/>
    <s v="Qualidade dos dados"/>
    <s v="KONTIK BUSINESS TRAVEL"/>
    <x v="2"/>
  </r>
  <r>
    <n v="22731937"/>
    <n v="23529388"/>
    <s v="ACC01"/>
    <x v="165"/>
    <d v="2025-08-12T18:41:06"/>
    <x v="0"/>
    <x v="0"/>
    <s v="5G9Y68"/>
    <s v="TMS"/>
    <s v="FABIO LEITE"/>
    <s v="Adriana Dias de Grano"/>
    <s v="Adriana Dias de Grano"/>
    <d v="2025-08-12T17:39:00"/>
    <n v="111088"/>
    <s v="Manaus / AM, Brasil (MAO)"/>
    <s v="OFF LINE"/>
    <s v="Pagamento direto"/>
    <s v="Pagamento direto"/>
    <x v="3"/>
    <s v="N"/>
    <x v="31"/>
    <s v="Deloitte Consultores - Sao Paulo"/>
    <s v="-"/>
    <s v="-"/>
    <s v="-"/>
    <x v="15"/>
    <s v="-"/>
    <x v="154"/>
    <n v="0"/>
    <n v="356.56"/>
    <n v="0"/>
    <n v="0"/>
    <n v="0"/>
    <n v="0"/>
    <s v="Reserva importada do Sistema TMS. OS: 111088"/>
    <s v="Fornecedor não preenchido! (ACC01)"/>
    <x v="1"/>
    <x v="1"/>
    <s v="Campo Fornecedor"/>
    <x v="0"/>
    <s v="Qualidade dos dados"/>
    <s v="KONTIK BUSINESS TRAVEL"/>
    <x v="2"/>
  </r>
  <r>
    <n v="22680752"/>
    <n v="23485233"/>
    <s v="ACC01"/>
    <x v="166"/>
    <d v="2025-08-05T07:10:41"/>
    <x v="1"/>
    <x v="4"/>
    <s v="5FH818"/>
    <s v="TMS"/>
    <s v="RAISSA COSTA"/>
    <s v="Tms"/>
    <s v="Tms"/>
    <d v="2025-08-04T14:32:00"/>
    <n v="110580"/>
    <s v="-"/>
    <s v="ON LINE"/>
    <s v="Cartão de crédito"/>
    <s v="Cartão de crédito"/>
    <x v="1"/>
    <s v="N"/>
    <x v="31"/>
    <s v="Deloitte Consultores - Recife"/>
    <s v="-"/>
    <s v="Charlie Nyc Berrini Residence - Inativo"/>
    <s v="-"/>
    <x v="15"/>
    <s v="-"/>
    <x v="155"/>
    <n v="0"/>
    <n v="0"/>
    <n v="0"/>
    <n v="0"/>
    <n v="0"/>
    <n v="0"/>
    <s v="Reserva importada do Sistema TMS. OS: 110580"/>
    <s v="Não foi possível encontrar um contrato válido para o fornecedor 52307 (Código fornecedor) "/>
    <x v="1"/>
    <x v="5"/>
    <s v="Análise Cadastro"/>
    <x v="0"/>
    <s v="Qualidade dos dados"/>
    <s v="KONTIK BUSINESS TRAVEL"/>
    <x v="2"/>
  </r>
  <r>
    <n v="22640232"/>
    <n v="23451217"/>
    <s v="ACC01"/>
    <x v="167"/>
    <d v="2025-08-04T13:10:20"/>
    <x v="2"/>
    <x v="5"/>
    <s v="5ENU9L"/>
    <s v="TMS"/>
    <s v="DANIEL RODRIGUES"/>
    <s v="Tms"/>
    <s v="Tms"/>
    <d v="2025-07-28T13:52:00"/>
    <n v="110165"/>
    <s v="-"/>
    <s v="ON LINE"/>
    <s v="Cartão de crédito"/>
    <s v="Cartão de crédito"/>
    <x v="1"/>
    <s v="N"/>
    <x v="31"/>
    <s v="Deloitte Consultores - Sao Paulo"/>
    <s v="-"/>
    <s v="Charlie Nyc Berrini Residence - Inativo"/>
    <s v="-"/>
    <x v="15"/>
    <s v="-"/>
    <x v="156"/>
    <n v="0"/>
    <n v="0"/>
    <n v="0"/>
    <n v="0"/>
    <n v="0"/>
    <n v="0"/>
    <s v="Reserva importada do Sistema TMS. OS: 110165"/>
    <s v="Não foi possível encontrar um contrato válido para o fornecedor 52307 (Código fornecedor) "/>
    <x v="1"/>
    <x v="5"/>
    <s v="Análise Cadastro"/>
    <x v="0"/>
    <s v="Qualidade dos dados"/>
    <s v="KONTIK BUSINESS TRAVEL"/>
    <x v="2"/>
  </r>
  <r>
    <n v="22657813"/>
    <n v="23466661"/>
    <s v="ACC01"/>
    <x v="168"/>
    <d v="2025-08-01T06:10:21"/>
    <x v="2"/>
    <x v="4"/>
    <s v="5F5RKE"/>
    <s v="TMS"/>
    <s v="NATALIA ALICE BASSO CANDIDO"/>
    <s v="Claudia Lucia Stella"/>
    <s v="Claudia Lucia Stella"/>
    <d v="2025-07-31T11:06:00"/>
    <n v="45950"/>
    <s v="-"/>
    <s v="OFF LINE"/>
    <s v="Invoice"/>
    <s v="Faturado"/>
    <x v="2"/>
    <s v="N"/>
    <x v="32"/>
    <s v="Htb Engenharia e Construcao"/>
    <s v="-"/>
    <s v="Itamarati Hotel"/>
    <s v="-"/>
    <x v="16"/>
    <s v="-"/>
    <x v="157"/>
    <n v="0"/>
    <n v="0"/>
    <n v="0"/>
    <n v="0"/>
    <n v="0"/>
    <n v="0"/>
    <s v="Reserva importada do Sistema TMS. OS: 45950"/>
    <s v="Não foi possível encontrar um contrato válido para o fornecedor 67595 (Código fornecedor) "/>
    <x v="1"/>
    <x v="5"/>
    <s v="Análise Cadastro"/>
    <x v="0"/>
    <s v="Qualidade dos dados"/>
    <s v="KONTIK BUSINESS TRAVEL"/>
    <x v="2"/>
  </r>
  <r>
    <n v="22732040"/>
    <n v="23529485"/>
    <s v="ACC01"/>
    <x v="169"/>
    <d v="2025-08-12T18:51:27"/>
    <x v="0"/>
    <x v="0"/>
    <s v="5G027I"/>
    <s v="TMS"/>
    <s v="MARIENNE COUTINHO"/>
    <s v="Viviane Novaes Araujo"/>
    <s v="Viviane Novaes Araujo"/>
    <d v="2025-08-12T18:03:00"/>
    <n v="226069"/>
    <s v="-"/>
    <s v="OFF LINE"/>
    <s v="Cartão de crédito"/>
    <s v="Cartão de crédito"/>
    <x v="1"/>
    <s v="N"/>
    <x v="33"/>
    <s v="Kpmg"/>
    <s v="-"/>
    <s v="-"/>
    <s v="-"/>
    <x v="17"/>
    <s v="-"/>
    <x v="158"/>
    <n v="0"/>
    <n v="0"/>
    <n v="0"/>
    <n v="0"/>
    <n v="469.74"/>
    <n v="0"/>
    <s v="Reserva importada do Sistema TMS. OS: 226069"/>
    <s v="Fornecedor não preenchido! (ACC01)"/>
    <x v="1"/>
    <x v="1"/>
    <s v="Campo Fornecedor"/>
    <x v="0"/>
    <s v="Qualidade dos dados"/>
    <s v="KONTIK BUSINESS TRAVEL"/>
    <x v="2"/>
  </r>
  <r>
    <n v="22732091"/>
    <n v="23529537"/>
    <s v="ACC01"/>
    <x v="170"/>
    <d v="2025-08-12T18:56:07"/>
    <x v="0"/>
    <x v="0"/>
    <s v="5G14JK"/>
    <s v="TMS"/>
    <s v="ANA SILVA"/>
    <s v="Viviane Novaes Araujo"/>
    <s v="Viviane Novaes Araujo"/>
    <d v="2025-08-12T14:09:00"/>
    <n v="225948"/>
    <s v="-"/>
    <s v="OFF LINE"/>
    <s v="Cartão de crédito"/>
    <s v="Cartão de crédito"/>
    <x v="1"/>
    <s v="N"/>
    <x v="33"/>
    <s v="Kpmg"/>
    <s v="-"/>
    <s v="-"/>
    <s v="-"/>
    <x v="17"/>
    <s v="-"/>
    <x v="159"/>
    <n v="0"/>
    <n v="0"/>
    <n v="0"/>
    <n v="0"/>
    <n v="0"/>
    <n v="0"/>
    <s v="Reserva importada do Sistema TMS. OS: 225948"/>
    <s v="Fornecedor não preenchido! (ACC01)"/>
    <x v="1"/>
    <x v="1"/>
    <s v="Campo Fornecedor"/>
    <x v="0"/>
    <s v="Qualidade dos dados"/>
    <s v="KONTIK BUSINESS TRAVEL"/>
    <x v="2"/>
  </r>
  <r>
    <n v="22732096"/>
    <n v="23529542"/>
    <s v="ACC01"/>
    <x v="171"/>
    <d v="2025-08-12T19:03:18"/>
    <x v="0"/>
    <x v="0"/>
    <s v="5GEVJI"/>
    <s v="TMS"/>
    <s v="CAUE GREGORES"/>
    <s v="Viviane Novaes Araujo"/>
    <s v="Viviane Novaes Araujo"/>
    <d v="2025-08-12T14:12:00"/>
    <n v="225941"/>
    <s v="-"/>
    <s v="OFF LINE"/>
    <s v="Cartão de crédito"/>
    <s v="Cartão de crédito"/>
    <x v="1"/>
    <s v="N"/>
    <x v="33"/>
    <s v="Kpmg"/>
    <s v="-"/>
    <s v="-"/>
    <s v="-"/>
    <x v="17"/>
    <s v="-"/>
    <x v="160"/>
    <n v="0"/>
    <n v="0"/>
    <n v="0"/>
    <n v="0"/>
    <n v="661.53"/>
    <n v="0"/>
    <s v="Reserva importada do Sistema TMS. OS: 225941"/>
    <s v="Fornecedor não preenchido! (ACC01)"/>
    <x v="1"/>
    <x v="1"/>
    <s v="Campo Fornecedor"/>
    <x v="0"/>
    <s v="Qualidade dos dados"/>
    <s v="KONTIK BUSINESS TRAVEL"/>
    <x v="2"/>
  </r>
  <r>
    <n v="22732098"/>
    <n v="23529544"/>
    <s v="ACC01"/>
    <x v="172"/>
    <d v="2025-08-12T19:03:24"/>
    <x v="0"/>
    <x v="0"/>
    <s v="5GGR78"/>
    <s v="TMS"/>
    <s v="FELIPE CATHARINO"/>
    <s v="Viviane Novaes Araujo"/>
    <s v="Viviane Novaes Araujo"/>
    <d v="2025-08-12T14:15:00"/>
    <n v="225935"/>
    <s v="-"/>
    <s v="OFF LINE"/>
    <s v="Cartão de crédito"/>
    <s v="Cartão de crédito"/>
    <x v="1"/>
    <s v="N"/>
    <x v="33"/>
    <s v="Kpmg"/>
    <s v="-"/>
    <s v="-"/>
    <s v="-"/>
    <x v="17"/>
    <s v="-"/>
    <x v="161"/>
    <n v="0"/>
    <n v="0"/>
    <n v="0"/>
    <n v="0"/>
    <n v="943.4"/>
    <n v="0"/>
    <s v="Reserva importada do Sistema TMS. OS: 225935"/>
    <s v="Fornecedor não preenchido! (ACC01)"/>
    <x v="1"/>
    <x v="1"/>
    <s v="Campo Fornecedor"/>
    <x v="0"/>
    <s v="Qualidade dos dados"/>
    <s v="KONTIK BUSINESS TRAVEL"/>
    <x v="2"/>
  </r>
  <r>
    <n v="22732101"/>
    <n v="23529547"/>
    <s v="ACC01"/>
    <x v="173"/>
    <d v="2025-08-12T19:03:35"/>
    <x v="0"/>
    <x v="0"/>
    <s v="5GJVJK"/>
    <s v="TMS"/>
    <s v="DINO ALMEIDA"/>
    <s v="Viviane Novaes Araujo"/>
    <s v="Viviane Novaes Araujo"/>
    <d v="2025-08-12T14:19:00"/>
    <n v="225934"/>
    <s v="-"/>
    <s v="OFF LINE"/>
    <s v="Cartão de crédito"/>
    <s v="Cartão de crédito"/>
    <x v="1"/>
    <s v="N"/>
    <x v="33"/>
    <s v="Kpmg"/>
    <s v="-"/>
    <s v="-"/>
    <s v="-"/>
    <x v="17"/>
    <s v="-"/>
    <x v="161"/>
    <n v="0"/>
    <n v="0"/>
    <n v="0"/>
    <n v="0"/>
    <n v="943.4"/>
    <n v="0"/>
    <s v="Reserva importada do Sistema TMS. OS: 225934"/>
    <s v="Fornecedor não preenchido! (ACC01)"/>
    <x v="1"/>
    <x v="1"/>
    <s v="Campo Fornecedor"/>
    <x v="0"/>
    <s v="Qualidade dos dados"/>
    <s v="KONTIK BUSINESS TRAVEL"/>
    <x v="2"/>
  </r>
  <r>
    <n v="22724378"/>
    <n v="23522628"/>
    <s v="ACC01"/>
    <x v="174"/>
    <d v="2025-08-11T18:37:14"/>
    <x v="0"/>
    <x v="0"/>
    <s v="5GJ7IY"/>
    <s v="TMS"/>
    <s v="THOMAS FIGUEIREDO"/>
    <s v="Viviane Novaes Araujo"/>
    <s v="Viviane Novaes Araujo"/>
    <d v="2025-08-11T14:59:00"/>
    <n v="225640"/>
    <s v="-"/>
    <s v="OFF LINE"/>
    <s v="Cartão de crédito"/>
    <s v="Cartão de crédito"/>
    <x v="1"/>
    <s v="N"/>
    <x v="33"/>
    <s v="Kpmg Consultoria"/>
    <s v="-"/>
    <s v="-"/>
    <s v="-"/>
    <x v="17"/>
    <s v="-"/>
    <x v="162"/>
    <n v="0"/>
    <n v="0"/>
    <n v="0"/>
    <n v="0"/>
    <n v="0"/>
    <n v="0"/>
    <s v="Reserva importada do Sistema TMS. OS: 225640"/>
    <s v="Fornecedor não preenchido! (ACC01)"/>
    <x v="1"/>
    <x v="1"/>
    <s v="Campo Fornecedor"/>
    <x v="0"/>
    <s v="Qualidade dos dados"/>
    <s v="KONTIK BUSINESS TRAVEL"/>
    <x v="2"/>
  </r>
  <r>
    <n v="22724384"/>
    <n v="23522634"/>
    <s v="ACC01"/>
    <x v="175"/>
    <d v="2025-08-11T18:37:14"/>
    <x v="0"/>
    <x v="0"/>
    <s v="5GSKK6"/>
    <s v="TMS"/>
    <s v="BEATRIZ CAMARGO"/>
    <s v="Viviane Novaes Araujo"/>
    <s v="Viviane Novaes Araujo"/>
    <d v="2025-08-11T15:01:00"/>
    <n v="225639"/>
    <s v="-"/>
    <s v="OFF LINE"/>
    <s v="Cartão de crédito"/>
    <s v="Cartão de crédito"/>
    <x v="1"/>
    <s v="N"/>
    <x v="33"/>
    <s v="Kpmg Consultoria"/>
    <s v="-"/>
    <s v="-"/>
    <s v="-"/>
    <x v="17"/>
    <s v="-"/>
    <x v="162"/>
    <n v="0"/>
    <n v="0"/>
    <n v="0"/>
    <n v="0"/>
    <n v="0"/>
    <n v="0"/>
    <s v="Reserva importada do Sistema TMS. OS: 225639"/>
    <s v="Fornecedor não preenchido! (ACC01)"/>
    <x v="1"/>
    <x v="1"/>
    <s v="Campo Fornecedor"/>
    <x v="0"/>
    <s v="Qualidade dos dados"/>
    <s v="KONTIK BUSINESS TRAVEL"/>
    <x v="2"/>
  </r>
  <r>
    <n v="22724337"/>
    <n v="23522585"/>
    <s v="ACC01"/>
    <x v="176"/>
    <d v="2025-08-11T18:27:41"/>
    <x v="0"/>
    <x v="0"/>
    <s v="5G5V8H"/>
    <s v="TMS"/>
    <s v="PAOLA RIGO"/>
    <s v="Viviane Novaes Araujo"/>
    <s v="Viviane Novaes Araujo"/>
    <d v="2025-08-11T14:55:00"/>
    <n v="225701"/>
    <s v="-"/>
    <s v="OFF LINE"/>
    <s v="Cartão de crédito"/>
    <s v="Cartão de crédito"/>
    <x v="1"/>
    <s v="N"/>
    <x v="33"/>
    <s v="Kpmg Consultoria"/>
    <s v="-"/>
    <s v="-"/>
    <s v="-"/>
    <x v="17"/>
    <s v="-"/>
    <x v="163"/>
    <n v="0"/>
    <n v="0"/>
    <n v="0"/>
    <n v="0"/>
    <n v="0"/>
    <n v="0"/>
    <s v="Reserva importada do Sistema TMS. OS: 225701"/>
    <s v="Fornecedor não preenchido! (ACC01)"/>
    <x v="1"/>
    <x v="1"/>
    <s v="Campo Fornecedor"/>
    <x v="0"/>
    <s v="Qualidade dos dados"/>
    <s v="KONTIK BUSINESS TRAVEL"/>
    <x v="2"/>
  </r>
  <r>
    <n v="22724338"/>
    <n v="23522586"/>
    <s v="ACC01"/>
    <x v="177"/>
    <d v="2025-08-11T18:31:11"/>
    <x v="0"/>
    <x v="0"/>
    <s v="5G7RIH"/>
    <s v="TMS"/>
    <s v="PAOLA RIGO"/>
    <s v="Viviane Novaes Araujo"/>
    <s v="Viviane Novaes Araujo"/>
    <d v="2025-08-11T14:55:00"/>
    <n v="225701"/>
    <s v="-"/>
    <s v="OFF LINE"/>
    <s v="Cartão de crédito"/>
    <s v="Cartão de crédito"/>
    <x v="1"/>
    <s v="N"/>
    <x v="33"/>
    <s v="Kpmg Consultoria"/>
    <s v="-"/>
    <s v="-"/>
    <s v="-"/>
    <x v="17"/>
    <s v="-"/>
    <x v="164"/>
    <n v="0"/>
    <n v="0"/>
    <n v="0"/>
    <n v="0"/>
    <n v="0"/>
    <n v="0"/>
    <s v="Reserva importada do Sistema TMS. OS: 225701"/>
    <s v="Fornecedor não preenchido! (ACC01)"/>
    <x v="1"/>
    <x v="1"/>
    <s v="Campo Fornecedor"/>
    <x v="0"/>
    <s v="Qualidade dos dados"/>
    <s v="KONTIK BUSINESS TRAVEL"/>
    <x v="2"/>
  </r>
  <r>
    <n v="22693497"/>
    <n v="23496423"/>
    <s v="ACC01"/>
    <x v="178"/>
    <d v="2025-08-06T13:49:12"/>
    <x v="1"/>
    <x v="1"/>
    <s v="5GQ721"/>
    <s v="TMS"/>
    <s v="RICARDO ANTUNES"/>
    <s v="Robson Amaro Santos da Silva"/>
    <s v="Robson Amaro Santos da Silva"/>
    <d v="2025-08-06T12:26:00"/>
    <n v="224777"/>
    <s v="-"/>
    <s v="OFF LINE"/>
    <s v="Cartão de crédito"/>
    <s v="Cartão de crédito"/>
    <x v="1"/>
    <s v="N"/>
    <x v="33"/>
    <s v="Kpmg Assessores"/>
    <s v="-"/>
    <s v="-"/>
    <s v="-"/>
    <x v="17"/>
    <s v="-"/>
    <x v="165"/>
    <n v="0"/>
    <n v="0"/>
    <n v="0"/>
    <n v="0"/>
    <n v="0"/>
    <n v="0"/>
    <s v="Reserva importada do Sistema TMS. OS: 224777"/>
    <s v="Fornecedor não preenchido! (ACC01)"/>
    <x v="1"/>
    <x v="1"/>
    <s v="Campo Fornecedor"/>
    <x v="0"/>
    <s v="Qualidade dos dados"/>
    <s v="KONTIK BUSINESS TRAVEL"/>
    <x v="2"/>
  </r>
  <r>
    <n v="22694619"/>
    <n v="23497465"/>
    <s v="ACC01"/>
    <x v="179"/>
    <d v="2025-08-06T16:44:28"/>
    <x v="1"/>
    <x v="1"/>
    <s v="5GV6FZ"/>
    <s v="TMS"/>
    <s v="MARIA SILVA"/>
    <s v="Robson Amaro Santos da Silva"/>
    <s v="Robson Amaro Santos da Silva"/>
    <d v="2025-08-06T14:48:00"/>
    <n v="224772"/>
    <s v="-"/>
    <s v="OFF LINE"/>
    <s v="Cartão de crédito"/>
    <s v="Cartão de crédito"/>
    <x v="1"/>
    <s v="N"/>
    <x v="33"/>
    <s v="Kpmg Assessores"/>
    <s v="-"/>
    <s v="-"/>
    <s v="-"/>
    <x v="17"/>
    <s v="-"/>
    <x v="166"/>
    <n v="0"/>
    <n v="0"/>
    <n v="0"/>
    <n v="0"/>
    <n v="0"/>
    <n v="0"/>
    <s v="Reserva importada do Sistema TMS. OS: 224772"/>
    <s v="Fornecedor não preenchido! (ACC01)"/>
    <x v="1"/>
    <x v="1"/>
    <s v="Campo Fornecedor"/>
    <x v="0"/>
    <s v="Qualidade dos dados"/>
    <s v="KONTIK BUSINESS TRAVEL"/>
    <x v="2"/>
  </r>
  <r>
    <n v="22694620"/>
    <n v="23497467"/>
    <s v="ACC01"/>
    <x v="180"/>
    <d v="2025-08-06T16:44:28"/>
    <x v="1"/>
    <x v="1"/>
    <s v="5G56FZ"/>
    <s v="TMS"/>
    <s v="FERNANDA FARIA"/>
    <s v="Robson Amaro Santos da Silva"/>
    <s v="Robson Amaro Santos da Silva"/>
    <d v="2025-08-06T14:44:00"/>
    <n v="224770"/>
    <s v="-"/>
    <s v="OFF LINE"/>
    <s v="Cartão de crédito"/>
    <s v="Cartão de crédito"/>
    <x v="1"/>
    <s v="N"/>
    <x v="33"/>
    <s v="Kpmg Assessores"/>
    <s v="-"/>
    <s v="-"/>
    <s v="-"/>
    <x v="17"/>
    <s v="-"/>
    <x v="166"/>
    <n v="0"/>
    <n v="0"/>
    <n v="0"/>
    <n v="0"/>
    <n v="0"/>
    <n v="0"/>
    <s v="Reserva importada do Sistema TMS. OS: 224770"/>
    <s v="Fornecedor não preenchido! (ACC01)"/>
    <x v="1"/>
    <x v="1"/>
    <s v="Campo Fornecedor"/>
    <x v="0"/>
    <s v="Qualidade dos dados"/>
    <s v="KONTIK BUSINESS TRAVEL"/>
    <x v="2"/>
  </r>
  <r>
    <n v="22724361"/>
    <n v="23522611"/>
    <s v="ACC01"/>
    <x v="181"/>
    <d v="2025-08-11T18:32:35"/>
    <x v="0"/>
    <x v="0"/>
    <s v="5GCY86"/>
    <s v="TMS"/>
    <s v="VANUSA SOUZA"/>
    <s v="Valeria Bottino da Silva"/>
    <s v="Valeria Bottino da Silva"/>
    <d v="2025-08-11T16:36:00"/>
    <n v="225661"/>
    <s v="-"/>
    <s v="OFF LINE"/>
    <s v="Cartão de crédito"/>
    <s v="Cartão de crédito"/>
    <x v="1"/>
    <s v="N"/>
    <x v="33"/>
    <s v="Kpmg Consultoria"/>
    <s v="-"/>
    <s v="-"/>
    <s v="-"/>
    <x v="17"/>
    <s v="-"/>
    <x v="167"/>
    <n v="0"/>
    <n v="0"/>
    <n v="0"/>
    <n v="0"/>
    <n v="0"/>
    <n v="0"/>
    <s v="Reserva importada do Sistema TMS. OS: 225661"/>
    <s v="Fornecedor não preenchido! (ACC01)"/>
    <x v="1"/>
    <x v="1"/>
    <s v="Campo Fornecedor"/>
    <x v="0"/>
    <s v="Qualidade dos dados"/>
    <s v="KONTIK BUSINESS TRAVEL"/>
    <x v="2"/>
  </r>
  <r>
    <n v="22724365"/>
    <n v="23522615"/>
    <s v="ACC01"/>
    <x v="182"/>
    <d v="2025-08-11T18:12:27"/>
    <x v="0"/>
    <x v="0"/>
    <s v="BFY8PY"/>
    <s v="TMS"/>
    <s v="FLAVIO OLIVEIRA"/>
    <s v="Valeria Bottino da Silva"/>
    <s v="Valeria Bottino da Silva"/>
    <d v="2025-08-11T16:27:00"/>
    <n v="225647"/>
    <s v="-"/>
    <s v="OFF LINE"/>
    <s v="Cartão de crédito"/>
    <s v="Cartão de crédito"/>
    <x v="0"/>
    <s v="N"/>
    <x v="33"/>
    <s v="Kpmg Consultoria"/>
    <s v="-"/>
    <s v="Azul Linhas Aereas"/>
    <n v="3023522612"/>
    <x v="17"/>
    <s v="-"/>
    <x v="168"/>
    <n v="107.34"/>
    <n v="0"/>
    <n v="0"/>
    <n v="0"/>
    <n v="0"/>
    <n v="0"/>
    <s v="Reserva importada do Sistema TMS. OS: 225647"/>
    <s v="Pnr já existente. A duplicidade de rloc é permitida apenas 6 meses após o último pnr emitido"/>
    <x v="1"/>
    <x v="3"/>
    <s v="Campo RLOC"/>
    <x v="2"/>
    <s v="Qualidade dos dados"/>
    <s v="GRUPO KONTIK"/>
    <x v="5"/>
  </r>
  <r>
    <n v="22687220"/>
    <n v="23490909"/>
    <s v="ACC01"/>
    <x v="183"/>
    <d v="2025-08-05T16:17:17"/>
    <x v="1"/>
    <x v="1"/>
    <s v="5FAIHL"/>
    <s v="TMS"/>
    <s v="FABIO GOULARTE"/>
    <s v="Valeria Bottino da Silva"/>
    <s v="Valeria Bottino da Silva"/>
    <d v="2025-08-05T16:10:00"/>
    <n v="224403"/>
    <s v="-"/>
    <s v="OFF LINE"/>
    <s v="Cartão de crédito"/>
    <s v="Cartão de crédito"/>
    <x v="1"/>
    <s v="N"/>
    <x v="33"/>
    <s v="Kpmg"/>
    <s v="-"/>
    <s v="Mirante Hotel"/>
    <s v="-"/>
    <x v="17"/>
    <s v="-"/>
    <x v="169"/>
    <n v="0"/>
    <n v="0"/>
    <n v="0"/>
    <n v="0"/>
    <n v="0"/>
    <n v="0"/>
    <s v="Reserva importada do Sistema TMS. OS: 224403"/>
    <s v="Matrícula não preenchida! (ACC01)"/>
    <x v="1"/>
    <x v="10"/>
    <s v="Falta de informação Gerencial"/>
    <x v="0"/>
    <s v="Qualidade dos dados"/>
    <s v="KONTIK BUSINESS TRAVEL"/>
    <x v="0"/>
  </r>
  <r>
    <n v="22724397"/>
    <n v="23522648"/>
    <s v="ACC01"/>
    <x v="184"/>
    <d v="2025-08-11T18:37:15"/>
    <x v="0"/>
    <x v="0"/>
    <s v="5G0NIH"/>
    <s v="TMS"/>
    <s v="CAIO NOLASCO"/>
    <s v="Donizete Alves de Souza"/>
    <s v="Donizete Alves de Souza"/>
    <d v="2025-08-11T17:05:00"/>
    <n v="225613"/>
    <s v="-"/>
    <s v="OFF LINE"/>
    <s v="Cartão de crédito"/>
    <s v="Cartão de crédito"/>
    <x v="1"/>
    <s v="N"/>
    <x v="33"/>
    <s v="Kpmg Consultoria"/>
    <s v="-"/>
    <s v="-"/>
    <s v="-"/>
    <x v="17"/>
    <s v="-"/>
    <x v="170"/>
    <n v="0"/>
    <n v="0"/>
    <n v="0"/>
    <n v="0"/>
    <n v="0"/>
    <n v="0"/>
    <s v="Reserva importada do Sistema TMS. OS: 225613"/>
    <s v="Fornecedor não preenchido! (ACC01)"/>
    <x v="1"/>
    <x v="1"/>
    <s v="Campo Fornecedor"/>
    <x v="0"/>
    <s v="Qualidade dos dados"/>
    <s v="KONTIK BUSINESS TRAVEL"/>
    <x v="2"/>
  </r>
  <r>
    <n v="22724398"/>
    <n v="23522649"/>
    <s v="ACC01"/>
    <x v="185"/>
    <d v="2025-08-11T18:37:15"/>
    <x v="0"/>
    <x v="0"/>
    <s v="5GCOK6"/>
    <s v="TMS"/>
    <s v="CAIO NOLASCO"/>
    <s v="Donizete Alves de Souza"/>
    <s v="Donizete Alves de Souza"/>
    <d v="2025-08-11T17:05:00"/>
    <n v="225613"/>
    <s v="-"/>
    <s v="OFF LINE"/>
    <s v="Cartão de crédito"/>
    <s v="Cartão de crédito"/>
    <x v="1"/>
    <s v="N"/>
    <x v="33"/>
    <s v="Kpmg Consultoria"/>
    <s v="-"/>
    <s v="-"/>
    <s v="-"/>
    <x v="17"/>
    <s v="-"/>
    <x v="171"/>
    <n v="0"/>
    <n v="0"/>
    <n v="0"/>
    <n v="0"/>
    <n v="0"/>
    <n v="0"/>
    <s v="Reserva importada do Sistema TMS. OS: 225613"/>
    <s v="Fornecedor não preenchido! (ACC01)"/>
    <x v="1"/>
    <x v="1"/>
    <s v="Campo Fornecedor"/>
    <x v="0"/>
    <s v="Qualidade dos dados"/>
    <s v="KONTIK BUSINESS TRAVEL"/>
    <x v="2"/>
  </r>
  <r>
    <n v="22703935"/>
    <n v="23506018"/>
    <s v="ACC01"/>
    <x v="186"/>
    <d v="2025-08-07T19:35:35"/>
    <x v="1"/>
    <x v="1"/>
    <s v="OCGMIA1"/>
    <s v="TMS"/>
    <s v="DANIEL CIFU"/>
    <s v="Donizete Alves de Souza"/>
    <s v="Donizete Alves de Souza"/>
    <d v="2025-08-07T17:04:00"/>
    <n v="224799"/>
    <s v="-"/>
    <s v="OFF LINE"/>
    <s v="Cartão de crédito"/>
    <s v="Cartão de crédito"/>
    <x v="0"/>
    <s v="N"/>
    <x v="33"/>
    <s v="Kpmg Structured"/>
    <s v="-"/>
    <s v="Latam Airlines Brasil"/>
    <n v="2971569341"/>
    <x v="17"/>
    <s v="-"/>
    <x v="172"/>
    <n v="5.49"/>
    <n v="0"/>
    <n v="0"/>
    <n v="0"/>
    <n v="0"/>
    <n v="0"/>
    <s v="Reserva importada do Sistema TMS. OS: 224799"/>
    <s v="Verificação de bilhetes: Bilhete 2971569341 já sendo utilizado para este fornecedor."/>
    <x v="1"/>
    <x v="6"/>
    <s v="Bilhete Já Contabilizado"/>
    <x v="2"/>
    <s v="Qualidade dos dados"/>
    <s v="GRUPO KONTIK"/>
    <x v="5"/>
  </r>
  <r>
    <n v="22702112"/>
    <n v="23504253"/>
    <s v="ACC01"/>
    <x v="187"/>
    <d v="2025-08-07T16:52:22"/>
    <x v="1"/>
    <x v="1"/>
    <s v="5GZU1D"/>
    <s v="TMS"/>
    <s v="ELIANE ALMEIDA"/>
    <s v="Donizete Alves de Souza"/>
    <s v="Donizete Alves de Souza"/>
    <d v="2025-08-07T16:04:00"/>
    <n v="225008"/>
    <s v="-"/>
    <s v="OFF LINE"/>
    <s v="Invoice"/>
    <s v="Faturado"/>
    <x v="2"/>
    <s v="N"/>
    <x v="33"/>
    <s v="Kpmg"/>
    <s v="-"/>
    <s v="-"/>
    <s v="-"/>
    <x v="17"/>
    <s v="-"/>
    <x v="173"/>
    <n v="0"/>
    <n v="0"/>
    <n v="0"/>
    <n v="0"/>
    <n v="0"/>
    <n v="0"/>
    <s v="Reserva importada do Sistema TMS. OS: 225008"/>
    <s v="Fornecedor não preenchido! (ACC01)"/>
    <x v="1"/>
    <x v="1"/>
    <s v="Campo Fornecedor"/>
    <x v="0"/>
    <s v="Qualidade dos dados"/>
    <s v="KONTIK BUSINESS TRAVEL"/>
    <x v="2"/>
  </r>
  <r>
    <n v="22664778"/>
    <n v="23472774"/>
    <s v="ACC01"/>
    <x v="188"/>
    <d v="2025-08-01T13:21:49"/>
    <x v="2"/>
    <x v="4"/>
    <s v="5FKQ75"/>
    <s v="TMS"/>
    <s v="PIYALI CHAUDHURY"/>
    <s v="Donizete Alves de Souza"/>
    <s v="Donizete Alves de Souza"/>
    <d v="2025-08-01T10:39:00"/>
    <n v="223634"/>
    <s v="-"/>
    <s v="OFF LINE"/>
    <s v="Invoice"/>
    <s v="Faturado"/>
    <x v="2"/>
    <s v="N"/>
    <x v="33"/>
    <s v="Kpmg Consultoria"/>
    <s v="-"/>
    <s v="-"/>
    <s v="-"/>
    <x v="17"/>
    <s v="-"/>
    <x v="174"/>
    <n v="0"/>
    <n v="0"/>
    <n v="0"/>
    <n v="0"/>
    <n v="0"/>
    <n v="0"/>
    <s v="Reserva importada do Sistema TMS. OS: 223634"/>
    <s v="Fornecedor não preenchido! (ACC01)"/>
    <x v="1"/>
    <x v="1"/>
    <s v="Campo Fornecedor"/>
    <x v="0"/>
    <s v="Qualidade dos dados"/>
    <s v="KONTIK BUSINESS TRAVEL"/>
    <x v="2"/>
  </r>
  <r>
    <n v="22724299"/>
    <n v="23522547"/>
    <s v="ACC01"/>
    <x v="189"/>
    <d v="2025-08-11T18:22:20"/>
    <x v="0"/>
    <x v="0"/>
    <s v="5G2S86"/>
    <s v="TMS"/>
    <s v="ADLER WOCZIKOSKY"/>
    <s v="Tuane Cristina Alves de Oliveira"/>
    <s v="Tuane Cristina Alves de Oliveira"/>
    <d v="2025-08-11T16:59:00"/>
    <n v="225774"/>
    <s v="-"/>
    <s v="OFF LINE"/>
    <s v="Cartão de crédito"/>
    <s v="Cartão de crédito"/>
    <x v="1"/>
    <s v="N"/>
    <x v="33"/>
    <s v="Fcam"/>
    <s v="-"/>
    <s v="-"/>
    <s v="-"/>
    <x v="17"/>
    <s v="-"/>
    <x v="175"/>
    <n v="0"/>
    <n v="0"/>
    <n v="0"/>
    <n v="0"/>
    <n v="0"/>
    <n v="0"/>
    <s v="Reserva importada do Sistema TMS. OS: 225774"/>
    <s v="Fornecedor não preenchido! (ACC01)"/>
    <x v="1"/>
    <x v="1"/>
    <s v="Campo Fornecedor"/>
    <x v="0"/>
    <s v="Qualidade dos dados"/>
    <s v="KONTIK BUSINESS TRAVEL"/>
    <x v="2"/>
  </r>
  <r>
    <n v="22732117"/>
    <n v="23529563"/>
    <s v="ACC01"/>
    <x v="190"/>
    <d v="2025-08-12T19:04:15"/>
    <x v="0"/>
    <x v="0"/>
    <s v="5G9TUK"/>
    <s v="TMS"/>
    <s v="HERCULES SILVA"/>
    <s v="Tuane Cristina Alves de Oliveira"/>
    <s v="Tuane Cristina Alves de Oliveira"/>
    <d v="2025-08-12T14:42:00"/>
    <n v="225851"/>
    <s v="Porto Alegre / RS, Brasil (POA)"/>
    <s v="OFF LINE"/>
    <s v="Invoice"/>
    <s v="Faturado"/>
    <x v="3"/>
    <s v="N"/>
    <x v="33"/>
    <s v="Kpmg Consultoria"/>
    <s v="-"/>
    <s v="-"/>
    <s v="-"/>
    <x v="17"/>
    <s v="-"/>
    <x v="176"/>
    <n v="0"/>
    <n v="0"/>
    <n v="0"/>
    <n v="0"/>
    <n v="0"/>
    <n v="0"/>
    <s v="Reserva importada do Sistema TMS. OS: 225851"/>
    <s v="Fornecedor não preenchido! (ACC01)"/>
    <x v="1"/>
    <x v="1"/>
    <s v="Campo Fornecedor"/>
    <x v="0"/>
    <s v="Qualidade dos dados"/>
    <s v="KONTIK BUSINESS TRAVEL"/>
    <x v="0"/>
  </r>
  <r>
    <n v="22732118"/>
    <n v="23529564"/>
    <s v="ACC01"/>
    <x v="191"/>
    <d v="2025-08-12T19:04:15"/>
    <x v="0"/>
    <x v="0"/>
    <s v="5G0HUI"/>
    <s v="TMS"/>
    <s v="RODRIGO MONTEIRO"/>
    <s v="Tuane Cristina Alves de Oliveira"/>
    <s v="Tuane Cristina Alves de Oliveira"/>
    <d v="2025-08-12T14:38:00"/>
    <n v="225848"/>
    <s v="Porto Alegre / RS, Brasil (POA)"/>
    <s v="OFF LINE"/>
    <s v="Invoice"/>
    <s v="Faturado"/>
    <x v="3"/>
    <s v="N"/>
    <x v="33"/>
    <s v="Kpmg Consultoria"/>
    <s v="-"/>
    <s v="-"/>
    <s v="-"/>
    <x v="17"/>
    <s v="-"/>
    <x v="177"/>
    <n v="0"/>
    <n v="0"/>
    <n v="0"/>
    <n v="0"/>
    <n v="0"/>
    <n v="0"/>
    <s v="Reserva importada do Sistema TMS. OS: 225848"/>
    <s v="Fornecedor não preenchido! (ACC01)"/>
    <x v="1"/>
    <x v="1"/>
    <s v="Campo Fornecedor"/>
    <x v="0"/>
    <s v="Qualidade dos dados"/>
    <s v="KONTIK BUSINESS TRAVEL"/>
    <x v="0"/>
  </r>
  <r>
    <n v="22732065"/>
    <n v="23529510"/>
    <s v="ACC01"/>
    <x v="192"/>
    <d v="2025-08-12T18:51:21"/>
    <x v="0"/>
    <x v="0"/>
    <s v="5GS3J8"/>
    <s v="TMS"/>
    <s v="Coutinho/Marienne"/>
    <s v="Tuane Cristina Alves de Oliveira"/>
    <s v="Tuane Cristina Alves de Oliveira"/>
    <d v="2025-08-12T15:45:00"/>
    <n v="225994"/>
    <s v="-"/>
    <s v="OFF LINE"/>
    <s v="Invoice"/>
    <s v="Faturado"/>
    <x v="0"/>
    <s v="N"/>
    <x v="33"/>
    <s v="Kpmg Assessores"/>
    <s v="-"/>
    <s v="Gol Linhas Aereas"/>
    <n v="3023529510"/>
    <x v="17"/>
    <s v="-"/>
    <x v="19"/>
    <n v="130"/>
    <n v="0"/>
    <n v="0"/>
    <n v="0"/>
    <n v="0"/>
    <n v="0"/>
    <s v="Reserva importada do Sistema TMS. OS: 225994"/>
    <s v="Tarifa mínima não preenchida! (ACC01) Tarifa máxima não preenchida! (ACC01)"/>
    <x v="1"/>
    <x v="0"/>
    <s v="Falta de informação Gerencial"/>
    <x v="0"/>
    <s v="Qualidade dos dados"/>
    <s v="KONTIK BUSINESS TRAVEL"/>
    <x v="0"/>
  </r>
  <r>
    <n v="22734009"/>
    <n v="23531291"/>
    <s v="ACC01"/>
    <x v="193"/>
    <d v="2025-08-13T00:46:07"/>
    <x v="0"/>
    <x v="0"/>
    <s v="5G94XN"/>
    <s v="TMS"/>
    <s v="RODRIGO MONTEIRO"/>
    <s v="Tuane Cristina Alves de Oliveira"/>
    <s v="Tuane Cristina Alves de Oliveira"/>
    <d v="2025-08-12T19:59:00"/>
    <n v="226080"/>
    <s v="-"/>
    <s v="OFF LINE"/>
    <s v="Cartão de crédito"/>
    <s v="Cartão de crédito"/>
    <x v="1"/>
    <s v="N"/>
    <x v="33"/>
    <s v="Kpmg Consultoria"/>
    <s v="-"/>
    <s v="-"/>
    <s v="-"/>
    <x v="17"/>
    <s v="-"/>
    <x v="178"/>
    <n v="0"/>
    <n v="0"/>
    <n v="0"/>
    <n v="0"/>
    <n v="0"/>
    <n v="0"/>
    <s v="Reserva importada do Sistema TMS. OS: 226080"/>
    <s v="Fornecedor não preenchido! (ACC01)"/>
    <x v="1"/>
    <x v="1"/>
    <s v="Campo Fornecedor"/>
    <x v="0"/>
    <s v="Qualidade dos dados"/>
    <s v="KONTIK BUSINESS TRAVEL"/>
    <x v="2"/>
  </r>
  <r>
    <n v="22721278"/>
    <n v="23519654"/>
    <s v="ACC01"/>
    <x v="194"/>
    <d v="2025-08-11T10:36:56"/>
    <x v="0"/>
    <x v="0"/>
    <s v="UCODINC"/>
    <s v="SABRE"/>
    <s v="BARROS/JONATHAN COSTA MR"/>
    <s v="CT"/>
    <s v="CT"/>
    <d v="2025-07-16T12:18:00"/>
    <s v="UCODIN"/>
    <s v="FOR"/>
    <s v="ON LINE"/>
    <s v="Invoice"/>
    <s v="Faturado"/>
    <x v="3"/>
    <s v="N"/>
    <x v="34"/>
    <s v="Innomotics Motores e Grandes Conversores Ltda"/>
    <s v="-"/>
    <s v="-"/>
    <s v="-"/>
    <x v="18"/>
    <s v="-"/>
    <x v="179"/>
    <n v="304.33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3903"/>
    <n v="23522160"/>
    <s v="ACC01"/>
    <x v="195"/>
    <d v="2025-08-11T17:19:17"/>
    <x v="0"/>
    <x v="0"/>
    <s v="YMVBVG"/>
    <s v="SABRE"/>
    <s v="GOMES DA MATA/FELIPE SIR"/>
    <s v="CT"/>
    <s v="CT"/>
    <d v="2025-08-11T12:37:00"/>
    <s v="YMVBVG"/>
    <s v="-"/>
    <s v="ON LINE"/>
    <s v="Cartão de crédito"/>
    <s v="Cartão de crédito"/>
    <x v="0"/>
    <s v="N"/>
    <x v="34"/>
    <s v="Innomotics Motores e Grandes Conversores Ltda"/>
    <s v="-"/>
    <s v="Gol Linhas Aereas"/>
    <n v="2143225827"/>
    <x v="18"/>
    <s v="-"/>
    <x v="19"/>
    <n v="474.02"/>
    <n v="0"/>
    <n v="0"/>
    <n v="0"/>
    <n v="0"/>
    <n v="0"/>
    <s v="Reserva importada por HubTravel"/>
    <s v="Tarifa mínima não preenchida! (ACC01)"/>
    <x v="0"/>
    <x v="15"/>
    <s v="Falta de informação Gerencial"/>
    <x v="0"/>
    <s v="Qualidade dos dados"/>
    <s v="KONTIK BUSINESS TRAVEL"/>
    <x v="2"/>
  </r>
  <r>
    <n v="22681821"/>
    <n v="23486261"/>
    <s v="ACC01"/>
    <x v="196"/>
    <d v="2025-08-05T22:13:32"/>
    <x v="1"/>
    <x v="4"/>
    <s v="MGJKWB"/>
    <s v="GOVER"/>
    <s v="Fernando Guilhem Silva"/>
    <s v="Juliana dos Santos Pinto"/>
    <s v="Juliana dos Santos Pinto"/>
    <d v="2025-08-04T19:31:00"/>
    <n v="4575654"/>
    <s v="-"/>
    <s v="OFF LINE"/>
    <s v="Cartão de crédito"/>
    <s v="Cartão AMEX"/>
    <x v="0"/>
    <s v="N"/>
    <x v="0"/>
    <s v="Atos Brasil Ltda"/>
    <s v="-"/>
    <s v="Gol Linhas Aereas"/>
    <n v="2142700013"/>
    <x v="19"/>
    <s v="-"/>
    <x v="180"/>
    <n v="773.91"/>
    <n v="0"/>
    <n v="0"/>
    <n v="0"/>
    <n v="0"/>
    <n v="0"/>
    <s v="Reserva importada do sistema Gover. Id: 4575654"/>
    <s v="Pnr já existente. A duplicidade de rloc é permitida apenas 6 meses após o último pnr emitido"/>
    <x v="5"/>
    <x v="3"/>
    <s v="Campo RLOC"/>
    <x v="2"/>
    <s v="Qualidade dos dados"/>
    <s v="GRUPO KONTIK"/>
    <x v="5"/>
  </r>
  <r>
    <n v="22725695"/>
    <n v="23523920"/>
    <s v="ACC01"/>
    <x v="197"/>
    <d v="2025-08-12T05:51:15"/>
    <x v="0"/>
    <x v="0"/>
    <s v="OTZHIV"/>
    <s v="SABRE"/>
    <s v="SANTOS/WALLACE EDUARDO DOS"/>
    <s v="Clayton Alves de Rezende"/>
    <s v="CT"/>
    <d v="2025-08-06T08:03:00"/>
    <s v="OTZHIV"/>
    <s v="-"/>
    <s v="ON LINE"/>
    <s v="Cartão de crédito"/>
    <s v="Cartão AMEX"/>
    <x v="0"/>
    <s v="N"/>
    <x v="35"/>
    <s v="Ctp - Planta Curitiba"/>
    <s v="Cliente FEE no POS"/>
    <s v="Latam Airlines Brasil"/>
    <n v="2971604084"/>
    <x v="20"/>
    <s v="-"/>
    <x v="181"/>
    <n v="139.9"/>
    <n v="806.09"/>
    <n v="0"/>
    <n v="139.9"/>
    <n v="0"/>
    <n v="19.29"/>
    <s v="Reserva importada por HubTravel"/>
    <s v="Verificação de bilhetes: Bilhete 2971604084 já sendo utilizado para este fornecedor."/>
    <x v="0"/>
    <x v="6"/>
    <s v="Bilhete Já Contabilizado"/>
    <x v="2"/>
    <s v="Qualidade dos dados"/>
    <s v="GRUPO KONTIK"/>
    <x v="5"/>
  </r>
  <r>
    <n v="22725688"/>
    <n v="23523913"/>
    <s v="ACC01"/>
    <x v="198"/>
    <d v="2025-08-12T05:50:53"/>
    <x v="0"/>
    <x v="0"/>
    <s v="NVVNND"/>
    <s v="SABRE"/>
    <s v="ALVARENGA/ERIC COLPAERT DE"/>
    <s v="Clayton Alves de Rezende"/>
    <s v="CT"/>
    <d v="2025-08-06T09:34:00"/>
    <s v="NVVNND"/>
    <s v="-"/>
    <s v="ON LINE"/>
    <s v="?"/>
    <s v="TKT"/>
    <x v="0"/>
    <s v="N"/>
    <x v="35"/>
    <s v="Robert Bosch Limitada - 908a"/>
    <s v="Cliente FEE no POS"/>
    <s v="Latam Airlines Brasil"/>
    <n v="2971592825"/>
    <x v="20"/>
    <s v="-"/>
    <x v="19"/>
    <n v="0"/>
    <n v="153.63"/>
    <n v="0"/>
    <n v="0"/>
    <n v="0"/>
    <n v="19.29"/>
    <s v="Reserva importada por HubTravel"/>
    <s v="Verificação de bilhetes: Bilhete 2971592825 já sendo utilizado para este fornecedor."/>
    <x v="0"/>
    <x v="6"/>
    <s v="Bilhete Já Contabilizado"/>
    <x v="2"/>
    <s v="Qualidade dos dados"/>
    <s v="GRUPO KONTIK"/>
    <x v="5"/>
  </r>
  <r>
    <n v="22725702"/>
    <n v="23523927"/>
    <s v="ACC01"/>
    <x v="199"/>
    <d v="2025-08-12T05:51:21"/>
    <x v="0"/>
    <x v="0"/>
    <s v="SOJZDC"/>
    <s v="SABRE"/>
    <s v="SANDEOVITH/JOAO ANTONIO DO AM"/>
    <s v="Clayton Alves de Rezende"/>
    <s v="CT"/>
    <d v="2025-08-08T00:00:00"/>
    <s v="SOJZDC"/>
    <s v="-"/>
    <s v="ON LINE"/>
    <s v="Cartão de crédito"/>
    <s v="Cartão AMEX"/>
    <x v="0"/>
    <s v="N"/>
    <x v="35"/>
    <s v="Cap1 - Planta Campinas Bosch - 9080"/>
    <s v="Cliente FEE no POS"/>
    <s v="Lufthansa"/>
    <n v="2971604113"/>
    <x v="20"/>
    <s v="-"/>
    <x v="182"/>
    <n v="0"/>
    <n v="762.3"/>
    <n v="0"/>
    <n v="0"/>
    <n v="0"/>
    <n v="19.12"/>
    <s v="Reserva importada por HubTravel"/>
    <s v="Verificação de bilhetes: Bilhete 2971604113 já sendo utilizado para este fornecedor."/>
    <x v="0"/>
    <x v="6"/>
    <s v="Bilhete Já Contabilizado"/>
    <x v="2"/>
    <s v="Qualidade dos dados"/>
    <s v="GRUPO KONTIK"/>
    <x v="5"/>
  </r>
  <r>
    <n v="22725700"/>
    <n v="23523924"/>
    <s v="ACC01"/>
    <x v="200"/>
    <d v="2025-08-12T05:51:18"/>
    <x v="0"/>
    <x v="0"/>
    <s v="CTTKUN"/>
    <s v="SABRE"/>
    <s v="SOUZA/LEANDRO BARCELLOS DE"/>
    <s v="Clayton Alves de Rezende"/>
    <s v="CT"/>
    <d v="2025-08-07T07:59:00"/>
    <s v="CTTKUN"/>
    <s v="-"/>
    <s v="ON LINE"/>
    <s v="Cartão de crédito"/>
    <s v="Cartão AMEX"/>
    <x v="0"/>
    <s v="N"/>
    <x v="35"/>
    <s v="Robert Bosch Limitada - 908a"/>
    <s v="Cliente FEE no POS"/>
    <s v="Delta"/>
    <n v="2971604104"/>
    <x v="20"/>
    <s v="-"/>
    <x v="183"/>
    <n v="59.54"/>
    <n v="435.14"/>
    <n v="0"/>
    <n v="59.54"/>
    <n v="0"/>
    <n v="19.18"/>
    <s v="Reserva importada por HubTravel"/>
    <s v="Verificação de bilhetes: Bilhete 2971604104 já sendo utilizado para este fornecedor."/>
    <x v="0"/>
    <x v="6"/>
    <s v="Bilhete Já Contabilizado"/>
    <x v="2"/>
    <s v="Qualidade dos dados"/>
    <s v="GRUPO KONTIK"/>
    <x v="5"/>
  </r>
  <r>
    <n v="22725709"/>
    <n v="23523934"/>
    <s v="ACC01"/>
    <x v="201"/>
    <d v="2025-08-12T05:51:24"/>
    <x v="0"/>
    <x v="0"/>
    <s v="UKMXNR"/>
    <s v="SABRE"/>
    <s v="CARRAU JIMENEZ/AGUSTIN"/>
    <s v="Clayton Alves de Rezende"/>
    <s v="CT"/>
    <d v="2025-08-08T10:23:00"/>
    <s v="UKMXNR"/>
    <s v="-"/>
    <s v="ON LINE"/>
    <s v="Cartão de crédito"/>
    <s v="Cartão AMEX"/>
    <x v="0"/>
    <s v="N"/>
    <x v="35"/>
    <s v="Robert Bosch Limitada - 9085"/>
    <s v="Cliente FEE no POS"/>
    <s v="Swiss"/>
    <n v="2971604118"/>
    <x v="20"/>
    <s v="-"/>
    <x v="184"/>
    <n v="0"/>
    <n v="2734.83"/>
    <n v="0"/>
    <n v="0"/>
    <n v="0"/>
    <n v="19.12"/>
    <s v="Reserva importada por HubTravel"/>
    <s v="Verificação de bilhetes: Bilhete 2971604118 já sendo utilizado para este fornecedor."/>
    <x v="0"/>
    <x v="6"/>
    <s v="Bilhete Já Contabilizado"/>
    <x v="2"/>
    <s v="Qualidade dos dados"/>
    <s v="GRUPO KONTIK"/>
    <x v="5"/>
  </r>
  <r>
    <n v="22725757"/>
    <n v="23523982"/>
    <s v="ACC01"/>
    <x v="202"/>
    <d v="2025-08-12T05:51:25"/>
    <x v="0"/>
    <x v="0"/>
    <s v="LXVCAG"/>
    <s v="SABRE"/>
    <s v="SIMOES/STEFFANY MILAN"/>
    <s v="Clayton Alves de Rezende"/>
    <s v="CT"/>
    <d v="2025-08-08T08:22:00"/>
    <s v="LXVCAG"/>
    <s v="-"/>
    <s v="ON LINE"/>
    <s v="Cartão de crédito"/>
    <s v="Cartão AMEX"/>
    <x v="0"/>
    <s v="N"/>
    <x v="35"/>
    <s v="Jvl - Planta Joinville"/>
    <s v="Cliente FEE no POS"/>
    <s v="Lufthansa"/>
    <n v="2971604119"/>
    <x v="20"/>
    <s v="-"/>
    <x v="185"/>
    <n v="59.54"/>
    <n v="978.01"/>
    <n v="0"/>
    <n v="59.54"/>
    <n v="0"/>
    <n v="19.12"/>
    <s v="Reserva importada por HubTravel"/>
    <s v="Verificação de bilhetes: Bilhete 2971604119 já sendo utilizado para este fornecedor."/>
    <x v="0"/>
    <x v="6"/>
    <s v="Bilhete Já Contabilizado"/>
    <x v="2"/>
    <s v="Qualidade dos dados"/>
    <s v="GRUPO KONTIK"/>
    <x v="5"/>
  </r>
  <r>
    <n v="22725758"/>
    <n v="23523983"/>
    <s v="ACC01"/>
    <x v="203"/>
    <d v="2025-08-12T05:51:26"/>
    <x v="0"/>
    <x v="0"/>
    <s v="WRPRWL"/>
    <s v="SABRE"/>
    <s v="ALMEIDA/BEATRIZ DIOGO DE"/>
    <s v="Clayton Alves de Rezende"/>
    <s v="CT"/>
    <d v="2025-08-08T08:29:00"/>
    <s v="WRPRWL"/>
    <s v="-"/>
    <s v="ON LINE"/>
    <s v="Cartão de crédito"/>
    <s v="Cartão AMEX"/>
    <x v="0"/>
    <s v="N"/>
    <x v="35"/>
    <s v="Jvl - Planta Joinville"/>
    <s v="Cliente FEE no POS"/>
    <s v="Lufthansa"/>
    <n v="2971604121"/>
    <x v="20"/>
    <s v="-"/>
    <x v="185"/>
    <n v="59.54"/>
    <n v="978.01"/>
    <n v="0"/>
    <n v="59.54"/>
    <n v="0"/>
    <n v="19.12"/>
    <s v="Reserva importada por HubTravel"/>
    <s v="Verificação de bilhetes: Bilhete 2971604121 já sendo utilizado para este fornecedor."/>
    <x v="0"/>
    <x v="6"/>
    <s v="Bilhete Já Contabilizado"/>
    <x v="2"/>
    <s v="Qualidade dos dados"/>
    <s v="GRUPO KONTIK"/>
    <x v="5"/>
  </r>
  <r>
    <n v="22725759"/>
    <n v="23523984"/>
    <s v="ACC01"/>
    <x v="204"/>
    <d v="2025-08-12T05:51:26"/>
    <x v="0"/>
    <x v="0"/>
    <s v="KDZKNK"/>
    <s v="SABRE"/>
    <s v="ALENCAR/NICOLAS NOGUEIRA"/>
    <s v="Flavia Constanzi do Nascimento"/>
    <s v="CT"/>
    <d v="2025-08-08T12:32:00"/>
    <s v="KDZKNK"/>
    <s v="-"/>
    <s v="ON LINE"/>
    <s v="Cartão de crédito"/>
    <s v="Cartão AMEX"/>
    <x v="0"/>
    <s v="N"/>
    <x v="35"/>
    <s v="Robert Bosch Limitada - 9087"/>
    <s v="Cliente FEE no POS"/>
    <s v="Latam Airlines Brasil"/>
    <n v="2971604123"/>
    <x v="20"/>
    <s v="-"/>
    <x v="186"/>
    <n v="59.54"/>
    <n v="804.44"/>
    <n v="0"/>
    <n v="59.54"/>
    <n v="0"/>
    <n v="19.12"/>
    <s v="Reserva importada por HubTravel"/>
    <s v="Verificação de bilhetes: Bilhete 2971604123 já sendo utilizado para este fornecedor."/>
    <x v="0"/>
    <x v="6"/>
    <s v="Bilhete Já Contabilizado"/>
    <x v="2"/>
    <s v="Qualidade dos dados"/>
    <s v="GRUPO KONTIK"/>
    <x v="5"/>
  </r>
  <r>
    <n v="22725706"/>
    <n v="23523931"/>
    <s v="ACC01"/>
    <x v="205"/>
    <d v="2025-08-12T05:51:23"/>
    <x v="0"/>
    <x v="0"/>
    <s v="FSGFVQ"/>
    <s v="SABRE"/>
    <s v="CARRAU JIMENEZ/AGUSTIN"/>
    <s v="Flavia Constanzi do Nascimento"/>
    <s v="CT"/>
    <d v="2025-08-08T10:28:00"/>
    <s v="FSGFVQ"/>
    <s v="-"/>
    <s v="ON LINE"/>
    <s v="Cartão de crédito"/>
    <s v="Cartão AMEX"/>
    <x v="0"/>
    <s v="N"/>
    <x v="35"/>
    <s v="Robert Bosch Limitada - 9085"/>
    <s v="Cliente FEE no POS"/>
    <s v="Aerolineas Argentinas"/>
    <n v="2971604117"/>
    <x v="20"/>
    <s v="-"/>
    <x v="187"/>
    <n v="0"/>
    <n v="242.36"/>
    <n v="0"/>
    <n v="0"/>
    <n v="0"/>
    <n v="19.12"/>
    <s v="Reserva importada por HubTravel"/>
    <s v="Verificação de bilhetes: Bilhete 2971604117 já sendo utilizado para este fornecedor."/>
    <x v="0"/>
    <x v="6"/>
    <s v="Bilhete Já Contabilizado"/>
    <x v="2"/>
    <s v="Qualidade dos dados"/>
    <s v="GRUPO KONTIK"/>
    <x v="5"/>
  </r>
  <r>
    <n v="22725708"/>
    <n v="23523933"/>
    <s v="ACC01"/>
    <x v="206"/>
    <d v="2025-08-12T05:51:24"/>
    <x v="0"/>
    <x v="0"/>
    <s v="NFZQFY"/>
    <s v="SABRE"/>
    <s v="CARRAU JIMENEZ/AGUSTIN"/>
    <s v="Flavia Constanzi do Nascimento"/>
    <s v="CT"/>
    <d v="2025-08-08T10:23:00"/>
    <s v="NFZQFY"/>
    <s v="-"/>
    <s v="ON LINE"/>
    <s v="Cartão de crédito"/>
    <s v="Cartão AMEX"/>
    <x v="0"/>
    <s v="N"/>
    <x v="35"/>
    <s v="Robert Bosch Limitada - 9085"/>
    <s v="Cliente FEE no POS"/>
    <s v="Air Europa"/>
    <n v="2952816576"/>
    <x v="20"/>
    <s v="-"/>
    <x v="188"/>
    <n v="0"/>
    <n v="1506.08"/>
    <n v="0"/>
    <n v="0"/>
    <n v="0"/>
    <n v="19.12"/>
    <s v="Reserva importada por HubTravel"/>
    <s v="Verificação de bilhetes: Bilhete 2952816576 já sendo utilizado para este fornecedor."/>
    <x v="0"/>
    <x v="6"/>
    <s v="Bilhete Já Contabilizado"/>
    <x v="2"/>
    <s v="Qualidade dos dados"/>
    <s v="GRUPO KONTIK"/>
    <x v="5"/>
  </r>
  <r>
    <n v="22725696"/>
    <n v="23523921"/>
    <s v="ACC01"/>
    <x v="207"/>
    <d v="2025-08-12T05:51:16"/>
    <x v="0"/>
    <x v="0"/>
    <s v="URMYWF"/>
    <s v="SABRE"/>
    <s v="BLASQUEZ/DIEGO DOS SANTOS"/>
    <s v="Flavia Constanzi do Nascimento"/>
    <s v="CT"/>
    <d v="2025-08-07T00:00:00"/>
    <s v="URMYWF"/>
    <s v="-"/>
    <s v="OFF LINE"/>
    <s v="Cartão de crédito"/>
    <s v="Cartão AMEX"/>
    <x v="0"/>
    <s v="N"/>
    <x v="35"/>
    <s v="Jvl - Planta Joinville"/>
    <s v="Cliente FEE no POS"/>
    <s v="Latam Airlines Brasil"/>
    <n v="2971604102"/>
    <x v="20"/>
    <s v="-"/>
    <x v="189"/>
    <n v="93.65"/>
    <n v="3200.33"/>
    <n v="0"/>
    <n v="93.65"/>
    <n v="0"/>
    <n v="19.18"/>
    <s v="Reserva importada por HubTravel"/>
    <s v="Verificação de bilhetes: Bilhete 2971604102 já sendo utilizado para este fornecedor."/>
    <x v="0"/>
    <x v="6"/>
    <s v="Bilhete Já Contabilizado"/>
    <x v="2"/>
    <s v="Qualidade dos dados"/>
    <s v="GRUPO KONTIK"/>
    <x v="5"/>
  </r>
  <r>
    <n v="22725699"/>
    <n v="23523923"/>
    <s v="ACC01"/>
    <x v="208"/>
    <d v="2025-08-12T05:51:17"/>
    <x v="0"/>
    <x v="0"/>
    <s v="FAOGOE"/>
    <s v="SABRE"/>
    <s v="SILVESTRIN/VITOR"/>
    <s v="Flavia Constanzi do Nascimento"/>
    <s v="CT"/>
    <d v="2025-08-07T06:10:00"/>
    <s v="FAOGOE"/>
    <s v="-"/>
    <s v="ON LINE"/>
    <s v="Cartão de crédito"/>
    <s v="Cartão AMEX"/>
    <x v="0"/>
    <s v="N"/>
    <x v="35"/>
    <s v="Robert Bosch Limitada - 9087"/>
    <s v="Cliente FEE no POS"/>
    <s v="Latam Airlines Brasil"/>
    <n v="2971604101"/>
    <x v="20"/>
    <s v="-"/>
    <x v="190"/>
    <n v="59.54"/>
    <n v="251.31"/>
    <n v="0"/>
    <n v="59.54"/>
    <n v="0"/>
    <n v="19.18"/>
    <s v="Reserva importada por HubTravel"/>
    <s v="Verificação de bilhetes: Bilhete 2971604101 já sendo utilizado para este fornecedor."/>
    <x v="0"/>
    <x v="6"/>
    <s v="Bilhete Já Contabilizado"/>
    <x v="2"/>
    <s v="Qualidade dos dados"/>
    <s v="GRUPO KONTIK"/>
    <x v="5"/>
  </r>
  <r>
    <n v="22725692"/>
    <n v="23523917"/>
    <s v="ACC01"/>
    <x v="209"/>
    <d v="2025-08-12T05:51:12"/>
    <x v="0"/>
    <x v="0"/>
    <s v="UXFZDX"/>
    <s v="SABRE"/>
    <s v="CECCON/EMANUEL VITOR"/>
    <s v="Flavia Constanzi do Nascimento"/>
    <s v="CT"/>
    <d v="2025-08-06T00:00:00"/>
    <s v="UXFZDX"/>
    <s v="-"/>
    <s v="OFF LINE"/>
    <s v="Cartão de crédito"/>
    <s v="Cartão AMEX"/>
    <x v="0"/>
    <s v="N"/>
    <x v="35"/>
    <s v="Ctp - Planta Curitiba"/>
    <s v="Cliente FEE no POS"/>
    <s v="Latam Airlines Brasil"/>
    <n v="2971604088"/>
    <x v="20"/>
    <s v="-"/>
    <x v="191"/>
    <n v="139.9"/>
    <n v="3304.02"/>
    <n v="0"/>
    <n v="139.9"/>
    <n v="0"/>
    <n v="19.29"/>
    <s v="Reserva importada por HubTravel"/>
    <s v="Verificação de bilhetes: Bilhete 2971604088 já sendo utilizado para este fornecedor."/>
    <x v="0"/>
    <x v="6"/>
    <s v="Bilhete Já Contabilizado"/>
    <x v="2"/>
    <s v="Qualidade dos dados"/>
    <s v="GRUPO KONTIK"/>
    <x v="5"/>
  </r>
  <r>
    <n v="22725598"/>
    <n v="23523818"/>
    <s v="ACC01"/>
    <x v="210"/>
    <d v="2025-08-12T05:50:51"/>
    <x v="0"/>
    <x v="0"/>
    <s v="ABUINN"/>
    <s v="SABRE"/>
    <s v="ALVARENGA/ERIC COLPAERT DE"/>
    <s v="Flavia Constanzi do Nascimento"/>
    <s v="CT"/>
    <d v="2025-08-06T00:00:00"/>
    <s v="ABUINN"/>
    <s v="-"/>
    <s v="ON LINE"/>
    <s v="Cartão de crédito"/>
    <s v="Cartão AMEX"/>
    <x v="0"/>
    <s v="N"/>
    <x v="35"/>
    <s v="Robert Bosch Limitada - 908a"/>
    <s v="Cliente FEE no POS"/>
    <s v="Turkish Airlines"/>
    <n v="2971604086"/>
    <x v="20"/>
    <s v="-"/>
    <x v="192"/>
    <n v="0"/>
    <n v="989.8"/>
    <n v="0"/>
    <n v="0"/>
    <n v="0"/>
    <n v="19.29"/>
    <s v="Reserva importada por HubTravel"/>
    <s v="Verificação de bilhetes: Bilhete 2971604086 já sendo utilizado para este fornecedor."/>
    <x v="0"/>
    <x v="6"/>
    <s v="Bilhete Já Contabilizado"/>
    <x v="2"/>
    <s v="Qualidade dos dados"/>
    <s v="GRUPO KONTIK"/>
    <x v="5"/>
  </r>
  <r>
    <n v="22725761"/>
    <n v="23523985"/>
    <s v="ACC01"/>
    <x v="211"/>
    <d v="2025-08-12T05:51:27"/>
    <x v="0"/>
    <x v="0"/>
    <s v="AEOQJY"/>
    <s v="SABRE"/>
    <s v="CAETANO/HELENE GUERSONI DE LI"/>
    <s v="Wellington Ribeiro da Silva"/>
    <s v="CT"/>
    <d v="2025-08-08T13:12:00"/>
    <s v="AEOQJY"/>
    <s v="-"/>
    <s v="ON LINE"/>
    <s v="Cartão de crédito"/>
    <s v="Cartão AMEX"/>
    <x v="0"/>
    <s v="N"/>
    <x v="35"/>
    <s v="Cap1 - Planta Campinas Bosch - 9080"/>
    <s v="Cliente FEE no POS"/>
    <s v="Lufthansa"/>
    <n v="2971604125"/>
    <x v="20"/>
    <s v="-"/>
    <x v="193"/>
    <n v="59.54"/>
    <n v="1001.13"/>
    <n v="0"/>
    <n v="59.54"/>
    <n v="0"/>
    <n v="19.12"/>
    <s v="Reserva importada por HubTravel"/>
    <s v="Verificação de bilhetes: Bilhete 2971604125 já sendo utilizado para este fornecedor."/>
    <x v="0"/>
    <x v="6"/>
    <s v="Bilhete Já Contabilizado"/>
    <x v="2"/>
    <s v="Qualidade dos dados"/>
    <s v="GRUPO KONTIK"/>
    <x v="5"/>
  </r>
  <r>
    <n v="22725704"/>
    <n v="23523929"/>
    <s v="ACC01"/>
    <x v="212"/>
    <d v="2025-08-12T05:51:22"/>
    <x v="0"/>
    <x v="0"/>
    <s v="KJMHCX"/>
    <s v="SABRE"/>
    <s v="MAI/ARTHUR HENRIQUE GIACOMETT"/>
    <s v="Wellington Ribeiro da Silva"/>
    <s v="CT"/>
    <d v="2025-08-08T00:00:00"/>
    <s v="KJMHCX"/>
    <s v="-"/>
    <s v="ON LINE"/>
    <s v="Cartão de crédito"/>
    <s v="Cartão AMEX"/>
    <x v="0"/>
    <s v="N"/>
    <x v="35"/>
    <s v="Robert Bosch Limitada - 908a"/>
    <s v="Cliente FEE no POS"/>
    <s v="United"/>
    <n v="2971604124"/>
    <x v="20"/>
    <s v="-"/>
    <x v="194"/>
    <n v="59.54"/>
    <n v="433.84"/>
    <n v="0"/>
    <n v="59.54"/>
    <n v="0"/>
    <n v="19.12"/>
    <s v="Reserva importada por HubTravel"/>
    <s v="Verificação de bilhetes: Bilhete 2971604124 já sendo utilizado para este fornecedor."/>
    <x v="0"/>
    <x v="6"/>
    <s v="Bilhete Já Contabilizado"/>
    <x v="2"/>
    <s v="Qualidade dos dados"/>
    <s v="GRUPO KONTIK"/>
    <x v="5"/>
  </r>
  <r>
    <n v="22732738"/>
    <n v="23530162"/>
    <s v="ACC01"/>
    <x v="213"/>
    <d v="2025-08-13T05:51:53"/>
    <x v="0"/>
    <x v="0"/>
    <s v="UYWLCN"/>
    <s v="SABRE"/>
    <s v="SUDANO/MARCOS VINICIUS"/>
    <s v="Beatrys Ferreira Rocha"/>
    <s v="CT"/>
    <d v="2025-08-12T00:00:00"/>
    <s v="UYWLCN"/>
    <s v="-"/>
    <s v="ON LINE"/>
    <s v="Cartão de crédito"/>
    <s v="Cartão AMEX"/>
    <x v="0"/>
    <s v="N"/>
    <x v="35"/>
    <s v="Jvl - Planta Joinville"/>
    <s v="Cliente FEE no POS"/>
    <s v="Eurowings"/>
    <n v="2971604145"/>
    <x v="20"/>
    <s v="-"/>
    <x v="195"/>
    <n v="0"/>
    <n v="262.10000000000002"/>
    <n v="0"/>
    <n v="0"/>
    <n v="0"/>
    <n v="19.07"/>
    <s v="Reserva importada por HubTravel"/>
    <s v="Verificação de bilhetes: Bilhete 2971604145 já sendo utilizado para este fornecedor."/>
    <x v="0"/>
    <x v="6"/>
    <s v="Bilhete Já Contabilizado"/>
    <x v="2"/>
    <s v="Qualidade dos dados"/>
    <s v="GRUPO KONTIK"/>
    <x v="5"/>
  </r>
  <r>
    <n v="22732740"/>
    <n v="23530165"/>
    <s v="ACC01"/>
    <x v="214"/>
    <d v="2025-08-13T05:51:54"/>
    <x v="0"/>
    <x v="0"/>
    <s v="UZZPZR"/>
    <s v="SABRE"/>
    <s v="FERRARO BASTOS/EDUARDO"/>
    <s v="Beatrys Ferreira Rocha"/>
    <s v="CT"/>
    <d v="2025-08-12T00:00:00"/>
    <s v="UZZPZR"/>
    <s v="-"/>
    <s v="ON LINE"/>
    <s v="Cartão de crédito"/>
    <s v="Cartão AMEX"/>
    <x v="0"/>
    <s v="N"/>
    <x v="35"/>
    <s v="Robert Bosch Limitada - 9087"/>
    <s v="Cliente FEE no POS"/>
    <s v="Lufthansa"/>
    <n v="2971604143"/>
    <x v="20"/>
    <s v="-"/>
    <x v="196"/>
    <n v="59.54"/>
    <n v="994.55"/>
    <n v="0"/>
    <n v="59.54"/>
    <n v="0"/>
    <n v="19.07"/>
    <s v="Reserva importada por HubTravel"/>
    <s v="Verificação de bilhetes: Bilhete 2971604143 já sendo utilizado para este fornecedor."/>
    <x v="0"/>
    <x v="6"/>
    <s v="Bilhete Já Contabilizado"/>
    <x v="2"/>
    <s v="Qualidade dos dados"/>
    <s v="GRUPO KONTIK"/>
    <x v="5"/>
  </r>
  <r>
    <n v="22732492"/>
    <n v="23529928"/>
    <s v="ACC01"/>
    <x v="215"/>
    <d v="2025-08-13T05:51:49"/>
    <x v="0"/>
    <x v="0"/>
    <s v="ICEKOG"/>
    <s v="SABRE"/>
    <s v="SAMPAIO/RAFAEL COSTA"/>
    <s v="Beatrys Ferreira Rocha"/>
    <s v="CT"/>
    <d v="2025-08-12T00:00:00"/>
    <s v="ICEKOG"/>
    <s v="-"/>
    <s v="ON LINE"/>
    <s v="Cartão de crédito"/>
    <s v="Cartão AMEX"/>
    <x v="0"/>
    <s v="N"/>
    <x v="35"/>
    <s v="Jvl - Planta Joinville"/>
    <s v="Cliente FEE no POS"/>
    <s v="Air France"/>
    <n v="2971604148"/>
    <x v="20"/>
    <s v="-"/>
    <x v="197"/>
    <n v="106.26"/>
    <n v="244.14"/>
    <n v="0"/>
    <n v="106.26"/>
    <n v="0"/>
    <n v="19.07"/>
    <s v="Reserva importada por HubTravel"/>
    <s v="Verificação de bilhetes: Bilhete 2971604148 já sendo utilizado para este fornecedor."/>
    <x v="0"/>
    <x v="6"/>
    <s v="Bilhete Já Contabilizado"/>
    <x v="2"/>
    <s v="Qualidade dos dados"/>
    <s v="GRUPO KONTIK"/>
    <x v="5"/>
  </r>
  <r>
    <n v="22732494"/>
    <n v="23529930"/>
    <s v="ACC01"/>
    <x v="216"/>
    <d v="2025-08-13T05:51:50"/>
    <x v="0"/>
    <x v="0"/>
    <s v="UNWYXU"/>
    <s v="SABRE"/>
    <s v="SAMPAIO/RAFAEL COSTA"/>
    <s v="Beatrys Ferreira Rocha"/>
    <s v="CT"/>
    <d v="2025-08-12T00:00:00"/>
    <s v="UNWYXU"/>
    <s v="-"/>
    <s v="ON LINE"/>
    <s v="Cartão de crédito"/>
    <s v="Cartão AMEX"/>
    <x v="0"/>
    <s v="N"/>
    <x v="35"/>
    <s v="Jvl - Planta Joinville"/>
    <s v="Cliente FEE no POS"/>
    <s v="Lufthansa"/>
    <n v="2971604147"/>
    <x v="20"/>
    <s v="-"/>
    <x v="198"/>
    <n v="0"/>
    <n v="844.59"/>
    <n v="0"/>
    <n v="0"/>
    <n v="0"/>
    <n v="19.07"/>
    <s v="Reserva importada por HubTravel"/>
    <s v="Verificação de bilhetes: Bilhete 2971604147 já sendo utilizado para este fornecedor."/>
    <x v="0"/>
    <x v="6"/>
    <s v="Bilhete Já Contabilizado"/>
    <x v="2"/>
    <s v="Qualidade dos dados"/>
    <s v="GRUPO KONTIK"/>
    <x v="5"/>
  </r>
  <r>
    <n v="22732495"/>
    <n v="23529931"/>
    <s v="ACC01"/>
    <x v="217"/>
    <d v="2025-08-13T05:51:51"/>
    <x v="0"/>
    <x v="0"/>
    <s v="IFSHTP"/>
    <s v="SABRE"/>
    <s v="SAMPAIO/RAFAEL COSTA"/>
    <s v="Beatrys Ferreira Rocha"/>
    <s v="CT"/>
    <d v="2025-08-12T00:00:00"/>
    <s v="IFSHTP"/>
    <s v="-"/>
    <s v="ON LINE"/>
    <s v="Cartão de crédito"/>
    <s v="Cartão AMEX"/>
    <x v="0"/>
    <s v="N"/>
    <x v="35"/>
    <s v="Jvl - Planta Joinville"/>
    <s v="Cliente FEE no POS"/>
    <s v="Lufthansa"/>
    <n v="2971604144"/>
    <x v="20"/>
    <s v="-"/>
    <x v="199"/>
    <n v="33.64"/>
    <n v="1798.69"/>
    <n v="0"/>
    <n v="33.64"/>
    <n v="0"/>
    <n v="19.07"/>
    <s v="Reserva importada por HubTravel"/>
    <s v="Verificação de bilhetes: Bilhete 2971604144 já sendo utilizado para este fornecedor."/>
    <x v="0"/>
    <x v="6"/>
    <s v="Bilhete Já Contabilizado"/>
    <x v="2"/>
    <s v="Qualidade dos dados"/>
    <s v="GRUPO KONTIK"/>
    <x v="5"/>
  </r>
  <r>
    <n v="22732498"/>
    <n v="23529934"/>
    <s v="ACC01"/>
    <x v="218"/>
    <d v="2025-08-13T05:51:52"/>
    <x v="0"/>
    <x v="0"/>
    <s v="UXRHTQ"/>
    <s v="SABRE"/>
    <s v="ALMEIDA/LAURA BATISTA RODRIGU"/>
    <s v="Beatrys Ferreira Rocha"/>
    <s v="CT"/>
    <d v="2025-08-12T00:00:00"/>
    <s v="UXRHTQ"/>
    <s v="-"/>
    <s v="ON LINE"/>
    <s v="Cartão de crédito"/>
    <s v="Cartão AMEX"/>
    <x v="0"/>
    <s v="N"/>
    <x v="35"/>
    <s v="Jvl - Planta Joinville"/>
    <s v="Cliente FEE no POS"/>
    <s v="Eurowings"/>
    <n v="2971604146"/>
    <x v="20"/>
    <s v="-"/>
    <x v="195"/>
    <n v="0"/>
    <n v="262.10000000000002"/>
    <n v="0"/>
    <n v="0"/>
    <n v="0"/>
    <n v="19.07"/>
    <s v="Reserva importada por HubTravel"/>
    <s v="Verificação de bilhetes: Bilhete 2971604146 já sendo utilizado para este fornecedor."/>
    <x v="0"/>
    <x v="6"/>
    <s v="Bilhete Já Contabilizado"/>
    <x v="2"/>
    <s v="Qualidade dos dados"/>
    <s v="GRUPO KONTIK"/>
    <x v="5"/>
  </r>
  <r>
    <n v="22693732"/>
    <n v="23496643"/>
    <s v="ACC01"/>
    <x v="219"/>
    <d v="2025-08-07T05:22:54"/>
    <x v="1"/>
    <x v="1"/>
    <s v="YMJMGU"/>
    <s v="SABRE"/>
    <s v="MATTOS/LEONARDO LEITE DE"/>
    <s v="Beatrys Ferreira Rocha"/>
    <s v="CT"/>
    <d v="2025-08-05T13:22:00"/>
    <s v="IFRUUC"/>
    <s v="-"/>
    <s v="ON LINE"/>
    <s v="?"/>
    <s v="TKT"/>
    <x v="0"/>
    <s v="N"/>
    <x v="35"/>
    <s v="Ctp - Planta Curitiba"/>
    <s v="Cliente FEE no POS"/>
    <s v="Latam Airlines Brasil"/>
    <n v="2971622753"/>
    <x v="20"/>
    <s v="-"/>
    <x v="19"/>
    <n v="0"/>
    <n v="450"/>
    <n v="0"/>
    <n v="0"/>
    <n v="0"/>
    <n v="19.29"/>
    <s v="Reserva importada por HubTravel"/>
    <s v="Verificação de bilhetes: Bilhete 2971622753 já sendo utilizado para este fornecedor."/>
    <x v="0"/>
    <x v="6"/>
    <s v="Bilhete Já Contabilizado"/>
    <x v="2"/>
    <s v="Qualidade dos dados"/>
    <s v="GRUPO KONTIK"/>
    <x v="5"/>
  </r>
  <r>
    <n v="22693732"/>
    <n v="23496644"/>
    <s v="ACC02"/>
    <x v="219"/>
    <d v="2025-08-07T05:22:54"/>
    <x v="1"/>
    <x v="1"/>
    <s v="YMJMGU"/>
    <s v="SABRE"/>
    <s v="MATTOS/LEONARDO LEITE DE"/>
    <s v="Beatrys Ferreira Rocha"/>
    <s v="CT"/>
    <d v="2025-08-05T13:22:00"/>
    <s v="IFRUUC"/>
    <s v="-"/>
    <s v="ON LINE"/>
    <s v="Cartão de crédito"/>
    <s v="Cartão AMEX"/>
    <x v="0"/>
    <s v="N"/>
    <x v="35"/>
    <s v="Ctp - Planta Curitiba"/>
    <s v="Cliente FEE no POS"/>
    <s v="Latam Airlines Brasil"/>
    <n v="2971622753"/>
    <x v="20"/>
    <s v="-"/>
    <x v="200"/>
    <n v="0"/>
    <n v="0"/>
    <n v="0"/>
    <n v="0"/>
    <n v="0"/>
    <n v="19.29"/>
    <s v="Reserva importada por HubTravel"/>
    <s v="Verificação de bilhetes: Bilhete 2971622753 já sendo utilizado para este fornecedor."/>
    <x v="0"/>
    <x v="6"/>
    <s v="Bilhete Já Contabilizado"/>
    <x v="2"/>
    <s v="Qualidade dos dados"/>
    <s v="GRUPO KONTIK"/>
    <x v="5"/>
  </r>
  <r>
    <n v="22709626"/>
    <n v="23511012"/>
    <s v="ACC"/>
    <x v="220"/>
    <d v="2025-08-08T17:40:29"/>
    <x v="3"/>
    <x v="3"/>
    <s v="861MLS"/>
    <s v="MANUAL"/>
    <s v="PINHEIRO VAZ/DANILO"/>
    <s v="Ernani Afranio dos Santos"/>
    <s v="Beatrys Ferreira Rocha"/>
    <d v="2025-08-07T17:10:00"/>
    <s v="BO070825"/>
    <s v="-"/>
    <s v="OFF LINE"/>
    <s v="Invoice"/>
    <s v="Faturado"/>
    <x v="0"/>
    <s v="N"/>
    <x v="35"/>
    <s v="Johnson Controls Hitachi Ar Condicionado do Brasil Ltda"/>
    <s v="-"/>
    <s v="Latam Airlines Brasil"/>
    <n v="2971604111"/>
    <x v="20"/>
    <s v="-"/>
    <x v="201"/>
    <n v="33.56"/>
    <n v="0"/>
    <n v="0"/>
    <n v="0"/>
    <n v="0"/>
    <n v="0"/>
    <s v="-"/>
    <s v="Verificação de bilhetes: Bilhete 2971604111 já sendo utilizado para este fornecedor."/>
    <x v="2"/>
    <x v="6"/>
    <s v="Bilhete Já Contabilizado"/>
    <x v="2"/>
    <s v="Qualidade dos dados"/>
    <s v="GRUPO KONTIK"/>
    <x v="5"/>
  </r>
  <r>
    <n v="22680532"/>
    <n v="23485002"/>
    <s v="ACC01"/>
    <x v="221"/>
    <d v="2025-08-05T07:34:10"/>
    <x v="1"/>
    <x v="4"/>
    <s v="MPHMWD"/>
    <s v="SABRE"/>
    <s v="OLIVEIRA/THIAGO MENEZES DE"/>
    <s v="CT"/>
    <s v="CT"/>
    <d v="2025-08-04T10:00:00"/>
    <s v="MPHMWD"/>
    <s v="-"/>
    <s v="ON LINE"/>
    <s v="Cartão de crédito"/>
    <s v="Cartão AMEX"/>
    <x v="0"/>
    <s v="N"/>
    <x v="35"/>
    <s v="Cap1 - Planta Campinas Bosch - 9080"/>
    <s v="Cliente FEE no POS"/>
    <s v="Gol Linhas Aereas"/>
    <n v="7700074850"/>
    <x v="20"/>
    <s v="-"/>
    <x v="19"/>
    <n v="0"/>
    <n v="0"/>
    <n v="0"/>
    <n v="0"/>
    <n v="0"/>
    <n v="19.399999999999999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720829"/>
    <n v="23519258"/>
    <s v="ACC01"/>
    <x v="222"/>
    <d v="2025-08-12T05:22:38"/>
    <x v="0"/>
    <x v="0"/>
    <s v="HLHVYE"/>
    <s v="SABRE"/>
    <s v="PUIG/TIAGO CARRIL"/>
    <s v="CT"/>
    <s v="CT"/>
    <d v="2025-08-11T06:29:00"/>
    <s v="MNTV7N"/>
    <s v="-"/>
    <s v="ON LINE"/>
    <s v="Cartão de crédito"/>
    <s v="Cartão AMEX"/>
    <x v="0"/>
    <s v="N"/>
    <x v="35"/>
    <s v="Bosch Solucoes Integradas Brasil Ltda"/>
    <s v="Cliente FEE no POS"/>
    <s v="Azul Linhas Aereas"/>
    <n v="7700075219"/>
    <x v="20"/>
    <s v="-"/>
    <x v="19"/>
    <n v="0"/>
    <n v="0"/>
    <n v="0"/>
    <n v="0"/>
    <n v="0"/>
    <n v="18.989999999999998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694499"/>
    <n v="23497347"/>
    <s v="ACC01"/>
    <x v="223"/>
    <d v="2025-08-07T05:26:30"/>
    <x v="1"/>
    <x v="1"/>
    <s v="HCPHKQ"/>
    <s v="SABRE"/>
    <s v="VALERIO/MARCELO FIGUEIREDO"/>
    <s v="CT"/>
    <s v="CT"/>
    <d v="2025-08-06T12:57:00"/>
    <s v="AVXEAQ"/>
    <s v="-"/>
    <s v="ON LINE"/>
    <s v="Cartão de crédito"/>
    <s v="Cartão AMEX"/>
    <x v="0"/>
    <s v="N"/>
    <x v="35"/>
    <s v="Robert Bosch Limitada - 9085"/>
    <s v="Cliente FEE no POS"/>
    <s v="Gol Linhas Aereas"/>
    <n v="7700074992"/>
    <x v="20"/>
    <s v="-"/>
    <x v="19"/>
    <n v="0"/>
    <n v="0"/>
    <n v="0"/>
    <n v="0"/>
    <n v="0"/>
    <n v="19.29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699633"/>
    <n v="23501906"/>
    <s v="ACC01"/>
    <x v="224"/>
    <d v="2025-08-08T05:18:34"/>
    <x v="3"/>
    <x v="1"/>
    <s v="MWUGLA"/>
    <s v="SABRE"/>
    <s v="NORONHA/TIAGO RODRIGUES"/>
    <s v="CT"/>
    <s v="CT"/>
    <d v="2025-08-07T08:00:00"/>
    <s v="NMHTKL"/>
    <s v="-"/>
    <s v="ON LINE"/>
    <s v="Cartão de crédito"/>
    <s v="Cartão AMEX"/>
    <x v="0"/>
    <s v="N"/>
    <x v="35"/>
    <s v="Robert Bosch Limitada - 9085"/>
    <s v="Cliente FEE no POS"/>
    <s v="Gol Linhas Aereas"/>
    <n v="7700075060"/>
    <x v="20"/>
    <s v="-"/>
    <x v="19"/>
    <n v="0"/>
    <n v="0"/>
    <n v="0"/>
    <n v="0"/>
    <n v="0"/>
    <n v="19.18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701545"/>
    <n v="23503699"/>
    <s v="ACC01"/>
    <x v="225"/>
    <d v="2025-08-08T05:28:04"/>
    <x v="3"/>
    <x v="1"/>
    <s v="DSUOAG"/>
    <s v="SABRE"/>
    <s v="GALLO JUNIOR/ADEMAR"/>
    <s v="CT"/>
    <s v="CT"/>
    <d v="2025-08-07T11:41:00"/>
    <s v="BHVRVC"/>
    <s v="-"/>
    <s v="ON LINE"/>
    <s v="Cartão de crédito"/>
    <s v="Cartão AMEX"/>
    <x v="0"/>
    <s v="N"/>
    <x v="35"/>
    <s v="Robert Bosch Limitada - 908a"/>
    <s v="Cliente FEE no POS"/>
    <s v="Azul Linhas Aereas"/>
    <n v="7700075068"/>
    <x v="20"/>
    <s v="-"/>
    <x v="19"/>
    <n v="0"/>
    <n v="0"/>
    <n v="0"/>
    <n v="0"/>
    <n v="0"/>
    <n v="19.18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725593"/>
    <n v="23523813"/>
    <s v="ACC01"/>
    <x v="226"/>
    <d v="2025-08-12T05:50:47"/>
    <x v="0"/>
    <x v="0"/>
    <s v="OLKLCU"/>
    <s v="SABRE"/>
    <s v="CUNHA/CARLOS GUILHERME PORCIU"/>
    <s v="Itamar de Souza"/>
    <s v="CT"/>
    <d v="2025-08-08T08:30:00"/>
    <s v="OLKLCU"/>
    <s v="-"/>
    <s v="ON LINE"/>
    <s v="?"/>
    <s v="TKT"/>
    <x v="0"/>
    <s v="N"/>
    <x v="35"/>
    <s v="Robert Bosch Limitada - 9087"/>
    <s v="Cliente FEE no POS"/>
    <s v="Latam Airlines Brasil"/>
    <n v="2952816561"/>
    <x v="20"/>
    <s v="-"/>
    <x v="19"/>
    <n v="0"/>
    <n v="450"/>
    <n v="0"/>
    <n v="16.059999999999999"/>
    <n v="0"/>
    <n v="19.12"/>
    <s v="Reserva importada por HubTravel"/>
    <s v="Verificação de bilhetes: Bilhete 2952816561 já sendo utilizado para este fornecedor."/>
    <x v="0"/>
    <x v="6"/>
    <s v="Bilhete Já Contabilizado"/>
    <x v="2"/>
    <s v="Qualidade dos dados"/>
    <s v="GRUPO KONTIK"/>
    <x v="5"/>
  </r>
  <r>
    <n v="22725594"/>
    <n v="23523814"/>
    <s v="ACC01"/>
    <x v="227"/>
    <d v="2025-08-12T05:50:48"/>
    <x v="0"/>
    <x v="0"/>
    <s v="WXYOVD"/>
    <s v="SABRE"/>
    <s v="BORER/FERNANDO"/>
    <s v="Itamar de Souza"/>
    <s v="CT"/>
    <d v="2025-08-07T15:17:00"/>
    <s v="WXYOVD"/>
    <s v="-"/>
    <s v="ON LINE"/>
    <s v="?"/>
    <s v="TKT"/>
    <x v="0"/>
    <s v="N"/>
    <x v="35"/>
    <s v="Ctp - Planta Curitiba"/>
    <s v="Cliente FEE no POS"/>
    <s v="Latam Airlines Brasil"/>
    <n v="2952816552"/>
    <x v="20"/>
    <s v="-"/>
    <x v="19"/>
    <n v="0"/>
    <n v="450"/>
    <n v="0"/>
    <n v="5.6"/>
    <n v="0"/>
    <n v="19.18"/>
    <s v="Reserva importada por HubTravel"/>
    <s v="Verificação de bilhetes: Bilhete 2952816552 já sendo utilizado para este fornecedor."/>
    <x v="0"/>
    <x v="6"/>
    <s v="Bilhete Já Contabilizado"/>
    <x v="2"/>
    <s v="Qualidade dos dados"/>
    <s v="GRUPO KONTIK"/>
    <x v="5"/>
  </r>
  <r>
    <n v="22725595"/>
    <n v="23523815"/>
    <s v="ACC01"/>
    <x v="228"/>
    <d v="2025-08-12T05:50:49"/>
    <x v="0"/>
    <x v="0"/>
    <s v="HVRAEH"/>
    <s v="SABRE"/>
    <s v="SILVA/MARIA HELENA DA"/>
    <s v="Itamar de Souza"/>
    <s v="CT"/>
    <d v="2025-08-07T13:27:00"/>
    <s v="HVRAEH"/>
    <s v="-"/>
    <s v="ON LINE"/>
    <s v="?"/>
    <s v="TKT"/>
    <x v="0"/>
    <s v="N"/>
    <x v="35"/>
    <s v="Ctp - Planta Curitiba"/>
    <s v="Cliente FEE no POS"/>
    <s v="Latam Airlines Brasil"/>
    <n v="2952816550"/>
    <x v="20"/>
    <s v="-"/>
    <x v="19"/>
    <n v="0"/>
    <n v="450"/>
    <n v="0"/>
    <n v="2.2000000000000002"/>
    <n v="0"/>
    <n v="19.18"/>
    <s v="Reserva importada por HubTravel"/>
    <s v="Verificação de bilhetes: Bilhete 2952816550 já sendo utilizado para este fornecedor."/>
    <x v="0"/>
    <x v="6"/>
    <s v="Bilhete Já Contabilizado"/>
    <x v="2"/>
    <s v="Qualidade dos dados"/>
    <s v="GRUPO KONTIK"/>
    <x v="5"/>
  </r>
  <r>
    <n v="22725596"/>
    <n v="23523816"/>
    <s v="ACC01"/>
    <x v="229"/>
    <d v="2025-08-12T05:50:49"/>
    <x v="0"/>
    <x v="0"/>
    <s v="HSMRYQ"/>
    <s v="SABRE"/>
    <s v="NASCIMENTO/JANEIDE FERREIRA D"/>
    <s v="Itamar de Souza"/>
    <s v="CT"/>
    <d v="2025-08-07T13:17:00"/>
    <s v="HSMRYQ"/>
    <s v="-"/>
    <s v="ON LINE"/>
    <s v="?"/>
    <s v="TKT"/>
    <x v="0"/>
    <s v="N"/>
    <x v="35"/>
    <s v="Robert Bosch Limitada - 9085"/>
    <s v="Cliente FEE no POS"/>
    <s v="Latam Airlines Brasil"/>
    <n v="2971622849"/>
    <x v="20"/>
    <s v="-"/>
    <x v="19"/>
    <n v="0"/>
    <n v="450"/>
    <n v="0"/>
    <n v="0"/>
    <n v="0"/>
    <n v="19.18"/>
    <s v="Reserva importada por HubTravel"/>
    <s v="Verificação de bilhetes: Bilhete 2971622849 já sendo utilizado para este fornecedor."/>
    <x v="0"/>
    <x v="6"/>
    <s v="Bilhete Já Contabilizado"/>
    <x v="2"/>
    <s v="Qualidade dos dados"/>
    <s v="GRUPO KONTIK"/>
    <x v="5"/>
  </r>
  <r>
    <n v="22725693"/>
    <n v="23523918"/>
    <s v="ACC01"/>
    <x v="230"/>
    <d v="2025-08-12T05:51:13"/>
    <x v="0"/>
    <x v="0"/>
    <s v="AYFGVQ"/>
    <s v="SABRE"/>
    <s v="CRUZ/FELIPE ALBERTO BRESSANE"/>
    <s v="Beatrys Ferreira Rocha"/>
    <s v="CT"/>
    <d v="2025-08-06T13:00:00"/>
    <s v="AYFGVQ"/>
    <s v="-"/>
    <s v="ON LINE"/>
    <s v="Cartão de crédito"/>
    <s v="Cartão AMEX"/>
    <x v="0"/>
    <s v="N"/>
    <x v="35"/>
    <s v="Cap1 - Planta Campinas Bosch - 9080"/>
    <s v="Cliente FEE no POS"/>
    <s v="Latam Airlines Brasil"/>
    <n v="2971604094"/>
    <x v="20"/>
    <s v="-"/>
    <x v="202"/>
    <n v="59.54"/>
    <n v="806.09"/>
    <n v="0"/>
    <n v="59.54"/>
    <n v="0"/>
    <n v="19.29"/>
    <s v="Reserva importada por HubTravel"/>
    <s v="Verificação de bilhetes: Bilhete 2971604094 já sendo utilizado para este fornecedor."/>
    <x v="0"/>
    <x v="6"/>
    <s v="Bilhete Já Contabilizado"/>
    <x v="2"/>
    <s v="Qualidade dos dados"/>
    <s v="GRUPO KONTIK"/>
    <x v="5"/>
  </r>
  <r>
    <n v="22725701"/>
    <n v="23523926"/>
    <s v="ACC01"/>
    <x v="231"/>
    <d v="2025-08-12T05:51:19"/>
    <x v="0"/>
    <x v="0"/>
    <s v="LQPFKH"/>
    <s v="SABRE"/>
    <s v="QUEIROGA FILHO/ROBERTO HONORI"/>
    <s v="Beatrys Ferreira Rocha"/>
    <s v="CT"/>
    <d v="2025-08-07T11:00:00"/>
    <s v="LQPFKH"/>
    <s v="-"/>
    <s v="OFF LINE"/>
    <s v="Cartão de crédito"/>
    <s v="Cartão AMEX"/>
    <x v="0"/>
    <s v="N"/>
    <x v="35"/>
    <s v="Robert Bosch Limitada - 908a"/>
    <s v="Cliente FEE no POS"/>
    <s v="Lufthansa"/>
    <n v="2971604112"/>
    <x v="20"/>
    <s v="-"/>
    <x v="203"/>
    <n v="0"/>
    <n v="2780.05"/>
    <n v="0"/>
    <n v="0"/>
    <n v="0"/>
    <n v="19.18"/>
    <s v="Reserva importada por HubTravel"/>
    <s v="Verificação de bilhetes: Bilhete 2971604112 já sendo utilizado para este fornecedor."/>
    <x v="0"/>
    <x v="6"/>
    <s v="Bilhete Já Contabilizado"/>
    <x v="2"/>
    <s v="Qualidade dos dados"/>
    <s v="GRUPO KONTIK"/>
    <x v="5"/>
  </r>
  <r>
    <n v="22725597"/>
    <n v="23523817"/>
    <s v="ACC01"/>
    <x v="232"/>
    <d v="2025-08-12T05:50:50"/>
    <x v="0"/>
    <x v="0"/>
    <s v="KXIPTN"/>
    <s v="SABRE"/>
    <s v="MENDONCA/WESLEY DE MELO"/>
    <s v="Beatrys Ferreira Rocha"/>
    <s v="CT"/>
    <d v="2025-08-07T10:39:00"/>
    <s v="KXIPTN"/>
    <s v="-"/>
    <s v="ON LINE"/>
    <s v="?"/>
    <s v="TKT"/>
    <x v="0"/>
    <s v="N"/>
    <x v="35"/>
    <s v="Robert Bosch Limitada - 9085"/>
    <s v="Cliente FEE no POS"/>
    <s v="Latam Airlines Brasil"/>
    <n v="2971622833"/>
    <x v="20"/>
    <s v="-"/>
    <x v="19"/>
    <n v="0"/>
    <n v="49.23"/>
    <n v="0"/>
    <n v="49.23"/>
    <n v="0"/>
    <n v="19.18"/>
    <s v="Reserva importada por HubTravel"/>
    <s v="Verificação de bilhetes: Bilhete 2971622833 já sendo utilizado para este fornecedor."/>
    <x v="0"/>
    <x v="6"/>
    <s v="Bilhete Já Contabilizado"/>
    <x v="2"/>
    <s v="Qualidade dos dados"/>
    <s v="GRUPO KONTIK"/>
    <x v="5"/>
  </r>
  <r>
    <n v="22725689"/>
    <n v="23523914"/>
    <s v="ACC01"/>
    <x v="233"/>
    <d v="2025-08-12T05:50:54"/>
    <x v="0"/>
    <x v="0"/>
    <s v="KUMXNW"/>
    <s v="SABRE"/>
    <s v="BELLETE/RAFAEL MAXIMIANO"/>
    <s v="Beatrys Ferreira Rocha"/>
    <s v="CT"/>
    <d v="2025-08-06T11:24:00"/>
    <s v="KUMXNW"/>
    <s v="-"/>
    <s v="ON LINE"/>
    <s v="Cartão de crédito"/>
    <s v="Cartão AMEX"/>
    <x v="0"/>
    <s v="N"/>
    <x v="35"/>
    <s v="Cap1 - Planta Campinas Bosch - 9080"/>
    <s v="Cliente FEE no POS"/>
    <s v="Air France"/>
    <n v="2971604085"/>
    <x v="20"/>
    <s v="-"/>
    <x v="204"/>
    <n v="59.54"/>
    <n v="1263.8399999999999"/>
    <n v="0"/>
    <n v="59.54"/>
    <n v="0"/>
    <n v="19.29"/>
    <s v="Reserva importada por HubTravel"/>
    <s v="Verificação de bilhetes: Bilhete 2971604085 já sendo utilizado para este fornecedor."/>
    <x v="0"/>
    <x v="6"/>
    <s v="Bilhete Já Contabilizado"/>
    <x v="2"/>
    <s v="Qualidade dos dados"/>
    <s v="GRUPO KONTIK"/>
    <x v="5"/>
  </r>
  <r>
    <n v="22725690"/>
    <n v="23523915"/>
    <s v="ACC01"/>
    <x v="234"/>
    <d v="2025-08-12T05:50:55"/>
    <x v="0"/>
    <x v="0"/>
    <s v="QAWKEB"/>
    <s v="SABRE"/>
    <s v="ALVARENGA/ERIC COLPAERT DE"/>
    <s v="Beatrys Ferreira Rocha"/>
    <s v="CT"/>
    <d v="2025-08-06T05:18:00"/>
    <s v="QAWKEB"/>
    <s v="-"/>
    <s v="ON LINE"/>
    <s v="Cartão de crédito"/>
    <s v="Cartão AMEX"/>
    <x v="0"/>
    <s v="N"/>
    <x v="35"/>
    <s v="Robert Bosch Limitada - 908a"/>
    <s v="Cliente FEE no POS"/>
    <s v="Lufthansa"/>
    <n v="2971604092"/>
    <x v="20"/>
    <s v="-"/>
    <x v="205"/>
    <n v="59.54"/>
    <n v="519.41999999999996"/>
    <n v="0"/>
    <n v="59.54"/>
    <n v="0"/>
    <n v="19.29"/>
    <s v="Reserva importada por HubTravel"/>
    <s v="Verificação de bilhetes: Bilhete 2971604092 já sendo utilizado para este fornecedor."/>
    <x v="0"/>
    <x v="6"/>
    <s v="Bilhete Já Contabilizado"/>
    <x v="2"/>
    <s v="Qualidade dos dados"/>
    <s v="GRUPO KONTIK"/>
    <x v="5"/>
  </r>
  <r>
    <n v="22725691"/>
    <n v="23523916"/>
    <s v="ACC01"/>
    <x v="235"/>
    <d v="2025-08-12T05:51:11"/>
    <x v="0"/>
    <x v="0"/>
    <s v="AXIZKK"/>
    <s v="SABRE"/>
    <s v="OORSCHOT/ALEXANDRE FREDERICI"/>
    <s v="Beatrys Ferreira Rocha"/>
    <s v="CT"/>
    <d v="2025-08-06T11:42:00"/>
    <s v="AXIZKK"/>
    <s v="-"/>
    <s v="ON LINE"/>
    <s v="Cartão de crédito"/>
    <s v="Cartão AMEX"/>
    <x v="0"/>
    <s v="N"/>
    <x v="35"/>
    <s v="Cap1 - Planta Campinas Bosch - 9080"/>
    <s v="Cliente FEE no POS"/>
    <s v="Air France"/>
    <n v="2971604087"/>
    <x v="20"/>
    <s v="-"/>
    <x v="206"/>
    <n v="59.54"/>
    <n v="1105.68"/>
    <n v="0"/>
    <n v="59.54"/>
    <n v="0"/>
    <n v="19.29"/>
    <s v="Reserva importada por HubTravel"/>
    <s v="Verificação de bilhetes: Bilhete 2971604087 já sendo utilizado para este fornecedor."/>
    <x v="0"/>
    <x v="6"/>
    <s v="Bilhete Já Contabilizado"/>
    <x v="2"/>
    <s v="Qualidade dos dados"/>
    <s v="GRUPO KONTIK"/>
    <x v="5"/>
  </r>
  <r>
    <n v="22725599"/>
    <n v="23523819"/>
    <s v="ACC01"/>
    <x v="236"/>
    <d v="2025-08-12T05:50:51"/>
    <x v="0"/>
    <x v="0"/>
    <s v="UZKPAM"/>
    <s v="SABRE"/>
    <s v="SILVESTRIN/VITOR"/>
    <s v="Beatrys Ferreira Rocha"/>
    <s v="CT"/>
    <d v="2025-08-06T00:00:00"/>
    <s v="UZKPAM"/>
    <s v="-"/>
    <s v="OFF LINE"/>
    <s v="Cartão de crédito"/>
    <s v="Cartão AMEX"/>
    <x v="0"/>
    <s v="N"/>
    <x v="35"/>
    <s v="Robert Bosch Limitada - 9087"/>
    <s v="Cliente FEE no POS"/>
    <s v="Latam Airlines Brasil"/>
    <n v="2971604093"/>
    <x v="20"/>
    <s v="-"/>
    <x v="207"/>
    <n v="0"/>
    <n v="815.53"/>
    <n v="0"/>
    <n v="0"/>
    <n v="0"/>
    <n v="19.29"/>
    <s v="Reserva importada por HubTravel"/>
    <s v="Verificação de bilhetes: Bilhete 2971604093 já sendo utilizado para este fornecedor."/>
    <x v="0"/>
    <x v="6"/>
    <s v="Bilhete Já Contabilizado"/>
    <x v="2"/>
    <s v="Qualidade dos dados"/>
    <s v="GRUPO KONTIK"/>
    <x v="5"/>
  </r>
  <r>
    <n v="22725686"/>
    <n v="23523911"/>
    <s v="ACC01"/>
    <x v="237"/>
    <d v="2025-08-12T05:50:52"/>
    <x v="0"/>
    <x v="0"/>
    <s v="AQZKVO"/>
    <s v="SABRE"/>
    <s v="MARCHINI/MATHEUS DONISETI"/>
    <s v="Beatrys Ferreira Rocha"/>
    <s v="CT"/>
    <d v="2025-08-06T09:29:00"/>
    <s v="AQZKVO"/>
    <s v="-"/>
    <s v="ON LINE"/>
    <s v="Cartão de crédito"/>
    <s v="Cartão AMEX"/>
    <x v="0"/>
    <s v="N"/>
    <x v="35"/>
    <s v="Robert Bosch Limitada - 908a"/>
    <s v="Cliente FEE no POS"/>
    <s v="Air France"/>
    <n v="2971604083"/>
    <x v="20"/>
    <s v="-"/>
    <x v="208"/>
    <n v="59.54"/>
    <n v="794.2"/>
    <n v="0"/>
    <n v="59.54"/>
    <n v="0"/>
    <n v="19.29"/>
    <s v="Reserva importada por HubTravel"/>
    <s v="Verificação de bilhetes: Bilhete 2971604083 já sendo utilizado para este fornecedor."/>
    <x v="0"/>
    <x v="6"/>
    <s v="Bilhete Já Contabilizado"/>
    <x v="2"/>
    <s v="Qualidade dos dados"/>
    <s v="GRUPO KONTIK"/>
    <x v="5"/>
  </r>
  <r>
    <n v="22725687"/>
    <n v="23523912"/>
    <s v="ACC01"/>
    <x v="238"/>
    <d v="2025-08-12T05:50:53"/>
    <x v="0"/>
    <x v="0"/>
    <s v="IDYQSF"/>
    <s v="SABRE"/>
    <s v="WIENS/RICARDO DANIEL"/>
    <s v="Beatrys Ferreira Rocha"/>
    <s v="CT"/>
    <d v="2025-08-06T00:00:00"/>
    <s v="IDYQSF"/>
    <s v="-"/>
    <s v="OFF LINE"/>
    <s v="Cartão de crédito"/>
    <s v="Cartão AMEX"/>
    <x v="0"/>
    <s v="N"/>
    <x v="35"/>
    <s v="Ctp - Planta Curitiba"/>
    <s v="Cliente FEE no POS"/>
    <s v="Latam Airlines Brasil"/>
    <n v="2971604090"/>
    <x v="20"/>
    <s v="-"/>
    <x v="209"/>
    <n v="139.9"/>
    <n v="1280.05"/>
    <n v="0"/>
    <n v="139.9"/>
    <n v="0"/>
    <n v="19.29"/>
    <s v="Reserva importada por HubTravel"/>
    <s v="Verificação de bilhetes: Bilhete 2971604090 já sendo utilizado para este fornecedor."/>
    <x v="0"/>
    <x v="6"/>
    <s v="Bilhete Já Contabilizado"/>
    <x v="2"/>
    <s v="Qualidade dos dados"/>
    <s v="GRUPO KONTIK"/>
    <x v="5"/>
  </r>
  <r>
    <n v="22731402"/>
    <n v="23528868"/>
    <s v="ACC01"/>
    <x v="239"/>
    <d v="2025-08-12T17:51:27"/>
    <x v="0"/>
    <x v="0"/>
    <s v="DPBAVM"/>
    <s v="SABRE"/>
    <s v="DE SOUZA JUNIOR/JOSE ALEXANDRE"/>
    <s v="Ernani Afranio dos Santos"/>
    <s v="Ernani Afranio dos Santos"/>
    <d v="2025-08-12T15:43:00"/>
    <s v="EMAIL"/>
    <s v="-"/>
    <s v="OFF LINE"/>
    <s v="Cartão de crédito"/>
    <s v="Cartão AMEX"/>
    <x v="0"/>
    <s v="N"/>
    <x v="35"/>
    <s v="Johnson Controls Hitachi Ar Condicionado do Brasil Ltda"/>
    <s v="-"/>
    <s v="Azul Linhas Aereas"/>
    <n v="7700075334"/>
    <x v="20"/>
    <s v="-"/>
    <x v="19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KONTIK BUSINESS TRAVEL"/>
    <x v="6"/>
  </r>
  <r>
    <n v="22731693"/>
    <n v="23529149"/>
    <s v="ACC01"/>
    <x v="240"/>
    <d v="2025-08-12T18:10:07"/>
    <x v="0"/>
    <x v="0"/>
    <s v="JGQOEU"/>
    <s v="SABRE"/>
    <s v="MARIZ GOMES/CACIO JORGE"/>
    <s v="Ernani Afranio dos Santos"/>
    <s v="Ernani Afranio dos Santos"/>
    <d v="2025-08-12T15:56:00"/>
    <s v="EMAIL"/>
    <s v="-"/>
    <s v="OFF LINE"/>
    <s v="Cartão de crédito"/>
    <s v="Cartão AMEX"/>
    <x v="0"/>
    <s v="N"/>
    <x v="35"/>
    <s v="Johnson Controls Hitachi Ar Condicionado do Brasil Ltda"/>
    <s v="-"/>
    <s v="Azul Linhas Aereas"/>
    <n v="7700075343"/>
    <x v="20"/>
    <s v="-"/>
    <x v="19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KONTIK BUSINESS TRAVEL"/>
    <x v="6"/>
  </r>
  <r>
    <n v="22731929"/>
    <n v="23529380"/>
    <s v="ACC01"/>
    <x v="241"/>
    <d v="2025-08-12T18:21:50"/>
    <x v="0"/>
    <x v="0"/>
    <s v="JEJXKO"/>
    <s v="SABRE"/>
    <s v="REZENDE DE SOUZA/ANDRE LUIZ"/>
    <s v="Ernani Afranio dos Santos"/>
    <s v="Ernani Afranio dos Santos"/>
    <d v="2025-08-12T16:11:00"/>
    <s v="EMAIL"/>
    <s v="-"/>
    <s v="OFF LINE"/>
    <s v="Cartão de crédito"/>
    <s v="Cartão AMEX"/>
    <x v="0"/>
    <s v="N"/>
    <x v="35"/>
    <s v="Johnson Controls Hitachi Ar Condicionado do Brasil Ltda"/>
    <s v="-"/>
    <s v="Azul Linhas Aereas"/>
    <n v="7700075356"/>
    <x v="20"/>
    <s v="-"/>
    <x v="19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KONTIK BUSINESS TRAVEL"/>
    <x v="6"/>
  </r>
  <r>
    <n v="22732239"/>
    <n v="23529680"/>
    <s v="ACC01"/>
    <x v="242"/>
    <d v="2025-08-12T18:38:42"/>
    <x v="0"/>
    <x v="0"/>
    <s v="JHPRQD"/>
    <s v="SABRE"/>
    <s v="REZENDE DE SOUZA/ANDRE LUIZ"/>
    <s v="Ernani Afranio dos Santos"/>
    <s v="Ernani Afranio dos Santos"/>
    <d v="2025-08-12T16:19:00"/>
    <s v="EMAIL"/>
    <s v="-"/>
    <s v="OFF LINE"/>
    <s v="Cartão de crédito"/>
    <s v="Cartão AMEX"/>
    <x v="0"/>
    <s v="N"/>
    <x v="35"/>
    <s v="Johnson Controls Hitachi Ar Condicionado do Brasil Ltda"/>
    <s v="-"/>
    <s v="Azul Linhas Aereas"/>
    <n v="7700075357"/>
    <x v="20"/>
    <s v="-"/>
    <x v="19"/>
    <n v="0"/>
    <n v="0"/>
    <n v="0"/>
    <n v="0"/>
    <n v="0"/>
    <n v="0"/>
    <s v="Reserva importada por HubTravel"/>
    <s v="Tarifa mínima não preenchida! (ACC01) Tarifa máxima não preenchida! (ACC01)"/>
    <x v="0"/>
    <x v="0"/>
    <s v="Falta de informação Gerencial"/>
    <x v="0"/>
    <s v="Qualidade dos dados"/>
    <s v="KONTIK BUSINESS TRAVEL"/>
    <x v="6"/>
  </r>
  <r>
    <n v="22732735"/>
    <n v="23530160"/>
    <s v="ACC01"/>
    <x v="243"/>
    <d v="2025-08-12T19:09:31"/>
    <x v="0"/>
    <x v="0"/>
    <s v="LUGFSO"/>
    <s v="SABRE"/>
    <s v="QUADROS REBOUCAS/OLAVO"/>
    <s v="Itamar de Souza"/>
    <s v="Ernani Afranio dos Santos"/>
    <d v="2025-08-12T00:00:00"/>
    <s v="EMAIL"/>
    <s v="-"/>
    <s v="ON LINE"/>
    <s v="?"/>
    <s v="TKT"/>
    <x v="0"/>
    <s v="N"/>
    <x v="35"/>
    <s v="Johnson Controls Hitachi Ar Condicionado do Brasil Ltda"/>
    <s v="-"/>
    <s v="Latam Airlines Brasil"/>
    <n v="2952834970"/>
    <x v="20"/>
    <s v="-"/>
    <x v="19"/>
    <n v="0"/>
    <n v="450"/>
    <n v="0"/>
    <n v="59.61"/>
    <n v="0"/>
    <n v="0"/>
    <s v="Reserva importada por HubTravel"/>
    <s v="Verificação de bilhetes: Bilhete 2952834970 já sendo utilizado para este fornecedor."/>
    <x v="0"/>
    <x v="6"/>
    <s v="Bilhete Já Contabilizado"/>
    <x v="2"/>
    <s v="Qualidade dos dados"/>
    <s v="GRUPO KONTIK"/>
    <x v="5"/>
  </r>
  <r>
    <n v="22722828"/>
    <n v="23521138"/>
    <s v="ACC01"/>
    <x v="244"/>
    <d v="2025-08-11T14:10:46"/>
    <x v="0"/>
    <x v="0"/>
    <s v="IOHTJS"/>
    <s v="GOVER"/>
    <s v="RAFAEL BARROSO"/>
    <s v="Gover"/>
    <s v="Gover"/>
    <d v="2025-08-11T13:55:00"/>
    <n v="4580114"/>
    <s v="-"/>
    <s v="ON LINE"/>
    <s v="Pagamento direto"/>
    <s v="Pagamento direto"/>
    <x v="1"/>
    <s v="N"/>
    <x v="36"/>
    <s v="Firmenich"/>
    <s v="-"/>
    <s v="-"/>
    <s v="-"/>
    <x v="21"/>
    <s v="-"/>
    <x v="210"/>
    <n v="129.65"/>
    <n v="0"/>
    <n v="0"/>
    <n v="0"/>
    <n v="0"/>
    <n v="0"/>
    <s v="Reserva importada do sistema Gover. Id: 4580114"/>
    <s v="Fornecedor não preenchido! (ACC01)"/>
    <x v="5"/>
    <x v="1"/>
    <s v="Campo Fornecedor"/>
    <x v="0"/>
    <s v="Sistêmico"/>
    <s v="GRUPO KONTIK"/>
    <x v="1"/>
  </r>
  <r>
    <n v="22718191"/>
    <n v="23517450"/>
    <s v="ACC01"/>
    <x v="245"/>
    <d v="2025-08-12T17:10:55"/>
    <x v="0"/>
    <x v="3"/>
    <s v="OG5IPY01"/>
    <s v="MANUAL"/>
    <s v="LEANDRO CORREA DOS SANTOS"/>
    <s v="Ercy Iwamoto"/>
    <s v="Ercy Iwamoto"/>
    <d v="2025-08-08T16:16:00"/>
    <s v="OG5IPY"/>
    <s v="-"/>
    <s v="OFF LINE"/>
    <s v="Cartão de crédito"/>
    <s v="Cartão de crédito"/>
    <x v="0"/>
    <s v="N"/>
    <x v="37"/>
    <s v="Fm Global - Servicos"/>
    <s v="Cliente FEE no POS"/>
    <s v="Azul Linhas Aereas"/>
    <n v="3023517469"/>
    <x v="22"/>
    <s v="-"/>
    <x v="211"/>
    <n v="0"/>
    <n v="0"/>
    <n v="0"/>
    <n v="0"/>
    <n v="0"/>
    <n v="72"/>
    <s v="-"/>
    <s v="8984158/6039144&quot; possui uma transação de cartão efetivada"/>
    <x v="2"/>
    <x v="14"/>
    <s v="Financeiro Conciliado"/>
    <x v="4"/>
    <s v="Processo Operacional"/>
    <s v="KONTIK BUSINESS TRAVEL"/>
    <x v="6"/>
  </r>
  <r>
    <n v="22690026"/>
    <n v="23493568"/>
    <s v="ACC01"/>
    <x v="246"/>
    <d v="2025-08-05T23:05:27"/>
    <x v="1"/>
    <x v="1"/>
    <n v="19455517"/>
    <s v="GOVER"/>
    <s v="Livia Kent Paiva"/>
    <s v="Gover"/>
    <s v="Gover"/>
    <d v="2025-08-05T00:00:00"/>
    <n v="4577704"/>
    <s v="-"/>
    <s v="OFF LINE"/>
    <s v="Pagamento direto"/>
    <s v="Pagamento direto"/>
    <x v="1"/>
    <s v="N"/>
    <x v="37"/>
    <s v="Fm Global - Servicos"/>
    <s v="Cliente FEE no POS"/>
    <s v="Pousada Mirante de Minas Francisca"/>
    <s v="-"/>
    <x v="22"/>
    <s v="-"/>
    <x v="212"/>
    <n v="0"/>
    <n v="0"/>
    <n v="0"/>
    <n v="0"/>
    <n v="0"/>
    <n v="0"/>
    <s v="Reserva importada do sistema Gover. Id: 4577704"/>
    <s v="Este cliente não possui permissão para usar este tipo de pagamento e recebimento para este produto."/>
    <x v="5"/>
    <x v="7"/>
    <s v="Forma PG. e REC."/>
    <x v="0"/>
    <s v="Sistêmico"/>
    <s v="GRUPO KONTIK"/>
    <x v="1"/>
  </r>
  <r>
    <n v="22730648"/>
    <n v="23528126"/>
    <s v="ACC01"/>
    <x v="247"/>
    <d v="2025-08-12T15:42:22"/>
    <x v="0"/>
    <x v="0"/>
    <s v="HQJEHIT"/>
    <s v="SABRE"/>
    <s v="MISSAWA/CINTHIA HIDEKO"/>
    <s v="CT"/>
    <s v="CT"/>
    <d v="2025-08-12T08:59:00"/>
    <n v="13755260251"/>
    <s v="-"/>
    <s v="ON LINE"/>
    <s v="Invoice"/>
    <s v="Faturado"/>
    <x v="1"/>
    <s v="N"/>
    <x v="38"/>
    <s v="Diageo Brasil"/>
    <s v="Cliente FEE no POS"/>
    <s v="-"/>
    <s v="-"/>
    <x v="23"/>
    <s v="-"/>
    <x v="213"/>
    <n v="0"/>
    <n v="0"/>
    <n v="0"/>
    <n v="0"/>
    <n v="0"/>
    <n v="0"/>
    <s v="Reserva importada por HubTravel"/>
    <s v="Este cliente não possui permissão para usar este tipo de pagamento e recebimento para este produto."/>
    <x v="0"/>
    <x v="7"/>
    <s v="Forma PG. e REC."/>
    <x v="0"/>
    <s v="Qualidade dos dados"/>
    <s v="KONTIK BUSINESS TRAVEL"/>
    <x v="2"/>
  </r>
  <r>
    <n v="22730698"/>
    <n v="23528177"/>
    <s v="ACC01"/>
    <x v="248"/>
    <d v="2025-08-13T04:48:59"/>
    <x v="0"/>
    <x v="0"/>
    <s v="UAKOWG"/>
    <s v="SABRE"/>
    <s v="COBO/JULIO CESAR TONELLI"/>
    <s v="Itamar de Souza"/>
    <s v="CT"/>
    <d v="2025-07-29T09:08:00"/>
    <n v="13697091299"/>
    <s v="-"/>
    <s v="ON LINE"/>
    <s v="Cartão de crédito"/>
    <s v="Cartão de crédito"/>
    <x v="0"/>
    <s v="N"/>
    <x v="38"/>
    <s v="Diageo Brasil"/>
    <s v="Cliente FEE no POS"/>
    <s v="Latam Airlines Brasil"/>
    <n v="2952834968"/>
    <x v="23"/>
    <s v="-"/>
    <x v="19"/>
    <n v="0"/>
    <n v="450"/>
    <n v="0"/>
    <n v="31.44"/>
    <n v="0"/>
    <n v="24.85"/>
    <s v="Reserva importada por HubTravel"/>
    <s v="Falta informar o status no trecho da accounting aérea (Bilhete: 2952834968)"/>
    <x v="0"/>
    <x v="12"/>
    <s v="Atualização de Trechos"/>
    <x v="0"/>
    <s v="Qualidade dos dados"/>
    <s v="KONTIK BUSINESS TRAVEL"/>
    <x v="6"/>
  </r>
  <r>
    <n v="22730698"/>
    <n v="23528178"/>
    <s v="ACC02"/>
    <x v="248"/>
    <d v="2025-08-13T04:48:59"/>
    <x v="0"/>
    <x v="0"/>
    <s v="UAKOWG"/>
    <s v="SABRE"/>
    <s v="COBO/JULIO CESAR TONELLI"/>
    <s v="Itamar de Souza"/>
    <s v="CT"/>
    <d v="2025-07-29T09:08:00"/>
    <n v="13697091299"/>
    <s v="-"/>
    <s v="ON LINE"/>
    <s v="Cartão de crédito"/>
    <s v="Cartão de crédito"/>
    <x v="0"/>
    <s v="N"/>
    <x v="38"/>
    <s v="Diageo Brasil"/>
    <s v="Cliente FEE no POS"/>
    <s v="Latam Airlines Brasil"/>
    <n v="2952834968"/>
    <x v="23"/>
    <s v="-"/>
    <x v="19"/>
    <n v="0"/>
    <n v="450"/>
    <n v="0"/>
    <n v="31.44"/>
    <n v="0"/>
    <n v="0"/>
    <s v="Reserva importada por HubTravel"/>
    <s v="Falta informar o status no trecho da accounting aérea (Bilhete: 2952834968)"/>
    <x v="0"/>
    <x v="12"/>
    <s v="Atualização de Trechos"/>
    <x v="0"/>
    <s v="Qualidade dos dados"/>
    <s v="KONTIK BUSINESS TRAVEL"/>
    <x v="6"/>
  </r>
  <r>
    <n v="22731260"/>
    <n v="23528736"/>
    <s v="ACC01"/>
    <x v="249"/>
    <d v="2025-08-12T17:29:47"/>
    <x v="0"/>
    <x v="0"/>
    <s v="WJCRZV"/>
    <s v="GOVER"/>
    <s v="ANA PAULA DE SOUZA LOPES"/>
    <s v="Priscilla Andrade Sobrinho"/>
    <s v="Priscilla Andrade Sobrinho"/>
    <d v="2025-07-28T19:00:00"/>
    <n v="4573356"/>
    <s v="-"/>
    <s v="OFF LINE"/>
    <s v="Cartão de crédito"/>
    <s v="Cartão de crédito"/>
    <x v="0"/>
    <s v="N"/>
    <x v="39"/>
    <s v="Atendimento Riogaleao"/>
    <s v="-"/>
    <s v="Emirates Airlines"/>
    <n v="2971547132"/>
    <x v="24"/>
    <s v="-"/>
    <x v="214"/>
    <n v="3652.57"/>
    <n v="0"/>
    <n v="0"/>
    <n v="0"/>
    <n v="0"/>
    <n v="0"/>
    <s v="Reserva importada do sistema Gover. Id: 4573356"/>
    <s v="Verificação de bilhetes: Bilhete 2971547132 já sendo utilizado para este fornecedor."/>
    <x v="5"/>
    <x v="6"/>
    <s v="Bilhete Já Contabilizado"/>
    <x v="2"/>
    <s v="Qualidade dos dados"/>
    <s v="GRUPO KONTIK"/>
    <x v="5"/>
  </r>
  <r>
    <n v="22565297"/>
    <n v="23389768"/>
    <s v="ACC01"/>
    <x v="250"/>
    <d v="2025-07-15T13:05:52"/>
    <x v="5"/>
    <x v="6"/>
    <s v="B2OQFL"/>
    <s v="GOVER"/>
    <s v="Kleiton Aparecido Stoco"/>
    <s v="Wilson Jose Araujo de Gusmao Junior"/>
    <s v="Wilson Jose Araujo de Gusmao Junior"/>
    <d v="2025-07-15T12:50:00"/>
    <n v="4565213"/>
    <s v="Mobility - Eua - Ex - Detroit - Aeroporto DTW Endereço: DETROIT LOJA AEROPORTO DTW"/>
    <s v="OFF LINE"/>
    <s v="Pagamento direto"/>
    <s v="Pagamento direto"/>
    <x v="3"/>
    <s v="N"/>
    <x v="40"/>
    <s v="Zf do Brasil - Limeira"/>
    <s v="-"/>
    <s v="-"/>
    <s v="-"/>
    <x v="24"/>
    <s v="-"/>
    <x v="215"/>
    <n v="0"/>
    <n v="0"/>
    <n v="0"/>
    <n v="0"/>
    <n v="0"/>
    <n v="0"/>
    <s v="Reserva importada do sistema Gover. Id: 4565213"/>
    <s v="Fornecedor não preenchido! (ACC01)"/>
    <x v="5"/>
    <x v="1"/>
    <s v="Campo Fornecedor"/>
    <x v="0"/>
    <s v="Qualidade dos dados"/>
    <s v="KONTIK BUSINESS TRAVEL"/>
    <x v="2"/>
  </r>
  <r>
    <n v="22695511"/>
    <n v="23498358"/>
    <s v="ACC01"/>
    <x v="251"/>
    <d v="2025-08-06T18:17:19"/>
    <x v="1"/>
    <x v="1"/>
    <s v="YCHYHF"/>
    <s v="GOVER"/>
    <s v="Tiago Caldas"/>
    <s v="Gover"/>
    <s v="Gover"/>
    <d v="2025-08-01T18:00:00"/>
    <n v="4575525"/>
    <s v="-"/>
    <s v="OFF LINE"/>
    <s v="Cartão de crédito"/>
    <s v="Cartão de crédito"/>
    <x v="0"/>
    <s v="N"/>
    <x v="40"/>
    <s v="Zf do Brasil - Divisao Z"/>
    <s v="-"/>
    <s v="Lufthansa"/>
    <n v="2971228101"/>
    <x v="24"/>
    <s v="-"/>
    <x v="216"/>
    <n v="1492.47"/>
    <n v="0"/>
    <n v="0"/>
    <n v="0"/>
    <n v="0"/>
    <n v="0"/>
    <s v="Reserva importada do sistema Gover. Id: 4575525"/>
    <s v="Verificação de bilhetes: Bilhete 2971228101 já sendo utilizado para este fornecedor."/>
    <x v="5"/>
    <x v="6"/>
    <s v="Bilhete Já Contabilizado"/>
    <x v="2"/>
    <s v="Qualidade dos dados"/>
    <s v="GRUPO KONTIK"/>
    <x v="5"/>
  </r>
  <r>
    <n v="22695721"/>
    <n v="23498572"/>
    <s v="ACC01"/>
    <x v="252"/>
    <d v="2025-08-06T18:28:36"/>
    <x v="1"/>
    <x v="1"/>
    <s v="ASXEDL"/>
    <s v="GOVER"/>
    <s v="Claudia Gomes"/>
    <s v="Gover"/>
    <s v="Gover"/>
    <d v="2025-08-01T18:00:00"/>
    <n v="4575483"/>
    <s v="-"/>
    <s v="OFF LINE"/>
    <s v="Cartão de crédito"/>
    <s v="Cartão de crédito"/>
    <x v="0"/>
    <s v="N"/>
    <x v="40"/>
    <s v="Zf do Brasil - Divisao Z"/>
    <s v="-"/>
    <s v="Lufthansa"/>
    <n v="2971228100"/>
    <x v="24"/>
    <s v="-"/>
    <x v="217"/>
    <n v="1352.38"/>
    <n v="0"/>
    <n v="0"/>
    <n v="0"/>
    <n v="0"/>
    <n v="0"/>
    <s v="Reserva importada do sistema Gover. Id: 4575483"/>
    <s v="Verificação de bilhetes: Bilhete 2971228100 já sendo utilizado para este fornecedor."/>
    <x v="5"/>
    <x v="6"/>
    <s v="Bilhete Já Contabilizado"/>
    <x v="2"/>
    <s v="Qualidade dos dados"/>
    <s v="GRUPO KONTIK"/>
    <x v="5"/>
  </r>
  <r>
    <n v="22679659"/>
    <n v="23484113"/>
    <s v="ACC01"/>
    <x v="253"/>
    <d v="2025-08-04T16:10:32"/>
    <x v="2"/>
    <x v="4"/>
    <s v="1680742306COUNT"/>
    <s v="GOVER"/>
    <s v="Tiago Caldas"/>
    <s v="Gover"/>
    <s v="Gover"/>
    <d v="2025-08-04T15:59:00"/>
    <n v="4575831"/>
    <s v="National Car Rental - Flughafen Stuttgart Endereço:  Terminal 3, Ebene 2, 70629 Stuttgart, Alemanha"/>
    <s v="OFF LINE"/>
    <s v="Pagamento direto"/>
    <s v="Pagamento direto"/>
    <x v="3"/>
    <s v="N"/>
    <x v="40"/>
    <s v="Zf do Brasil - Divisao Z"/>
    <s v="-"/>
    <s v="-"/>
    <s v="-"/>
    <x v="24"/>
    <s v="-"/>
    <x v="218"/>
    <n v="0"/>
    <n v="0"/>
    <n v="0"/>
    <n v="0"/>
    <n v="0"/>
    <n v="0"/>
    <s v="Reserva importada do sistema Gover. Id: 4575831"/>
    <s v="Fornecedor não preenchido! (ACC01)"/>
    <x v="5"/>
    <x v="1"/>
    <s v="Campo Fornecedor"/>
    <x v="0"/>
    <s v="Qualidade dos dados"/>
    <s v="KONTIK BUSINESS TRAVEL"/>
    <x v="2"/>
  </r>
  <r>
    <n v="22568247"/>
    <n v="23392640"/>
    <s v="ACC01"/>
    <x v="254"/>
    <d v="2025-07-15T19:35:32"/>
    <x v="5"/>
    <x v="6"/>
    <s v="HCHAPH"/>
    <s v="GOVER"/>
    <s v="JOSE WILSON FERREIRA"/>
    <s v="Gover"/>
    <s v="Gover"/>
    <d v="2025-07-15T11:00:00"/>
    <n v="4566694"/>
    <s v="-"/>
    <s v="ON LINE"/>
    <s v="Cartão de crédito"/>
    <s v="Cartão de crédito"/>
    <x v="1"/>
    <s v="N"/>
    <x v="41"/>
    <s v="Robinson Crusoe"/>
    <s v="-"/>
    <s v="-"/>
    <s v="-"/>
    <x v="24"/>
    <s v="-"/>
    <x v="219"/>
    <n v="28.44"/>
    <n v="0"/>
    <n v="0"/>
    <n v="0"/>
    <n v="0"/>
    <n v="0"/>
    <s v="Reserva importada do sistema Gover. Id: 4566694"/>
    <s v="Fornecedor não preenchido! (ACC01)"/>
    <x v="5"/>
    <x v="1"/>
    <s v="Campo Fornecedor"/>
    <x v="0"/>
    <s v="Sistêmico"/>
    <s v="GRUPO KONTIK"/>
    <x v="1"/>
  </r>
  <r>
    <n v="22574376"/>
    <n v="23397987"/>
    <s v="ACC01"/>
    <x v="255"/>
    <d v="2025-07-16T18:45:36"/>
    <x v="5"/>
    <x v="6"/>
    <s v="5418-4"/>
    <s v="GOVER"/>
    <s v="CARLOS JOSE FERREIRA"/>
    <s v="Rafaela Leitao Oliveira"/>
    <s v="Rafaela Leitao Oliveira"/>
    <d v="2025-07-16T18:39:00"/>
    <n v="4564042"/>
    <s v="Movicar Aluguel de Carros - Br - Sc - Chapeco Endereço: Acesso Florenal Ribeiro, 4180"/>
    <s v="OFF LINE"/>
    <s v="Invoice"/>
    <s v="Faturado"/>
    <x v="3"/>
    <s v="N"/>
    <x v="42"/>
    <s v="Biomerieux"/>
    <s v="-"/>
    <s v="-"/>
    <s v="-"/>
    <x v="25"/>
    <s v="-"/>
    <x v="220"/>
    <n v="0"/>
    <n v="0"/>
    <n v="0"/>
    <n v="0"/>
    <n v="0"/>
    <n v="0"/>
    <s v="Reserva importada do sistema Gover. Id: 4564042"/>
    <s v="Fornecedor não preenchido! (ACC01)"/>
    <x v="5"/>
    <x v="1"/>
    <s v="Campo Fornecedor"/>
    <x v="0"/>
    <s v="Qualidade dos dados"/>
    <s v="KONTIK BUSINESS TRAVEL"/>
    <x v="2"/>
  </r>
  <r>
    <n v="22688189"/>
    <n v="23491831"/>
    <s v="ACC01"/>
    <x v="256"/>
    <d v="2025-08-05T19:03:05"/>
    <x v="1"/>
    <x v="1"/>
    <s v="5FYGNO"/>
    <s v="TMS"/>
    <s v="SERGIO MACHADO"/>
    <s v="Tms"/>
    <s v="Tms"/>
    <d v="2025-08-05T15:25:00"/>
    <n v="65394"/>
    <s v="-"/>
    <s v="OFF LINE"/>
    <s v="Cartão de crédito"/>
    <s v="Cartão de crédito"/>
    <x v="1"/>
    <s v="N"/>
    <x v="43"/>
    <s v="Claro Sao Paulo (santo Amaro)"/>
    <s v="-"/>
    <s v="-"/>
    <s v="-"/>
    <x v="26"/>
    <s v="-"/>
    <x v="221"/>
    <n v="0"/>
    <n v="0"/>
    <n v="0"/>
    <n v="0"/>
    <n v="0"/>
    <n v="0"/>
    <s v="Reserva importada do Sistema TMS. OS: 65394"/>
    <s v="Fornecedor não preenchido! (ACC01)"/>
    <x v="1"/>
    <x v="1"/>
    <s v="Campo Fornecedor"/>
    <x v="0"/>
    <s v="Qualidade dos dados"/>
    <s v="KONTIK BUSINESS TRAVEL"/>
    <x v="2"/>
  </r>
  <r>
    <n v="22688193"/>
    <n v="23491835"/>
    <s v="ACC01"/>
    <x v="257"/>
    <d v="2025-08-05T19:03:05"/>
    <x v="1"/>
    <x v="1"/>
    <s v="5FUG9O"/>
    <s v="TMS"/>
    <s v="RAFAEL DUARTE"/>
    <s v="Tms"/>
    <s v="Tms"/>
    <d v="2025-08-05T15:21:00"/>
    <n v="64750"/>
    <s v="-"/>
    <s v="OFF LINE"/>
    <s v="Cartão de crédito"/>
    <s v="Cartão de crédito"/>
    <x v="1"/>
    <s v="N"/>
    <x v="43"/>
    <s v="Claro Sao Paulo (santo Amaro)"/>
    <s v="-"/>
    <s v="-"/>
    <s v="-"/>
    <x v="26"/>
    <s v="-"/>
    <x v="222"/>
    <n v="0"/>
    <n v="0"/>
    <n v="0"/>
    <n v="0"/>
    <n v="0"/>
    <n v="0"/>
    <s v="Reserva importada do Sistema TMS. OS: 64750"/>
    <s v="Fornecedor não preenchido! (ACC01)"/>
    <x v="1"/>
    <x v="1"/>
    <s v="Campo Fornecedor"/>
    <x v="0"/>
    <s v="Qualidade dos dados"/>
    <s v="KONTIK BUSINESS TRAVEL"/>
    <x v="2"/>
  </r>
  <r>
    <n v="22688196"/>
    <n v="23491839"/>
    <s v="ACC01"/>
    <x v="258"/>
    <d v="2025-08-05T19:03:18"/>
    <x v="1"/>
    <x v="1"/>
    <s v="5FBHLO"/>
    <s v="TMS"/>
    <s v="MARCELO MICHEL FERRO"/>
    <s v="Tms"/>
    <s v="Tms"/>
    <d v="2025-08-05T15:09:00"/>
    <n v="60403"/>
    <s v="-"/>
    <s v="OFF LINE"/>
    <s v="Cartão de crédito"/>
    <s v="Cartão de crédito"/>
    <x v="1"/>
    <s v="N"/>
    <x v="43"/>
    <s v="Claro Nxt Telecomunicacoes"/>
    <s v="-"/>
    <s v="-"/>
    <s v="-"/>
    <x v="26"/>
    <s v="-"/>
    <x v="223"/>
    <n v="0"/>
    <n v="0"/>
    <n v="0"/>
    <n v="0"/>
    <n v="0"/>
    <n v="0"/>
    <s v="Reserva importada do Sistema TMS. OS: 60403"/>
    <s v="Fornecedor não preenchido! (ACC01)"/>
    <x v="1"/>
    <x v="1"/>
    <s v="Campo Fornecedor"/>
    <x v="0"/>
    <s v="Qualidade dos dados"/>
    <s v="KONTIK BUSINESS TRAVEL"/>
    <x v="2"/>
  </r>
  <r>
    <n v="22688197"/>
    <n v="23491840"/>
    <s v="ACC01"/>
    <x v="259"/>
    <d v="2025-08-05T19:03:19"/>
    <x v="1"/>
    <x v="1"/>
    <s v="5F1HON"/>
    <s v="TMS"/>
    <s v="MARCELO MICHEL FERRO"/>
    <s v="Tms"/>
    <s v="Tms"/>
    <d v="2025-08-05T15:04:00"/>
    <n v="58141"/>
    <s v="-"/>
    <s v="OFF LINE"/>
    <s v="Cartão de crédito"/>
    <s v="Cartão de crédito"/>
    <x v="1"/>
    <s v="N"/>
    <x v="43"/>
    <s v="Claro Nxt Telecomunicacoes"/>
    <s v="-"/>
    <s v="-"/>
    <s v="-"/>
    <x v="26"/>
    <s v="-"/>
    <x v="223"/>
    <n v="0"/>
    <n v="0"/>
    <n v="0"/>
    <n v="0"/>
    <n v="0"/>
    <n v="0"/>
    <s v="Reserva importada do Sistema TMS. OS: 58141"/>
    <s v="Fornecedor não preenchido! (ACC01)"/>
    <x v="1"/>
    <x v="1"/>
    <s v="Campo Fornecedor"/>
    <x v="0"/>
    <s v="Qualidade dos dados"/>
    <s v="KONTIK BUSINESS TRAVEL"/>
    <x v="2"/>
  </r>
  <r>
    <n v="22731826"/>
    <n v="23529278"/>
    <s v="ACC01"/>
    <x v="260"/>
    <d v="2025-08-12T18:32:02"/>
    <x v="0"/>
    <x v="0"/>
    <s v="5GLD6I"/>
    <s v="TMS"/>
    <s v="ANDERSON AMORIM SILVA"/>
    <s v="Tms"/>
    <s v="Tms"/>
    <d v="2025-08-12T14:59:00"/>
    <n v="76960"/>
    <s v="-"/>
    <s v="OFF LINE"/>
    <s v="Cartão de crédito"/>
    <s v="Cartão de crédito"/>
    <x v="1"/>
    <s v="N"/>
    <x v="43"/>
    <s v="Claro Sao Paulo (santo Amaro)"/>
    <s v="-"/>
    <s v="-"/>
    <s v="-"/>
    <x v="26"/>
    <s v="-"/>
    <x v="224"/>
    <n v="0"/>
    <n v="0"/>
    <n v="0"/>
    <n v="0"/>
    <n v="9.9"/>
    <n v="0"/>
    <s v="Reserva importada do Sistema TMS. OS: 76960"/>
    <s v="Fornecedor não preenchido! (ACC01)"/>
    <x v="1"/>
    <x v="1"/>
    <s v="Campo Fornecedor"/>
    <x v="0"/>
    <s v="Qualidade dos dados"/>
    <s v="KONTIK BUSINESS TRAVEL"/>
    <x v="2"/>
  </r>
  <r>
    <n v="22711248"/>
    <n v="23512571"/>
    <s v="ACC01"/>
    <x v="261"/>
    <d v="2025-08-08T22:22:46"/>
    <x v="3"/>
    <x v="3"/>
    <s v="ERPUBT"/>
    <s v="TMS"/>
    <s v="RAFAEL LUCCHESI"/>
    <s v="Alexander Perez Alves"/>
    <s v="Alexander Perez Alves"/>
    <d v="2025-08-08T18:55:00"/>
    <n v="10419"/>
    <s v="-"/>
    <s v="OFF LINE"/>
    <s v="Cartão de crédito"/>
    <s v="Cartão AMEX"/>
    <x v="0"/>
    <s v="N"/>
    <x v="44"/>
    <s v="Braskem - Camacari"/>
    <s v="-"/>
    <s v="Gol Linhas Aereas"/>
    <n v="2143001095"/>
    <x v="27"/>
    <s v="-"/>
    <x v="225"/>
    <n v="1"/>
    <n v="0"/>
    <n v="0"/>
    <n v="0"/>
    <n v="0"/>
    <n v="0"/>
    <s v="Reserva importada do Sistema TMS. OS: 10419"/>
    <s v="Pnr já existente. A duplicidade de rloc é permitida apenas 6 meses após o último pnr emitido"/>
    <x v="1"/>
    <x v="3"/>
    <s v="Campo RLOC"/>
    <x v="2"/>
    <s v="Qualidade dos dados"/>
    <s v="GRUPO KONTIK"/>
    <x v="5"/>
  </r>
  <r>
    <n v="22732785"/>
    <n v="23530210"/>
    <s v="ACC01"/>
    <x v="262"/>
    <d v="2025-08-12T20:41:35"/>
    <x v="0"/>
    <x v="0"/>
    <s v="5GW6B9"/>
    <s v="TMS"/>
    <s v="DIEGO ZEOLLA"/>
    <s v="Tms"/>
    <s v="Tms"/>
    <d v="2025-08-12T15:16:00"/>
    <n v="10428"/>
    <s v="-"/>
    <s v="ON LINE"/>
    <s v="Cartão de crédito"/>
    <s v="Cartão de crédito"/>
    <x v="1"/>
    <s v="N"/>
    <x v="44"/>
    <s v="Braskem - Camacari"/>
    <s v="-"/>
    <s v="-"/>
    <s v="-"/>
    <x v="27"/>
    <s v="-"/>
    <x v="226"/>
    <n v="0"/>
    <n v="0"/>
    <n v="0"/>
    <n v="0"/>
    <n v="545.51"/>
    <n v="0"/>
    <s v="Reserva importada do Sistema TMS. OS: 10428"/>
    <s v="Fornecedor não preenchido! (ACC01)"/>
    <x v="1"/>
    <x v="1"/>
    <s v="Campo Fornecedor"/>
    <x v="0"/>
    <s v="Sistêmico"/>
    <s v="GRUPO KONTIK"/>
    <x v="1"/>
  </r>
  <r>
    <n v="22732757"/>
    <n v="23530182"/>
    <s v="ACC01"/>
    <x v="263"/>
    <d v="2025-08-12T22:19:06"/>
    <x v="0"/>
    <x v="0"/>
    <s v="5GKVPO"/>
    <s v="TMS"/>
    <s v="BRUNA LOVATO"/>
    <s v="Tms"/>
    <s v="Tms"/>
    <d v="2025-08-12T16:11:00"/>
    <n v="10540"/>
    <s v="Goiânia / GYN"/>
    <s v="ON LINE"/>
    <s v="Invoice"/>
    <s v="Faturado"/>
    <x v="3"/>
    <s v="N"/>
    <x v="44"/>
    <s v="Braskem - Camacari"/>
    <s v="-"/>
    <s v="-"/>
    <s v="-"/>
    <x v="27"/>
    <s v="-"/>
    <x v="227"/>
    <n v="0"/>
    <n v="0"/>
    <n v="0"/>
    <n v="0"/>
    <n v="0"/>
    <n v="0"/>
    <s v="Reserva importada do Sistema TMS. OS: 10540"/>
    <s v="Fornecedor não preenchido! (ACC01)"/>
    <x v="1"/>
    <x v="1"/>
    <s v="Campo Fornecedor"/>
    <x v="0"/>
    <s v="Qualidade dos dados"/>
    <s v="KONTIK BUSINESS TRAVEL"/>
    <x v="2"/>
  </r>
  <r>
    <n v="22732761"/>
    <n v="23530186"/>
    <s v="ACC01"/>
    <x v="264"/>
    <d v="2025-08-12T22:19:07"/>
    <x v="0"/>
    <x v="0"/>
    <s v="5GNRBO"/>
    <s v="TMS"/>
    <s v="RENATO DITOMASO"/>
    <s v="Tms"/>
    <s v="Tms"/>
    <d v="2025-08-12T16:01:00"/>
    <n v="10536"/>
    <s v="Porto Alegre / POA"/>
    <s v="ON LINE"/>
    <s v="Invoice"/>
    <s v="Faturado"/>
    <x v="3"/>
    <s v="N"/>
    <x v="44"/>
    <s v="Braskem - Camacari"/>
    <s v="-"/>
    <s v="-"/>
    <s v="-"/>
    <x v="27"/>
    <s v="-"/>
    <x v="228"/>
    <n v="0"/>
    <n v="0"/>
    <n v="0"/>
    <n v="0"/>
    <n v="0"/>
    <n v="0"/>
    <s v="Reserva importada do Sistema TMS. OS: 10536"/>
    <s v="Fornecedor não preenchido! (ACC01)"/>
    <x v="1"/>
    <x v="1"/>
    <s v="Campo Fornecedor"/>
    <x v="0"/>
    <s v="Qualidade dos dados"/>
    <s v="KONTIK BUSINESS TRAVEL"/>
    <x v="2"/>
  </r>
  <r>
    <n v="22732770"/>
    <n v="23530195"/>
    <s v="ACC01"/>
    <x v="265"/>
    <d v="2025-08-12T20:41:13"/>
    <x v="0"/>
    <x v="0"/>
    <s v="5GR5PN"/>
    <s v="TMS"/>
    <s v="THIAGO MEYER"/>
    <s v="Tms"/>
    <s v="Tms"/>
    <d v="2025-08-12T15:08:00"/>
    <n v="10529"/>
    <s v="Campinas / VCP"/>
    <s v="ON LINE"/>
    <s v="Invoice"/>
    <s v="Faturado"/>
    <x v="3"/>
    <s v="N"/>
    <x v="44"/>
    <s v="Braskem - Camacari"/>
    <s v="-"/>
    <s v="-"/>
    <s v="-"/>
    <x v="27"/>
    <s v="-"/>
    <x v="229"/>
    <n v="0"/>
    <n v="0"/>
    <n v="0"/>
    <n v="0"/>
    <n v="0"/>
    <n v="0"/>
    <s v="Reserva importada do Sistema TMS. OS: 10529"/>
    <s v="Fornecedor não preenchido! (ACC01)"/>
    <x v="1"/>
    <x v="1"/>
    <s v="Campo Fornecedor"/>
    <x v="0"/>
    <s v="Qualidade dos dados"/>
    <s v="KONTIK BUSINESS TRAVEL"/>
    <x v="2"/>
  </r>
  <r>
    <n v="22729831"/>
    <n v="23527371"/>
    <s v="ACC01"/>
    <x v="266"/>
    <d v="2025-08-12T13:41:26"/>
    <x v="0"/>
    <x v="0"/>
    <s v="5GHCX8"/>
    <s v="TMS"/>
    <s v="DANILO GONSALVES"/>
    <s v="Tms"/>
    <s v="Tms"/>
    <d v="2025-08-12T10:25:00"/>
    <n v="10522"/>
    <s v="Salvador / SSA"/>
    <s v="ON LINE"/>
    <s v="Invoice"/>
    <s v="Faturado"/>
    <x v="3"/>
    <s v="N"/>
    <x v="44"/>
    <s v="Braskem - Camacari"/>
    <s v="-"/>
    <s v="-"/>
    <s v="-"/>
    <x v="27"/>
    <s v="-"/>
    <x v="230"/>
    <n v="0"/>
    <n v="0"/>
    <n v="0"/>
    <n v="0"/>
    <n v="0"/>
    <n v="0"/>
    <s v="Reserva importada do Sistema TMS. OS: 10522"/>
    <s v="Fornecedor não preenchido! (ACC01)"/>
    <x v="1"/>
    <x v="1"/>
    <s v="Campo Fornecedor"/>
    <x v="0"/>
    <s v="Qualidade dos dados"/>
    <s v="KONTIK BUSINESS TRAVEL"/>
    <x v="2"/>
  </r>
  <r>
    <n v="22700933"/>
    <n v="23503142"/>
    <s v="ACC01"/>
    <x v="267"/>
    <d v="2025-08-07T13:28:23"/>
    <x v="1"/>
    <x v="1"/>
    <s v="5GUK92"/>
    <s v="TMS"/>
    <s v="MARCELO NEVES"/>
    <s v="ADRIANA MIRANDA COUTINHO"/>
    <s v="ADRIANA MIRANDA COUTINHO"/>
    <d v="2025-08-07T08:37:00"/>
    <n v="10120"/>
    <s v="-"/>
    <s v="OFF LINE"/>
    <s v="Cartão de crédito"/>
    <s v="Cartão de crédito"/>
    <x v="1"/>
    <s v="N"/>
    <x v="44"/>
    <s v="Braskem - Camacari"/>
    <s v="-"/>
    <s v="-"/>
    <s v="-"/>
    <x v="27"/>
    <s v="-"/>
    <x v="231"/>
    <n v="0"/>
    <n v="0"/>
    <n v="0"/>
    <n v="0"/>
    <n v="0"/>
    <n v="0"/>
    <s v="Reserva importada do Sistema TMS. OS: 10120"/>
    <s v="Fornecedor não preenchido! (ACC01)"/>
    <x v="1"/>
    <x v="1"/>
    <s v="Campo Fornecedor"/>
    <x v="0"/>
    <s v="Qualidade dos dados"/>
    <s v="KONTIK BUSINESS TRAVEL"/>
    <x v="2"/>
  </r>
  <r>
    <n v="22700934"/>
    <n v="23503143"/>
    <s v="ACC01"/>
    <x v="268"/>
    <d v="2025-08-07T22:19:26"/>
    <x v="1"/>
    <x v="1"/>
    <s v="5GK8NW"/>
    <s v="TMS"/>
    <s v="RENATO DITOMASO"/>
    <s v="ADRIANA MIRANDA COUTINHO"/>
    <s v="ADRIANA MIRANDA COUTINHO"/>
    <d v="2025-08-07T08:33:00"/>
    <n v="10119"/>
    <s v="-"/>
    <s v="OFF LINE"/>
    <s v="Cartão de crédito"/>
    <s v="Cartão de crédito"/>
    <x v="1"/>
    <s v="N"/>
    <x v="44"/>
    <s v="Braskem - Camacari"/>
    <s v="-"/>
    <s v="-"/>
    <s v="-"/>
    <x v="27"/>
    <s v="-"/>
    <x v="231"/>
    <n v="0"/>
    <n v="0"/>
    <n v="0"/>
    <n v="0"/>
    <n v="0"/>
    <n v="0"/>
    <s v="Reserva importada do Sistema TMS. OS: 10119"/>
    <s v="Fornecedor não preenchido! (ACC01)"/>
    <x v="1"/>
    <x v="1"/>
    <s v="Campo Fornecedor"/>
    <x v="0"/>
    <s v="Qualidade dos dados"/>
    <s v="KONTIK BUSINESS TRAVEL"/>
    <x v="2"/>
  </r>
  <r>
    <n v="22732776"/>
    <n v="23530201"/>
    <s v="ACC01"/>
    <x v="269"/>
    <d v="2025-08-12T19:21:31"/>
    <x v="0"/>
    <x v="0"/>
    <s v="5GITB9"/>
    <s v="TMS"/>
    <s v="Arruda/Claudia"/>
    <s v="Bruna Carlos da Silva"/>
    <s v="Bruna Carlos da Silva"/>
    <d v="2025-08-12T15:10:00"/>
    <n v="10525"/>
    <s v="-"/>
    <s v="OFF LINE"/>
    <s v="Invoice"/>
    <s v="Faturado"/>
    <x v="0"/>
    <s v="N"/>
    <x v="44"/>
    <s v="Braskem - Camacari"/>
    <s v="-"/>
    <s v="Gol Linhas Aereas"/>
    <n v="4432049634"/>
    <x v="27"/>
    <s v="-"/>
    <x v="19"/>
    <n v="42.5"/>
    <n v="0"/>
    <n v="0"/>
    <n v="0"/>
    <n v="0"/>
    <n v="0"/>
    <s v="Reserva importada do Sistema TMS. OS: 10525"/>
    <s v="Empenho/departamento não preenchido! (ACC01) Tarifa mínima não preenchida! (ACC01) Tarifa máxima não preenchida! (ACC01)"/>
    <x v="1"/>
    <x v="0"/>
    <s v="Falta de informação Gerencial"/>
    <x v="0"/>
    <s v="Qualidade dos dados"/>
    <s v="KONTIK BUSINESS TRAVEL"/>
    <x v="0"/>
  </r>
  <r>
    <n v="22732783"/>
    <n v="23530208"/>
    <s v="ACC01"/>
    <x v="270"/>
    <d v="2025-08-12T20:41:34"/>
    <x v="0"/>
    <x v="0"/>
    <s v="5GZHMO"/>
    <s v="TMS"/>
    <s v="BRUNA LOVATO"/>
    <s v="Bruna Carlos da Silva"/>
    <s v="Bruna Carlos da Silva"/>
    <d v="2025-08-12T17:18:00"/>
    <n v="10498"/>
    <s v="Curitiba / CWB"/>
    <s v="OFF LINE"/>
    <s v="Invoice"/>
    <s v="Faturado"/>
    <x v="3"/>
    <s v="N"/>
    <x v="44"/>
    <s v="Braskem - Camacari"/>
    <s v="-"/>
    <s v="-"/>
    <s v="-"/>
    <x v="27"/>
    <s v="-"/>
    <x v="232"/>
    <n v="0"/>
    <n v="0"/>
    <n v="0"/>
    <n v="0"/>
    <n v="0"/>
    <n v="0"/>
    <s v="Reserva importada do Sistema TMS. OS: 10498"/>
    <s v="Fornecedor não preenchido! (ACC01)"/>
    <x v="1"/>
    <x v="1"/>
    <s v="Campo Fornecedor"/>
    <x v="0"/>
    <s v="Qualidade dos dados"/>
    <s v="KONTIK BUSINESS TRAVEL"/>
    <x v="2"/>
  </r>
  <r>
    <n v="22732786"/>
    <n v="23530211"/>
    <s v="ACC01"/>
    <x v="271"/>
    <d v="2025-08-12T22:22:28"/>
    <x v="0"/>
    <x v="0"/>
    <s v="5GDYP9"/>
    <s v="TMS"/>
    <s v="MAURO JUNIOR"/>
    <s v="Bruna Carlos da Silva"/>
    <s v="Bruna Carlos da Silva"/>
    <d v="2025-08-12T17:14:00"/>
    <n v="10283"/>
    <s v="Salvador / SSA"/>
    <s v="OFF LINE"/>
    <s v="Invoice"/>
    <s v="Faturado"/>
    <x v="3"/>
    <s v="N"/>
    <x v="44"/>
    <s v="Braskem - Camacari"/>
    <s v="-"/>
    <s v="-"/>
    <s v="-"/>
    <x v="27"/>
    <s v="-"/>
    <x v="128"/>
    <n v="0"/>
    <n v="0"/>
    <n v="0"/>
    <n v="0"/>
    <n v="0"/>
    <n v="0"/>
    <s v="Reserva importada do Sistema TMS. OS: 10283"/>
    <s v="Fornecedor não preenchido! (ACC01)"/>
    <x v="1"/>
    <x v="1"/>
    <s v="Campo Fornecedor"/>
    <x v="0"/>
    <s v="Qualidade dos dados"/>
    <s v="KONTIK BUSINESS TRAVEL"/>
    <x v="2"/>
  </r>
  <r>
    <n v="22732787"/>
    <n v="23530212"/>
    <s v="ACC01"/>
    <x v="272"/>
    <d v="2025-08-12T22:22:29"/>
    <x v="0"/>
    <x v="0"/>
    <s v="5GRY0O"/>
    <s v="TMS"/>
    <s v="MAURO JUNIOR"/>
    <s v="Bruna Carlos da Silva"/>
    <s v="Bruna Carlos da Silva"/>
    <d v="2025-08-12T17:11:00"/>
    <n v="10281"/>
    <s v="Porto Alegre / POA"/>
    <s v="OFF LINE"/>
    <s v="Invoice"/>
    <s v="Faturado"/>
    <x v="3"/>
    <s v="N"/>
    <x v="44"/>
    <s v="Braskem - Camacari"/>
    <s v="-"/>
    <s v="-"/>
    <s v="-"/>
    <x v="27"/>
    <s v="-"/>
    <x v="233"/>
    <n v="0"/>
    <n v="0"/>
    <n v="0"/>
    <n v="0"/>
    <n v="0"/>
    <n v="0"/>
    <s v="Reserva importada do Sistema TMS. OS: 10281"/>
    <s v="Fornecedor não preenchido! (ACC01)"/>
    <x v="1"/>
    <x v="1"/>
    <s v="Campo Fornecedor"/>
    <x v="0"/>
    <s v="Qualidade dos dados"/>
    <s v="KONTIK BUSINESS TRAVEL"/>
    <x v="2"/>
  </r>
  <r>
    <n v="22728522"/>
    <n v="23526103"/>
    <s v="ACC01"/>
    <x v="273"/>
    <d v="2025-08-12T10:16:44"/>
    <x v="0"/>
    <x v="0"/>
    <s v="SJMEWI"/>
    <s v="LEMONTECH"/>
    <s v="CAVALCANTI DE MEDEIROS/THIAGO"/>
    <s v="Maria Clara Landeira Mezavila"/>
    <s v="Maria Clara Landeira Mezavila"/>
    <d v="2025-08-11T00:00:00"/>
    <n v="17266419"/>
    <s v="-"/>
    <s v="ON LINE"/>
    <s v="Cartão de crédito"/>
    <s v="Cartão AMEX"/>
    <x v="0"/>
    <s v="N"/>
    <x v="45"/>
    <s v="Bristow"/>
    <s v="-"/>
    <s v="Latam Airlines Brasil"/>
    <n v="2952835556"/>
    <x v="28"/>
    <s v="-"/>
    <x v="234"/>
    <n v="34.11"/>
    <n v="0"/>
    <n v="0"/>
    <n v="0"/>
    <n v="0"/>
    <n v="0"/>
    <s v="Reserva importada do Sistema Lemontech. Solicitação: 17266419"/>
    <s v="Verificação de bilhetes: Bilhete 2952835556 já sendo utilizado para este fornecedor."/>
    <x v="6"/>
    <x v="6"/>
    <s v="Bilhete Já Contabilizado"/>
    <x v="2"/>
    <s v="Qualidade dos dados"/>
    <s v="GRUPO KONTIK"/>
    <x v="5"/>
  </r>
  <r>
    <n v="22728525"/>
    <n v="23526105"/>
    <s v="ACC01"/>
    <x v="274"/>
    <d v="2025-08-12T10:16:46"/>
    <x v="0"/>
    <x v="0"/>
    <s v="FSQGPN"/>
    <s v="LEMONTECH"/>
    <s v="XIMENES KNUPP/ALEXANDRE"/>
    <s v="Maria Clara Landeira Mezavila"/>
    <s v="Maria Clara Landeira Mezavila"/>
    <d v="2025-08-11T00:00:00"/>
    <n v="17266449"/>
    <s v="-"/>
    <s v="ON LINE"/>
    <s v="Cartão de crédito"/>
    <s v="Cartão AMEX"/>
    <x v="0"/>
    <s v="N"/>
    <x v="45"/>
    <s v="Bristow"/>
    <s v="-"/>
    <s v="Latam Airlines Brasil"/>
    <n v="2952835557"/>
    <x v="28"/>
    <s v="-"/>
    <x v="234"/>
    <n v="34.11"/>
    <n v="0"/>
    <n v="0"/>
    <n v="0"/>
    <n v="0"/>
    <n v="0"/>
    <s v="Reserva importada do Sistema Lemontech. Solicitação: 17266449"/>
    <s v="Verificação de bilhetes: Bilhete 2952835557 já sendo utilizado para este fornecedor."/>
    <x v="6"/>
    <x v="6"/>
    <s v="Bilhete Já Contabilizado"/>
    <x v="2"/>
    <s v="Qualidade dos dados"/>
    <s v="GRUPO KONTIK"/>
    <x v="5"/>
  </r>
  <r>
    <n v="22706933"/>
    <n v="23508378"/>
    <s v="ACC01"/>
    <x v="275"/>
    <d v="2025-08-08T10:05:05"/>
    <x v="3"/>
    <x v="3"/>
    <s v="K-NARARP01"/>
    <s v="GOVER"/>
    <s v="Debora Cardoso Vieira Oliver"/>
    <s v="GABRIEL ALVES MOURA"/>
    <s v="GABRIEL ALVES MOURA"/>
    <d v="2025-08-07T13:45:00"/>
    <n v="4579033"/>
    <s v="-"/>
    <s v="OFF LINE"/>
    <s v="Invoice"/>
    <s v="Faturado"/>
    <x v="0"/>
    <s v="N"/>
    <x v="46"/>
    <s v="Energisa Distribuicao de Gas S.a"/>
    <s v="-"/>
    <s v="Latam Airlines Brasil"/>
    <n v="2244662996"/>
    <x v="29"/>
    <s v="-"/>
    <x v="235"/>
    <n v="0"/>
    <n v="0"/>
    <n v="0"/>
    <n v="0"/>
    <n v="0"/>
    <n v="0"/>
    <s v="Reserva importada do sistema Gover. Id: 4579033"/>
    <s v="Verificação de bilhetes: Bilhete 2244662996 já sendo utilizado para este fornecedor."/>
    <x v="5"/>
    <x v="6"/>
    <s v="Bilhete Já Contabilizado"/>
    <x v="2"/>
    <s v="Qualidade dos dados"/>
    <s v="GRUPO KONTIK"/>
    <x v="5"/>
  </r>
  <r>
    <n v="22720944"/>
    <n v="23519346"/>
    <s v="ACC01"/>
    <x v="276"/>
    <d v="2025-08-11T09:32:18"/>
    <x v="0"/>
    <x v="0"/>
    <s v="K-CMFFIP01"/>
    <s v="GOVER"/>
    <s v="Mauricio Perez Botelho"/>
    <s v="GABRIEL ALVES MOURA"/>
    <s v="GABRIEL ALVES MOURA"/>
    <d v="2025-08-08T18:30:00"/>
    <n v="4579790"/>
    <s v="-"/>
    <s v="OFF LINE"/>
    <s v="Cartão de crédito"/>
    <s v="Cartão AMEX"/>
    <x v="0"/>
    <s v="N"/>
    <x v="46"/>
    <s v="Energisa S.a."/>
    <s v="-"/>
    <s v="Gol Linhas Aereas"/>
    <n v="2142999330"/>
    <x v="29"/>
    <s v="-"/>
    <x v="236"/>
    <n v="0"/>
    <n v="0"/>
    <n v="0"/>
    <n v="0"/>
    <n v="0"/>
    <n v="0"/>
    <s v="Reserva importada do sistema Gover. Id: 4579790"/>
    <s v="Verificação de bilhetes: Bilhete 2142999330 já sendo utilizado para este fornecedor."/>
    <x v="5"/>
    <x v="6"/>
    <s v="Bilhete Já Contabilizado"/>
    <x v="2"/>
    <s v="Qualidade dos dados"/>
    <s v="GRUPO KONTIK"/>
    <x v="5"/>
  </r>
  <r>
    <n v="22701567"/>
    <n v="23503717"/>
    <s v="ACC01"/>
    <x v="277"/>
    <d v="2025-08-07T15:15:29"/>
    <x v="1"/>
    <x v="1"/>
    <n v="19446829"/>
    <s v="GOVER"/>
    <s v="Brena Felix Rodrigues"/>
    <s v="Gover"/>
    <s v="Gover"/>
    <d v="2025-08-04T17:58:00"/>
    <n v="4576986"/>
    <s v="-"/>
    <s v="OFF LINE"/>
    <s v="Invoice"/>
    <s v="Faturado"/>
    <x v="1"/>
    <s v="N"/>
    <x v="47"/>
    <s v="Hypera S.a."/>
    <s v="-"/>
    <s v="Pousada Santo Amaro"/>
    <s v="-"/>
    <x v="30"/>
    <s v="-"/>
    <x v="237"/>
    <n v="0"/>
    <n v="0"/>
    <n v="0"/>
    <n v="0"/>
    <n v="0"/>
    <n v="0"/>
    <s v="Reserva importada do sistema Gover. Id: 4576986"/>
    <s v="Não foi possível encontrar um contrato válido para o fornecedor 16504 (Código fornecedor) "/>
    <x v="5"/>
    <x v="5"/>
    <s v="Análise Cadastro"/>
    <x v="0"/>
    <s v="Qualidade dos dados"/>
    <s v="KONTIK BUSINESS TRAVEL"/>
    <x v="2"/>
  </r>
  <r>
    <n v="22574510"/>
    <n v="23398118"/>
    <s v="ACC01"/>
    <x v="278"/>
    <d v="2025-07-16T18:56:02"/>
    <x v="5"/>
    <x v="6"/>
    <n v="19197258"/>
    <s v="GOVER"/>
    <s v="Maira Da Conceição Moraes "/>
    <s v="Gover"/>
    <s v="Gover"/>
    <d v="2025-07-16T16:53:00"/>
    <n v="4567637"/>
    <s v="-"/>
    <s v="ON LINE"/>
    <s v="Cartão de crédito"/>
    <s v="Cartão de crédito"/>
    <x v="1"/>
    <s v="N"/>
    <x v="47"/>
    <s v="Hypera S.a."/>
    <s v="-"/>
    <s v="-"/>
    <s v="-"/>
    <x v="30"/>
    <s v="-"/>
    <x v="238"/>
    <n v="0"/>
    <n v="0"/>
    <n v="0"/>
    <n v="0"/>
    <n v="0"/>
    <n v="0"/>
    <s v="Reserva importada do sistema Gover. Id: 4567637"/>
    <s v="Fornecedor não preenchido! (ACC01)"/>
    <x v="5"/>
    <x v="1"/>
    <s v="Campo Fornecedor"/>
    <x v="0"/>
    <s v="Sistêmico"/>
    <s v="GRUPO KONTIK"/>
    <x v="1"/>
  </r>
  <r>
    <n v="22583919"/>
    <n v="23405726"/>
    <s v="ACC01"/>
    <x v="279"/>
    <d v="2025-07-18T11:23:10"/>
    <x v="5"/>
    <x v="6"/>
    <n v="19216215"/>
    <s v="GOVER"/>
    <s v="Caique  Nascimento De Araújo"/>
    <s v="Gover"/>
    <s v="Gover"/>
    <d v="2025-07-17T19:29:00"/>
    <n v="4568443"/>
    <s v="-"/>
    <s v="ON LINE"/>
    <s v="Cartão de crédito"/>
    <s v="Cartão de crédito"/>
    <x v="1"/>
    <s v="N"/>
    <x v="47"/>
    <s v="Hypera S.a."/>
    <s v="-"/>
    <s v="-"/>
    <s v="-"/>
    <x v="30"/>
    <s v="-"/>
    <x v="239"/>
    <n v="0"/>
    <n v="0"/>
    <n v="0"/>
    <n v="0"/>
    <n v="0"/>
    <n v="0"/>
    <s v="Reserva importada do sistema Gover. Id: 4568443"/>
    <s v="Fornecedor não preenchido! (ACC01)"/>
    <x v="5"/>
    <x v="1"/>
    <s v="Campo Fornecedor"/>
    <x v="0"/>
    <s v="Sistêmico"/>
    <s v="GRUPO KONTIK"/>
    <x v="1"/>
  </r>
  <r>
    <n v="22728593"/>
    <n v="23526160"/>
    <s v="ACC01"/>
    <x v="280"/>
    <d v="2025-08-12T10:20:17"/>
    <x v="0"/>
    <x v="0"/>
    <s v="MV1UHWXJR2BR"/>
    <s v="GOVER"/>
    <s v="Pedro Oliveira"/>
    <s v="WAGNER PAULINO"/>
    <s v="WAGNER PAULINO"/>
    <d v="2025-08-12T10:02:00"/>
    <n v="4578711"/>
    <s v="Movida - Br - Ba - Vitoria da Conquista - Aeroport Endereço: Rodovia Rodovia Santos Dumont"/>
    <s v="OFF LINE"/>
    <s v="Invoice"/>
    <s v="Faturado"/>
    <x v="3"/>
    <s v="N"/>
    <x v="47"/>
    <s v="Hypera S.a."/>
    <s v="-"/>
    <s v="-"/>
    <s v="-"/>
    <x v="30"/>
    <s v="-"/>
    <x v="240"/>
    <n v="0"/>
    <n v="0"/>
    <n v="0"/>
    <n v="0"/>
    <n v="0"/>
    <n v="0"/>
    <s v="Reserva importada do sistema Gover. Id: 4578711"/>
    <s v="Fornecedor não preenchido! (ACC01)"/>
    <x v="5"/>
    <x v="1"/>
    <s v="Campo Fornecedor"/>
    <x v="0"/>
    <s v="Qualidade dos dados"/>
    <s v="KONTIK BUSINESS TRAVEL"/>
    <x v="2"/>
  </r>
  <r>
    <n v="22680658"/>
    <n v="23485133"/>
    <s v="ACC01"/>
    <x v="281"/>
    <d v="2025-08-04T18:15:59"/>
    <x v="2"/>
    <x v="4"/>
    <n v="4576274"/>
    <s v="GOVER"/>
    <s v="Adriano Jose da Silva"/>
    <s v="Wilson Jose Araujo de Gusmao Junior"/>
    <s v="Wilson Jose Araujo de Gusmao Junior"/>
    <d v="2025-08-04T18:00:00"/>
    <n v="4576274"/>
    <s v="-"/>
    <s v="OFF LINE"/>
    <s v="Cartão de crédito"/>
    <s v="Cartão de crédito"/>
    <x v="1"/>
    <s v="N"/>
    <x v="48"/>
    <s v="Intercement Nacoes Unidas"/>
    <s v="-"/>
    <s v="America Palace Hotel - Inativo"/>
    <s v="-"/>
    <x v="31"/>
    <s v="-"/>
    <x v="241"/>
    <n v="0"/>
    <n v="0"/>
    <n v="0"/>
    <n v="0"/>
    <n v="0"/>
    <n v="0"/>
    <s v="Reserva importada do sistema Gover. Id: 4576274"/>
    <s v="Não foi possível encontrar um contrato válido para o fornecedor 28953 (Código fornecedor) "/>
    <x v="5"/>
    <x v="5"/>
    <s v="Análise Cadastro"/>
    <x v="0"/>
    <s v="Qualidade dos dados"/>
    <s v="KONTIK BUSINESS TRAVEL"/>
    <x v="2"/>
  </r>
  <r>
    <n v="22684230"/>
    <n v="23488136"/>
    <s v="ACC01"/>
    <x v="282"/>
    <d v="2025-08-05T08:05:15"/>
    <x v="1"/>
    <x v="1"/>
    <n v="4576387"/>
    <s v="GOVER"/>
    <s v="Cesar Francisco Antunes Cavalheiro"/>
    <s v="Wilson Jose Araujo de Gusmao Junior"/>
    <s v="Wilson Jose Araujo de Gusmao Junior"/>
    <d v="2025-08-04T19:00:00"/>
    <n v="4576387"/>
    <s v="-"/>
    <s v="OFF LINE"/>
    <s v="Cartão de crédito"/>
    <s v="Cartão de crédito"/>
    <x v="1"/>
    <s v="N"/>
    <x v="48"/>
    <s v="Intercement Nacoes Unidas"/>
    <s v="-"/>
    <s v="America Palace Hotel - Inativo"/>
    <s v="-"/>
    <x v="31"/>
    <s v="-"/>
    <x v="241"/>
    <n v="0"/>
    <n v="0"/>
    <n v="0"/>
    <n v="0"/>
    <n v="0"/>
    <n v="0"/>
    <s v="Reserva importada do sistema Gover. Id: 4576387"/>
    <s v="Não foi possível encontrar um contrato válido para o fornecedor 28953 (Código fornecedor) "/>
    <x v="5"/>
    <x v="5"/>
    <s v="Análise Cadastro"/>
    <x v="0"/>
    <s v="Qualidade dos dados"/>
    <s v="KONTIK BUSINESS TRAVEL"/>
    <x v="2"/>
  </r>
  <r>
    <n v="22730784"/>
    <n v="23528274"/>
    <s v="ACC01"/>
    <x v="283"/>
    <d v="2025-08-12T16:10:52"/>
    <x v="0"/>
    <x v="0"/>
    <s v="AV78VYK5LP"/>
    <s v="GOVER"/>
    <s v="Leticia Siqueira Mendes"/>
    <s v="Marcos de Oliveira Miklos"/>
    <s v="Marcos de Oliveira Miklos"/>
    <d v="2025-08-12T15:55:00"/>
    <n v="4580640"/>
    <s v="Localiza - Br - Sp - Sao Jose dos Campos - Agencia Endereço: Av Andromeda, 100 - Agencia Centro "/>
    <s v="OFF LINE"/>
    <s v="Invoice"/>
    <s v="Faturado"/>
    <x v="3"/>
    <s v="N"/>
    <x v="48"/>
    <s v="Intercement Nacoes Unidas"/>
    <s v="-"/>
    <s v="-"/>
    <s v="-"/>
    <x v="31"/>
    <s v="-"/>
    <x v="242"/>
    <n v="0"/>
    <n v="0"/>
    <n v="0"/>
    <n v="0"/>
    <n v="0"/>
    <n v="0"/>
    <s v="Reserva importada do sistema Gover. Id: 4580640"/>
    <s v="Fornecedor não preenchido! (ACC01)"/>
    <x v="5"/>
    <x v="1"/>
    <s v="Campo Fornecedor"/>
    <x v="0"/>
    <s v="Qualidade dos dados"/>
    <s v="KONTIK BUSINESS TRAVEL"/>
    <x v="2"/>
  </r>
  <r>
    <n v="22730871"/>
    <n v="23528359"/>
    <s v="ACC01"/>
    <x v="284"/>
    <d v="2025-08-12T16:21:18"/>
    <x v="0"/>
    <x v="0"/>
    <s v="QGPROE"/>
    <s v="SABRE"/>
    <s v="GOMES/ELI EBER BATISTA DR"/>
    <s v="7S"/>
    <s v="Marcelo Pereira de Melo"/>
    <d v="2025-03-06T12:11:00"/>
    <s v="QGPROE"/>
    <s v="-"/>
    <s v="ON LINE"/>
    <s v="?"/>
    <s v="TKT"/>
    <x v="0"/>
    <s v="N"/>
    <x v="49"/>
    <s v="Shell"/>
    <s v="-"/>
    <s v="Latam Airlines Brasil"/>
    <n v="2952834969"/>
    <x v="32"/>
    <s v="-"/>
    <x v="19"/>
    <n v="0"/>
    <n v="8.84"/>
    <n v="0"/>
    <n v="8.84"/>
    <n v="0"/>
    <n v="0"/>
    <s v="Reserva importada por HubTravel"/>
    <s v="Falta informar o status no trecho da accounting aérea (Bilhete: 2952834969)"/>
    <x v="0"/>
    <x v="12"/>
    <s v="Atualização de Trechos"/>
    <x v="0"/>
    <s v="Qualidade dos dados"/>
    <s v="KONTIK BUSINESS TRAVEL"/>
    <x v="6"/>
  </r>
  <r>
    <n v="22730871"/>
    <n v="23528360"/>
    <s v="ACC02"/>
    <x v="284"/>
    <d v="2025-08-12T16:21:18"/>
    <x v="0"/>
    <x v="0"/>
    <s v="QGPROE"/>
    <s v="SABRE"/>
    <s v="GOMES/ELI EBER BATISTA DR"/>
    <s v="7S"/>
    <s v="Marcelo Pereira de Melo"/>
    <d v="2025-03-06T12:11:00"/>
    <s v="QGPROE"/>
    <s v="-"/>
    <s v="ON LINE"/>
    <s v="?"/>
    <s v="TKT"/>
    <x v="0"/>
    <s v="N"/>
    <x v="49"/>
    <s v="Shell"/>
    <s v="-"/>
    <s v="Latam Airlines Brasil"/>
    <n v="2952834969"/>
    <x v="32"/>
    <s v="-"/>
    <x v="19"/>
    <n v="0"/>
    <n v="450"/>
    <n v="0"/>
    <n v="0"/>
    <n v="0"/>
    <n v="0"/>
    <s v="Reserva importada por HubTravel"/>
    <s v="Falta informar o status no trecho da accounting aérea (Bilhete: 2952834969)"/>
    <x v="0"/>
    <x v="12"/>
    <s v="Atualização de Trechos"/>
    <x v="0"/>
    <s v="Qualidade dos dados"/>
    <s v="KONTIK BUSINESS TRAVEL"/>
    <x v="6"/>
  </r>
  <r>
    <n v="22731519"/>
    <n v="23528985"/>
    <s v="ACC01"/>
    <x v="285"/>
    <d v="2025-08-12T18:05:07"/>
    <x v="0"/>
    <x v="0"/>
    <s v="NUYDEJ"/>
    <s v="SABRE"/>
    <s v="PAES DE CASTRO BARRETO/ANA CA"/>
    <s v="Beatrys Ferreira Rocha"/>
    <s v="Vanessa Pereira Ribeiro Carlos"/>
    <d v="2025-08-12T13:45:00"/>
    <s v="EMAIL"/>
    <s v="-"/>
    <s v="OFF LINE"/>
    <s v="?"/>
    <s v="TKT"/>
    <x v="0"/>
    <s v="N"/>
    <x v="49"/>
    <s v="Shell"/>
    <s v="-"/>
    <s v="Latam Airlines Brasil"/>
    <n v="2952834984"/>
    <x v="32"/>
    <s v="-"/>
    <x v="19"/>
    <n v="0"/>
    <n v="450"/>
    <n v="0"/>
    <n v="33.03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731126"/>
    <n v="23528615"/>
    <s v="ACC01"/>
    <x v="286"/>
    <d v="2025-08-12T18:04:01"/>
    <x v="0"/>
    <x v="0"/>
    <s v="NRWYKO"/>
    <s v="SABRE"/>
    <s v="MACRINI/FERNANDA CERRI"/>
    <s v="Beatrys Ferreira Rocha"/>
    <s v="WS"/>
    <d v="2025-08-12T12:45:00"/>
    <s v="CONCUR"/>
    <s v="-"/>
    <s v="ON LINE"/>
    <s v="?"/>
    <s v="TKT"/>
    <x v="0"/>
    <s v="N"/>
    <x v="49"/>
    <s v="Shell"/>
    <s v="-"/>
    <s v="Latam Airlines Brasil"/>
    <n v="2952834981"/>
    <x v="32"/>
    <s v="-"/>
    <x v="19"/>
    <n v="0"/>
    <n v="412.63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731130"/>
    <n v="23528619"/>
    <s v="ACC01"/>
    <x v="287"/>
    <d v="2025-08-12T18:04:03"/>
    <x v="0"/>
    <x v="0"/>
    <s v="CLTSTU"/>
    <s v="SABRE"/>
    <s v="PASSADORE/JULIANA DE ALMEIDA"/>
    <s v="Beatrys Ferreira Rocha"/>
    <s v="WS"/>
    <d v="2025-08-12T13:15:00"/>
    <s v="CONCUR"/>
    <s v="-"/>
    <s v="ON LINE"/>
    <s v="?"/>
    <s v="TKT"/>
    <x v="0"/>
    <s v="N"/>
    <x v="49"/>
    <s v="Shell"/>
    <s v="-"/>
    <s v="Latam Airlines Brasil"/>
    <n v="2952834982"/>
    <x v="32"/>
    <s v="-"/>
    <x v="19"/>
    <n v="0"/>
    <n v="300.63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728486"/>
    <n v="23526068"/>
    <s v="ACC01"/>
    <x v="288"/>
    <d v="2025-08-12T16:08:55"/>
    <x v="0"/>
    <x v="0"/>
    <s v="WKDOWD"/>
    <s v="SABRE"/>
    <s v="MARIANO DA SILVA JUNIOR/CARLOS EDUARDO"/>
    <s v="Adriana Vieira de Freitas dos Santos"/>
    <s v="Adriana Vieira de Freitas dos Santos"/>
    <d v="2025-08-12T07:36:00"/>
    <s v="FONE"/>
    <s v="-"/>
    <s v="OFF LINE"/>
    <s v="Cartão de crédito"/>
    <s v="Cartão de crédito"/>
    <x v="0"/>
    <s v="N"/>
    <x v="49"/>
    <s v="Shell"/>
    <s v="-"/>
    <s v="Gol Linhas Aereas"/>
    <n v="2143250893"/>
    <x v="32"/>
    <s v="-"/>
    <x v="19"/>
    <n v="0"/>
    <n v="0"/>
    <n v="0"/>
    <n v="0"/>
    <n v="0"/>
    <n v="0"/>
    <s v="Reserva importada por HubTravel"/>
    <s v="Verificação de bilhetes: Bilhete 2143250893 já sendo utilizado para este fornecedor."/>
    <x v="0"/>
    <x v="6"/>
    <s v="Bilhete Já Contabilizado"/>
    <x v="2"/>
    <s v="Qualidade dos dados"/>
    <s v="GRUPO KONTIK"/>
    <x v="5"/>
  </r>
  <r>
    <n v="22729433"/>
    <n v="23526984"/>
    <s v="ACC01"/>
    <x v="289"/>
    <d v="2025-08-12T12:50:49"/>
    <x v="0"/>
    <x v="0"/>
    <s v="5GKAM8"/>
    <s v="TMS"/>
    <s v="ISRAEL CAVALCANTE"/>
    <s v="Tms"/>
    <s v="Tms"/>
    <d v="2025-08-12T06:40:00"/>
    <n v="24991"/>
    <s v="Fortaleza / FOR"/>
    <s v="ON LINE"/>
    <s v="Invoice"/>
    <s v="Faturado"/>
    <x v="3"/>
    <s v="N"/>
    <x v="50"/>
    <s v="Enaex"/>
    <s v="-"/>
    <s v="-"/>
    <s v="-"/>
    <x v="33"/>
    <s v="-"/>
    <x v="243"/>
    <n v="0"/>
    <n v="0"/>
    <n v="0"/>
    <n v="0"/>
    <n v="0"/>
    <n v="0"/>
    <s v="Reserva importada do Sistema TMS. OS: 24991"/>
    <s v="Fornecedor não preenchido! (ACC01)"/>
    <x v="1"/>
    <x v="1"/>
    <s v="Campo Fornecedor"/>
    <x v="0"/>
    <s v="Qualidade dos dados"/>
    <s v="KONTIK BUSINESS TRAVEL"/>
    <x v="2"/>
  </r>
  <r>
    <n v="22726883"/>
    <n v="23524969"/>
    <s v="ACC01"/>
    <x v="290"/>
    <d v="2025-08-12T00:31:15"/>
    <x v="0"/>
    <x v="0"/>
    <s v="5GRGGU"/>
    <s v="TMS"/>
    <s v="EZEQUIEL TRAMUNTINN"/>
    <s v="Marcia Fernandes de Sousa"/>
    <s v="Marcia Fernandes de Sousa"/>
    <d v="2025-08-11T18:31:00"/>
    <n v="24884"/>
    <s v="-"/>
    <s v="OFF LINE"/>
    <s v="Cartão de crédito"/>
    <s v="Cartão de crédito"/>
    <x v="1"/>
    <s v="N"/>
    <x v="50"/>
    <s v="Enaex"/>
    <s v="-"/>
    <s v="-"/>
    <s v="-"/>
    <x v="33"/>
    <s v="-"/>
    <x v="244"/>
    <n v="0"/>
    <n v="0"/>
    <n v="0"/>
    <n v="0"/>
    <n v="0"/>
    <n v="0"/>
    <s v="Reserva importada do Sistema TMS. OS: 24884"/>
    <s v="Fornecedor não preenchido! (ACC01)"/>
    <x v="1"/>
    <x v="1"/>
    <s v="Campo Fornecedor"/>
    <x v="0"/>
    <s v="Qualidade dos dados"/>
    <s v="KONTIK BUSINESS TRAVEL"/>
    <x v="2"/>
  </r>
  <r>
    <n v="22707834"/>
    <n v="23509291"/>
    <s v="ACC01"/>
    <x v="291"/>
    <d v="2025-08-08T12:31:52"/>
    <x v="3"/>
    <x v="3"/>
    <s v="5GE8TV"/>
    <s v="TMS"/>
    <s v="JOAO EDUARDO BUTURE BECKER"/>
    <s v="Marcia Fernandes de Sousa"/>
    <s v="Marcia Fernandes de Sousa"/>
    <d v="2025-08-08T10:52:00"/>
    <n v="24909"/>
    <s v="-"/>
    <s v="OFF LINE"/>
    <s v="Cartão de crédito"/>
    <s v="Cartão de crédito"/>
    <x v="1"/>
    <s v="N"/>
    <x v="50"/>
    <s v="Enaex"/>
    <s v="-"/>
    <s v="-"/>
    <s v="-"/>
    <x v="33"/>
    <s v="-"/>
    <x v="245"/>
    <n v="0"/>
    <n v="0"/>
    <n v="0"/>
    <n v="0"/>
    <n v="0"/>
    <n v="0"/>
    <s v="Reserva importada do Sistema TMS. OS: 24909"/>
    <s v="Fornecedor não preenchido! (ACC01)"/>
    <x v="1"/>
    <x v="1"/>
    <s v="Campo Fornecedor"/>
    <x v="0"/>
    <s v="Qualidade dos dados"/>
    <s v="KONTIK BUSINESS TRAVEL"/>
    <x v="2"/>
  </r>
  <r>
    <n v="22722078"/>
    <n v="23520439"/>
    <s v="ACC01"/>
    <x v="292"/>
    <d v="2025-08-11T12:35:34"/>
    <x v="0"/>
    <x v="0"/>
    <s v="5G05EH"/>
    <s v="TMS"/>
    <s v="EDMUNDO ANJOS"/>
    <s v="Marcia Fernandes de Sousa"/>
    <s v="Marcia Fernandes de Sousa"/>
    <d v="2025-08-11T11:42:00"/>
    <n v="24942"/>
    <s v="-"/>
    <s v="OFF LINE"/>
    <s v="Cartão de crédito"/>
    <s v="Cartão de crédito"/>
    <x v="1"/>
    <s v="N"/>
    <x v="50"/>
    <s v="Enaex"/>
    <s v="-"/>
    <s v="-"/>
    <s v="-"/>
    <x v="33"/>
    <s v="-"/>
    <x v="246"/>
    <n v="0"/>
    <n v="0"/>
    <n v="0"/>
    <n v="0"/>
    <n v="0"/>
    <n v="0"/>
    <s v="Reserva importada do Sistema TMS. OS: 24942"/>
    <s v="Fornecedor não preenchido! (ACC01)"/>
    <x v="1"/>
    <x v="1"/>
    <s v="Campo Fornecedor"/>
    <x v="0"/>
    <s v="Qualidade dos dados"/>
    <s v="KONTIK BUSINESS TRAVEL"/>
    <x v="2"/>
  </r>
  <r>
    <n v="22722079"/>
    <n v="23520440"/>
    <s v="ACC01"/>
    <x v="293"/>
    <d v="2025-08-11T12:35:35"/>
    <x v="0"/>
    <x v="0"/>
    <s v="5GAGDH"/>
    <s v="TMS"/>
    <s v="DENILSON PONTES"/>
    <s v="Marcia Fernandes de Sousa"/>
    <s v="Marcia Fernandes de Sousa"/>
    <d v="2025-08-11T11:46:00"/>
    <n v="24941"/>
    <s v="-"/>
    <s v="OFF LINE"/>
    <s v="Cartão de crédito"/>
    <s v="Cartão de crédito"/>
    <x v="1"/>
    <s v="N"/>
    <x v="50"/>
    <s v="Enaex"/>
    <s v="-"/>
    <s v="-"/>
    <s v="-"/>
    <x v="33"/>
    <s v="-"/>
    <x v="246"/>
    <n v="0"/>
    <n v="0"/>
    <n v="0"/>
    <n v="0"/>
    <n v="0"/>
    <n v="0"/>
    <s v="Reserva importada do Sistema TMS. OS: 24941"/>
    <s v="Fornecedor não preenchido! (ACC01)"/>
    <x v="1"/>
    <x v="1"/>
    <s v="Campo Fornecedor"/>
    <x v="0"/>
    <s v="Qualidade dos dados"/>
    <s v="KONTIK BUSINESS TRAVEL"/>
    <x v="2"/>
  </r>
  <r>
    <n v="22649917"/>
    <n v="23459507"/>
    <s v="ACC01"/>
    <x v="294"/>
    <d v="2025-07-30T10:01:14"/>
    <x v="2"/>
    <x v="4"/>
    <s v="5FS8LZ"/>
    <s v="LEMONTECH"/>
    <s v="BANNI/MAICON"/>
    <s v="Fernando Augusto Santiago da Silva"/>
    <s v="Fernando Augusto Santiago da Silva"/>
    <d v="2025-07-17T14:28:00"/>
    <n v="17075340"/>
    <s v="-"/>
    <s v="OFF LINE"/>
    <s v="Invoice"/>
    <s v="Faturado"/>
    <x v="2"/>
    <s v="N"/>
    <x v="51"/>
    <s v="Biolab Centro Administrativo - Escritorio"/>
    <s v="-"/>
    <s v="-"/>
    <s v="-"/>
    <x v="34"/>
    <s v="-"/>
    <x v="231"/>
    <n v="0"/>
    <n v="0"/>
    <n v="0"/>
    <n v="0"/>
    <n v="0"/>
    <n v="0"/>
    <s v="Reserva importada do Sistema Lemontech. Solicitação: 17075340"/>
    <s v="Fornecedor não preenchido! (ACC01)"/>
    <x v="6"/>
    <x v="1"/>
    <s v="Campo Fornecedor"/>
    <x v="0"/>
    <s v="Qualidade dos dados"/>
    <s v="KONTIK BUSINESS TRAVEL"/>
    <x v="2"/>
  </r>
  <r>
    <n v="22643645"/>
    <n v="23453915"/>
    <s v="ACC01"/>
    <x v="295"/>
    <d v="2025-07-29T09:01:20"/>
    <x v="2"/>
    <x v="4"/>
    <s v="5FZLHB"/>
    <s v="LEMONTECH"/>
    <s v="BANNI/MAICON"/>
    <s v="Fernando Augusto Santiago da Silva"/>
    <s v="Fernando Augusto Santiago da Silva"/>
    <d v="2025-07-21T14:05:00"/>
    <n v="17075013"/>
    <s v="-"/>
    <s v="OFF LINE"/>
    <s v="Invoice"/>
    <s v="Faturado"/>
    <x v="2"/>
    <s v="N"/>
    <x v="51"/>
    <s v="Biolab Centro Administrativo - Escritorio"/>
    <s v="-"/>
    <s v="-"/>
    <s v="-"/>
    <x v="34"/>
    <s v="-"/>
    <x v="247"/>
    <n v="0"/>
    <n v="0"/>
    <n v="0"/>
    <n v="0"/>
    <n v="0"/>
    <n v="0"/>
    <s v="Reserva importada do Sistema Lemontech. Solicitação: 17075013"/>
    <s v="Fornecedor não preenchido! (ACC01)"/>
    <x v="6"/>
    <x v="1"/>
    <s v="Campo Fornecedor"/>
    <x v="0"/>
    <s v="Qualidade dos dados"/>
    <s v="KONTIK BUSINESS TRAVEL"/>
    <x v="2"/>
  </r>
  <r>
    <n v="22643646"/>
    <n v="23453916"/>
    <s v="ACC01"/>
    <x v="296"/>
    <d v="2025-07-29T09:01:20"/>
    <x v="2"/>
    <x v="4"/>
    <s v="5FXL60"/>
    <s v="LEMONTECH"/>
    <s v="BANNI/MAICON"/>
    <s v="Fernando Augusto Santiago da Silva"/>
    <s v="Fernando Augusto Santiago da Silva"/>
    <d v="2025-07-17T14:33:00"/>
    <n v="17075260"/>
    <s v="-"/>
    <s v="OFF LINE"/>
    <s v="Invoice"/>
    <s v="Faturado"/>
    <x v="2"/>
    <s v="N"/>
    <x v="51"/>
    <s v="Biolab Centro Administrativo - Escritorio"/>
    <s v="-"/>
    <s v="-"/>
    <s v="-"/>
    <x v="34"/>
    <s v="-"/>
    <x v="231"/>
    <n v="0"/>
    <n v="0"/>
    <n v="0"/>
    <n v="0"/>
    <n v="0"/>
    <n v="0"/>
    <s v="Reserva importada do Sistema Lemontech. Solicitação: 17075260"/>
    <s v="Fornecedor não preenchido! (ACC01)"/>
    <x v="6"/>
    <x v="1"/>
    <s v="Campo Fornecedor"/>
    <x v="0"/>
    <s v="Qualidade dos dados"/>
    <s v="KONTIK BUSINESS TRAVEL"/>
    <x v="2"/>
  </r>
  <r>
    <n v="22643647"/>
    <n v="23453917"/>
    <s v="ACC01"/>
    <x v="297"/>
    <d v="2025-07-29T09:01:21"/>
    <x v="2"/>
    <x v="4"/>
    <s v="5FD9HB"/>
    <s v="LEMONTECH"/>
    <s v="BANNI/MAICON"/>
    <s v="Fernando Augusto Santiago da Silva"/>
    <s v="Fernando Augusto Santiago da Silva"/>
    <d v="2025-07-17T14:31:00"/>
    <n v="17075278"/>
    <s v="-"/>
    <s v="OFF LINE"/>
    <s v="Invoice"/>
    <s v="Faturado"/>
    <x v="2"/>
    <s v="N"/>
    <x v="51"/>
    <s v="Biolab Centro Administrativo - Escritorio"/>
    <s v="-"/>
    <s v="-"/>
    <s v="-"/>
    <x v="34"/>
    <s v="-"/>
    <x v="248"/>
    <n v="0"/>
    <n v="0"/>
    <n v="0"/>
    <n v="0"/>
    <n v="0"/>
    <n v="0"/>
    <s v="Reserva importada do Sistema Lemontech. Solicitação: 17075278"/>
    <s v="Fornecedor não preenchido! (ACC01)"/>
    <x v="6"/>
    <x v="1"/>
    <s v="Campo Fornecedor"/>
    <x v="0"/>
    <s v="Qualidade dos dados"/>
    <s v="KONTIK BUSINESS TRAVEL"/>
    <x v="2"/>
  </r>
  <r>
    <n v="22656876"/>
    <n v="23465756"/>
    <s v="ACC01"/>
    <x v="298"/>
    <d v="2025-07-31T10:00:50"/>
    <x v="2"/>
    <x v="4"/>
    <s v="5F5FTE"/>
    <s v="LEMONTECH"/>
    <s v="NAKANO/RICARDO"/>
    <s v="Fernando Augusto Santiago da Silva"/>
    <s v="Fernando Augusto Santiago da Silva"/>
    <d v="2025-07-16T15:08:00"/>
    <n v="17054255"/>
    <s v="-"/>
    <s v="OFF LINE"/>
    <s v="Invoice"/>
    <s v="Faturado"/>
    <x v="2"/>
    <s v="N"/>
    <x v="51"/>
    <s v="Biolab Centro Administrativo - Escritorio"/>
    <s v="-"/>
    <s v="-"/>
    <s v="-"/>
    <x v="34"/>
    <s v="-"/>
    <x v="249"/>
    <n v="0"/>
    <n v="0"/>
    <n v="0"/>
    <n v="0"/>
    <n v="0"/>
    <n v="0"/>
    <s v="Reserva importada do Sistema Lemontech. Solicitação: 17054255"/>
    <s v="Fornecedor não preenchido! (ACC01)"/>
    <x v="6"/>
    <x v="1"/>
    <s v="Campo Fornecedor"/>
    <x v="0"/>
    <s v="Qualidade dos dados"/>
    <s v="KONTIK BUSINESS TRAVEL"/>
    <x v="2"/>
  </r>
  <r>
    <n v="22656877"/>
    <n v="23465757"/>
    <s v="ACC01"/>
    <x v="299"/>
    <d v="2025-07-31T10:00:50"/>
    <x v="2"/>
    <x v="4"/>
    <s v="5FHVGC"/>
    <s v="LEMONTECH"/>
    <s v="BANNI/MAICON"/>
    <s v="Fernando Augusto Santiago da Silva"/>
    <s v="Fernando Augusto Santiago da Silva"/>
    <d v="2025-07-16T15:25:00"/>
    <n v="17054289"/>
    <s v="-"/>
    <s v="OFF LINE"/>
    <s v="Invoice"/>
    <s v="Faturado"/>
    <x v="2"/>
    <s v="N"/>
    <x v="51"/>
    <s v="Biolab Centro Administrativo - Escritorio"/>
    <s v="-"/>
    <s v="-"/>
    <s v="-"/>
    <x v="34"/>
    <s v="-"/>
    <x v="250"/>
    <n v="0"/>
    <n v="0"/>
    <n v="0"/>
    <n v="0"/>
    <n v="0"/>
    <n v="0"/>
    <s v="Reserva importada do Sistema Lemontech. Solicitação: 17054289"/>
    <s v="Fornecedor não preenchido! (ACC01)"/>
    <x v="6"/>
    <x v="1"/>
    <s v="Campo Fornecedor"/>
    <x v="0"/>
    <s v="Qualidade dos dados"/>
    <s v="KONTIK BUSINESS TRAVEL"/>
    <x v="2"/>
  </r>
  <r>
    <n v="22656878"/>
    <n v="23465758"/>
    <s v="ACC01"/>
    <x v="300"/>
    <d v="2025-07-31T10:00:50"/>
    <x v="2"/>
    <x v="4"/>
    <s v="5F7V5C"/>
    <s v="LEMONTECH"/>
    <s v="NAKANO/RICARDO"/>
    <s v="Fernando Augusto Santiago da Silva"/>
    <s v="Fernando Augusto Santiago da Silva"/>
    <d v="2025-07-16T15:11:00"/>
    <n v="17054303"/>
    <s v="-"/>
    <s v="OFF LINE"/>
    <s v="Invoice"/>
    <s v="Faturado"/>
    <x v="2"/>
    <s v="N"/>
    <x v="51"/>
    <s v="Biolab Centro Administrativo - Escritorio"/>
    <s v="-"/>
    <s v="-"/>
    <s v="-"/>
    <x v="34"/>
    <s v="-"/>
    <x v="249"/>
    <n v="0"/>
    <n v="0"/>
    <n v="0"/>
    <n v="0"/>
    <n v="0"/>
    <n v="0"/>
    <s v="Reserva importada do Sistema Lemontech. Solicitação: 17054303"/>
    <s v="Fornecedor não preenchido! (ACC01)"/>
    <x v="6"/>
    <x v="1"/>
    <s v="Campo Fornecedor"/>
    <x v="0"/>
    <s v="Qualidade dos dados"/>
    <s v="KONTIK BUSINESS TRAVEL"/>
    <x v="2"/>
  </r>
  <r>
    <n v="22656879"/>
    <n v="23465759"/>
    <s v="ACC01"/>
    <x v="301"/>
    <d v="2025-07-31T10:00:51"/>
    <x v="2"/>
    <x v="4"/>
    <s v="5F8VGD"/>
    <s v="LEMONTECH"/>
    <s v="NAKANO/RICARDO"/>
    <s v="Fernando Augusto Santiago da Silva"/>
    <s v="Fernando Augusto Santiago da Silva"/>
    <d v="2025-07-16T15:18:00"/>
    <n v="17054438"/>
    <s v="-"/>
    <s v="OFF LINE"/>
    <s v="Invoice"/>
    <s v="Faturado"/>
    <x v="2"/>
    <s v="N"/>
    <x v="51"/>
    <s v="Biolab Centro Administrativo - Escritorio"/>
    <s v="-"/>
    <s v="-"/>
    <s v="-"/>
    <x v="34"/>
    <s v="-"/>
    <x v="249"/>
    <n v="0"/>
    <n v="0"/>
    <n v="0"/>
    <n v="0"/>
    <n v="0"/>
    <n v="0"/>
    <s v="Reserva importada do Sistema Lemontech. Solicitação: 17054438"/>
    <s v="Fornecedor não preenchido! (ACC01)"/>
    <x v="6"/>
    <x v="1"/>
    <s v="Campo Fornecedor"/>
    <x v="0"/>
    <s v="Qualidade dos dados"/>
    <s v="KONTIK BUSINESS TRAVEL"/>
    <x v="2"/>
  </r>
  <r>
    <n v="22656880"/>
    <n v="23465760"/>
    <s v="ACC01"/>
    <x v="302"/>
    <d v="2025-07-31T10:00:51"/>
    <x v="2"/>
    <x v="4"/>
    <s v="5F9FTD"/>
    <s v="LEMONTECH"/>
    <s v="BANNI/MAICON"/>
    <s v="Fernando Augusto Santiago da Silva"/>
    <s v="Fernando Augusto Santiago da Silva"/>
    <d v="2025-07-16T15:27:00"/>
    <n v="17054452"/>
    <s v="-"/>
    <s v="OFF LINE"/>
    <s v="Invoice"/>
    <s v="Faturado"/>
    <x v="2"/>
    <s v="N"/>
    <x v="51"/>
    <s v="Biolab Centro Administrativo - Escritorio"/>
    <s v="-"/>
    <s v="-"/>
    <s v="-"/>
    <x v="34"/>
    <s v="-"/>
    <x v="250"/>
    <n v="0"/>
    <n v="0"/>
    <n v="0"/>
    <n v="0"/>
    <n v="0"/>
    <n v="0"/>
    <s v="Reserva importada do Sistema Lemontech. Solicitação: 17054452"/>
    <s v="Fornecedor não preenchido! (ACC01)"/>
    <x v="6"/>
    <x v="1"/>
    <s v="Campo Fornecedor"/>
    <x v="0"/>
    <s v="Qualidade dos dados"/>
    <s v="KONTIK BUSINESS TRAVEL"/>
    <x v="2"/>
  </r>
  <r>
    <n v="22656881"/>
    <n v="23465761"/>
    <s v="ACC01"/>
    <x v="302"/>
    <d v="2025-07-31T10:00:52"/>
    <x v="2"/>
    <x v="4"/>
    <s v="5F0GGD"/>
    <s v="LEMONTECH"/>
    <s v="NAKANO/RICARDO"/>
    <s v="Fernando Augusto Santiago da Silva"/>
    <s v="Fernando Augusto Santiago da Silva"/>
    <d v="2025-07-16T15:10:00"/>
    <n v="17064048"/>
    <s v="-"/>
    <s v="OFF LINE"/>
    <s v="Invoice"/>
    <s v="Faturado"/>
    <x v="2"/>
    <s v="N"/>
    <x v="51"/>
    <s v="Biolab Centro Administrativo - Escritorio"/>
    <s v="-"/>
    <s v="-"/>
    <s v="-"/>
    <x v="34"/>
    <s v="-"/>
    <x v="249"/>
    <n v="0"/>
    <n v="0"/>
    <n v="0"/>
    <n v="0"/>
    <n v="0"/>
    <n v="0"/>
    <s v="Reserva importada do Sistema Lemontech. Solicitação: 17064048"/>
    <s v="Fornecedor não preenchido! (ACC01)"/>
    <x v="6"/>
    <x v="1"/>
    <s v="Campo Fornecedor"/>
    <x v="0"/>
    <s v="Qualidade dos dados"/>
    <s v="KONTIK BUSINESS TRAVEL"/>
    <x v="2"/>
  </r>
  <r>
    <n v="22656882"/>
    <n v="23465762"/>
    <s v="ACC01"/>
    <x v="303"/>
    <d v="2025-07-31T10:06:04"/>
    <x v="2"/>
    <x v="4"/>
    <s v="5FQG5C"/>
    <s v="LEMONTECH"/>
    <s v="BANNI/MAICON"/>
    <s v="Fernando Augusto Santiago da Silva"/>
    <s v="Fernando Augusto Santiago da Silva"/>
    <d v="2025-07-28T11:12:00"/>
    <n v="17075499"/>
    <s v="-"/>
    <s v="OFF LINE"/>
    <s v="Invoice"/>
    <s v="Faturado"/>
    <x v="2"/>
    <s v="N"/>
    <x v="51"/>
    <s v="Biolab Centro Administrativo - Escritorio"/>
    <s v="-"/>
    <s v="-"/>
    <s v="-"/>
    <x v="34"/>
    <s v="-"/>
    <x v="231"/>
    <n v="0"/>
    <n v="0"/>
    <n v="0"/>
    <n v="0"/>
    <n v="0"/>
    <n v="0"/>
    <s v="Reserva importada do Sistema Lemontech. Solicitação: 17075499"/>
    <s v="Fornecedor não preenchido! (ACC01)"/>
    <x v="6"/>
    <x v="1"/>
    <s v="Campo Fornecedor"/>
    <x v="0"/>
    <s v="Qualidade dos dados"/>
    <s v="KONTIK BUSINESS TRAVEL"/>
    <x v="2"/>
  </r>
  <r>
    <n v="22619685"/>
    <n v="23435117"/>
    <s v="ACC01"/>
    <x v="304"/>
    <d v="2025-07-24T15:00:45"/>
    <x v="4"/>
    <x v="5"/>
    <s v="5EVMYH"/>
    <s v="LEMONTECH"/>
    <s v="NAKANO/RICARDO"/>
    <s v="Fernando Augusto Santiago da Silva"/>
    <s v="Fernando Augusto Santiago da Silva"/>
    <d v="2025-07-16T15:15:00"/>
    <n v="17054223"/>
    <s v="-"/>
    <s v="OFF LINE"/>
    <s v="Invoice"/>
    <s v="Faturado"/>
    <x v="2"/>
    <s v="N"/>
    <x v="51"/>
    <s v="Biolab Centro Administrativo - Escritorio"/>
    <s v="-"/>
    <s v="-"/>
    <s v="-"/>
    <x v="34"/>
    <s v="-"/>
    <x v="249"/>
    <n v="0"/>
    <n v="0"/>
    <n v="0"/>
    <n v="0"/>
    <n v="0"/>
    <n v="0"/>
    <s v="Reserva importada do Sistema Lemontech. Solicitação: 17054223"/>
    <s v="Fornecedor não preenchido! (ACC01)"/>
    <x v="6"/>
    <x v="1"/>
    <s v="Campo Fornecedor"/>
    <x v="0"/>
    <s v="Qualidade dos dados"/>
    <s v="KONTIK BUSINESS TRAVEL"/>
    <x v="2"/>
  </r>
  <r>
    <n v="22638329"/>
    <n v="23449380"/>
    <s v="ACC01"/>
    <x v="305"/>
    <d v="2025-07-28T14:01:06"/>
    <x v="4"/>
    <x v="5"/>
    <s v="5EJW5O"/>
    <s v="LEMONTECH"/>
    <s v="BANNI/MAICON"/>
    <s v="Fernando Augusto Santiago da Silva"/>
    <s v="Fernando Augusto Santiago da Silva"/>
    <d v="2025-07-16T15:23:00"/>
    <n v="17051581"/>
    <s v="-"/>
    <s v="OFF LINE"/>
    <s v="Invoice"/>
    <s v="Faturado"/>
    <x v="2"/>
    <s v="N"/>
    <x v="51"/>
    <s v="Biolab Centro Administrativo - Escritorio"/>
    <s v="-"/>
    <s v="-"/>
    <s v="-"/>
    <x v="34"/>
    <s v="-"/>
    <x v="231"/>
    <n v="0"/>
    <n v="0"/>
    <n v="0"/>
    <n v="0"/>
    <n v="0"/>
    <n v="0"/>
    <s v="Reserva importada do Sistema Lemontech. Solicitação: 17051581"/>
    <s v="Fornecedor não preenchido! (ACC01)"/>
    <x v="6"/>
    <x v="1"/>
    <s v="Campo Fornecedor"/>
    <x v="0"/>
    <s v="Qualidade dos dados"/>
    <s v="KONTIK BUSINESS TRAVEL"/>
    <x v="2"/>
  </r>
  <r>
    <n v="22638330"/>
    <n v="23449381"/>
    <s v="ACC01"/>
    <x v="306"/>
    <d v="2025-07-28T14:01:07"/>
    <x v="4"/>
    <x v="5"/>
    <s v="5EISTL"/>
    <s v="LEMONTECH"/>
    <s v="BANNI/MAICON"/>
    <s v="Fernando Augusto Santiago da Silva"/>
    <s v="Fernando Augusto Santiago da Silva"/>
    <d v="2025-07-16T15:24:00"/>
    <n v="17051581"/>
    <s v="-"/>
    <s v="OFF LINE"/>
    <s v="Invoice"/>
    <s v="Faturado"/>
    <x v="2"/>
    <s v="N"/>
    <x v="51"/>
    <s v="Biolab Centro Administrativo - Escritorio"/>
    <s v="-"/>
    <s v="-"/>
    <s v="-"/>
    <x v="34"/>
    <s v="-"/>
    <x v="231"/>
    <n v="0"/>
    <n v="0"/>
    <n v="0"/>
    <n v="0"/>
    <n v="0"/>
    <n v="0"/>
    <s v="Reserva importada do Sistema Lemontech. Solicitação: 17051581"/>
    <s v="Fornecedor não preenchido! (ACC01)"/>
    <x v="6"/>
    <x v="1"/>
    <s v="Campo Fornecedor"/>
    <x v="0"/>
    <s v="Qualidade dos dados"/>
    <s v="KONTIK BUSINESS TRAVEL"/>
    <x v="2"/>
  </r>
  <r>
    <n v="22638331"/>
    <n v="23449382"/>
    <s v="ACC01"/>
    <x v="307"/>
    <d v="2025-07-28T14:01:08"/>
    <x v="4"/>
    <x v="5"/>
    <s v="5ENWGO"/>
    <s v="LEMONTECH"/>
    <s v="BANNI/MAICON"/>
    <s v="Fernando Augusto Santiago da Silva"/>
    <s v="Fernando Augusto Santiago da Silva"/>
    <d v="2025-07-21T14:06:00"/>
    <n v="17075042"/>
    <s v="-"/>
    <s v="OFF LINE"/>
    <s v="Invoice"/>
    <s v="Faturado"/>
    <x v="2"/>
    <s v="N"/>
    <x v="51"/>
    <s v="Biolab Centro Administrativo - Escritorio"/>
    <s v="-"/>
    <s v="-"/>
    <s v="-"/>
    <x v="34"/>
    <s v="-"/>
    <x v="251"/>
    <n v="0"/>
    <n v="0"/>
    <n v="0"/>
    <n v="0"/>
    <n v="0"/>
    <n v="0"/>
    <s v="Reserva importada do Sistema Lemontech. Solicitação: 17075042"/>
    <s v="Fornecedor não preenchido! (ACC01)"/>
    <x v="6"/>
    <x v="1"/>
    <s v="Campo Fornecedor"/>
    <x v="0"/>
    <s v="Qualidade dos dados"/>
    <s v="KONTIK BUSINESS TRAVEL"/>
    <x v="2"/>
  </r>
  <r>
    <n v="22638332"/>
    <n v="23449383"/>
    <s v="ACC01"/>
    <x v="308"/>
    <d v="2025-07-28T14:01:08"/>
    <x v="4"/>
    <x v="5"/>
    <s v="5E0ET9"/>
    <s v="LEMONTECH"/>
    <s v="CAMPOS MUSSI/FILIPE"/>
    <s v="Fernando Augusto Santiago da Silva"/>
    <s v="Fernando Augusto Santiago da Silva"/>
    <d v="2025-07-21T14:06:00"/>
    <n v="17075092"/>
    <s v="-"/>
    <s v="OFF LINE"/>
    <s v="Invoice"/>
    <s v="Faturado"/>
    <x v="2"/>
    <s v="N"/>
    <x v="51"/>
    <s v="Biolab Centro Administrativo - Escritorio"/>
    <s v="-"/>
    <s v="-"/>
    <s v="-"/>
    <x v="34"/>
    <s v="-"/>
    <x v="247"/>
    <n v="0"/>
    <n v="0"/>
    <n v="0"/>
    <n v="0"/>
    <n v="0"/>
    <n v="0"/>
    <s v="Reserva importada do Sistema Lemontech. Solicitação: 17075092"/>
    <s v="Fornecedor não preenchido! (ACC01)"/>
    <x v="6"/>
    <x v="1"/>
    <s v="Campo Fornecedor"/>
    <x v="0"/>
    <s v="Qualidade dos dados"/>
    <s v="KONTIK BUSINESS TRAVEL"/>
    <x v="2"/>
  </r>
  <r>
    <n v="22638333"/>
    <n v="23449384"/>
    <s v="ACC01"/>
    <x v="309"/>
    <d v="2025-07-28T14:01:08"/>
    <x v="4"/>
    <x v="5"/>
    <s v="5E1DGN"/>
    <s v="LEMONTECH"/>
    <s v="CAMPOS MUSSI/FILIPE"/>
    <s v="Fernando Augusto Santiago da Silva"/>
    <s v="Fernando Augusto Santiago da Silva"/>
    <d v="2025-07-17T14:40:00"/>
    <n v="17075165"/>
    <s v="-"/>
    <s v="OFF LINE"/>
    <s v="Invoice"/>
    <s v="Faturado"/>
    <x v="2"/>
    <s v="N"/>
    <x v="51"/>
    <s v="Biolab Centro Administrativo - Escritorio"/>
    <s v="-"/>
    <s v="-"/>
    <s v="-"/>
    <x v="34"/>
    <s v="-"/>
    <x v="248"/>
    <n v="0"/>
    <n v="0"/>
    <n v="0"/>
    <n v="0"/>
    <n v="0"/>
    <n v="0"/>
    <s v="Reserva importada do Sistema Lemontech. Solicitação: 17075165"/>
    <s v="Fornecedor não preenchido! (ACC01)"/>
    <x v="6"/>
    <x v="1"/>
    <s v="Campo Fornecedor"/>
    <x v="0"/>
    <s v="Qualidade dos dados"/>
    <s v="KONTIK BUSINESS TRAVEL"/>
    <x v="2"/>
  </r>
  <r>
    <n v="22638334"/>
    <n v="23449385"/>
    <s v="ACC01"/>
    <x v="310"/>
    <d v="2025-07-28T14:01:09"/>
    <x v="4"/>
    <x v="5"/>
    <s v="5EWD5O"/>
    <s v="LEMONTECH"/>
    <s v="CAMPOS MUSSI/FILIPE"/>
    <s v="Fernando Augusto Santiago da Silva"/>
    <s v="Fernando Augusto Santiago da Silva"/>
    <d v="2025-07-17T14:39:00"/>
    <n v="17075193"/>
    <s v="-"/>
    <s v="OFF LINE"/>
    <s v="Invoice"/>
    <s v="Faturado"/>
    <x v="2"/>
    <s v="N"/>
    <x v="51"/>
    <s v="Biolab Centro Administrativo - Escritorio"/>
    <s v="-"/>
    <s v="-"/>
    <s v="-"/>
    <x v="34"/>
    <s v="-"/>
    <x v="248"/>
    <n v="0"/>
    <n v="0"/>
    <n v="0"/>
    <n v="0"/>
    <n v="0"/>
    <n v="0"/>
    <s v="Reserva importada do Sistema Lemontech. Solicitação: 17075193"/>
    <s v="Fornecedor não preenchido! (ACC01)"/>
    <x v="6"/>
    <x v="1"/>
    <s v="Campo Fornecedor"/>
    <x v="0"/>
    <s v="Qualidade dos dados"/>
    <s v="KONTIK BUSINESS TRAVEL"/>
    <x v="2"/>
  </r>
  <r>
    <n v="22638335"/>
    <n v="23449386"/>
    <s v="ACC01"/>
    <x v="311"/>
    <d v="2025-07-28T14:01:09"/>
    <x v="4"/>
    <x v="5"/>
    <s v="5E33GO"/>
    <s v="LEMONTECH"/>
    <s v="CAMPOS MUSSI/FILIPE"/>
    <s v="Fernando Augusto Santiago da Silva"/>
    <s v="Fernando Augusto Santiago da Silva"/>
    <d v="2025-07-17T14:30:00"/>
    <n v="17075303"/>
    <s v="-"/>
    <s v="OFF LINE"/>
    <s v="Invoice"/>
    <s v="Faturado"/>
    <x v="2"/>
    <s v="N"/>
    <x v="51"/>
    <s v="Biolab Centro Administrativo - Escritorio"/>
    <s v="-"/>
    <s v="-"/>
    <s v="-"/>
    <x v="34"/>
    <s v="-"/>
    <x v="231"/>
    <n v="0"/>
    <n v="0"/>
    <n v="0"/>
    <n v="0"/>
    <n v="0"/>
    <n v="0"/>
    <s v="Reserva importada do Sistema Lemontech. Solicitação: 17075303"/>
    <s v="Fornecedor não preenchido! (ACC01)"/>
    <x v="6"/>
    <x v="1"/>
    <s v="Campo Fornecedor"/>
    <x v="0"/>
    <s v="Qualidade dos dados"/>
    <s v="KONTIK BUSINESS TRAVEL"/>
    <x v="2"/>
  </r>
  <r>
    <n v="22638336"/>
    <n v="23449387"/>
    <s v="ACC01"/>
    <x v="312"/>
    <d v="2025-07-28T14:01:09"/>
    <x v="4"/>
    <x v="5"/>
    <s v="5EFETN"/>
    <s v="LEMONTECH"/>
    <s v="BANNI/MAICON"/>
    <s v="Fernando Augusto Santiago da Silva"/>
    <s v="Fernando Augusto Santiago da Silva"/>
    <d v="2025-07-17T14:27:00"/>
    <n v="17075441"/>
    <s v="-"/>
    <s v="OFF LINE"/>
    <s v="Invoice"/>
    <s v="Faturado"/>
    <x v="2"/>
    <s v="N"/>
    <x v="51"/>
    <s v="Biolab Centro Administrativo - Escritorio"/>
    <s v="-"/>
    <s v="-"/>
    <s v="-"/>
    <x v="34"/>
    <s v="-"/>
    <x v="248"/>
    <n v="0"/>
    <n v="0"/>
    <n v="0"/>
    <n v="0"/>
    <n v="0"/>
    <n v="0"/>
    <s v="Reserva importada do Sistema Lemontech. Solicitação: 17075441"/>
    <s v="Fornecedor não preenchido! (ACC01)"/>
    <x v="6"/>
    <x v="1"/>
    <s v="Campo Fornecedor"/>
    <x v="0"/>
    <s v="Qualidade dos dados"/>
    <s v="KONTIK BUSINESS TRAVEL"/>
    <x v="2"/>
  </r>
  <r>
    <n v="22638988"/>
    <n v="23450028"/>
    <s v="ACC01"/>
    <x v="313"/>
    <d v="2025-07-28T16:00:54"/>
    <x v="4"/>
    <x v="5"/>
    <s v="5E5GH9"/>
    <s v="LEMONTECH"/>
    <s v="CAMPOS MUSSI/FILIPE"/>
    <s v="Fernando Augusto Santiago da Silva"/>
    <s v="Fernando Augusto Santiago da Silva"/>
    <d v="2025-07-17T14:25:00"/>
    <n v="17075466"/>
    <s v="-"/>
    <s v="OFF LINE"/>
    <s v="Invoice"/>
    <s v="Faturado"/>
    <x v="2"/>
    <s v="N"/>
    <x v="51"/>
    <s v="Biolab Centro Administrativo - Escritorio"/>
    <s v="-"/>
    <s v="-"/>
    <s v="-"/>
    <x v="34"/>
    <s v="-"/>
    <x v="248"/>
    <n v="0"/>
    <n v="0"/>
    <n v="0"/>
    <n v="0"/>
    <n v="0"/>
    <n v="0"/>
    <s v="Reserva importada do Sistema Lemontech. Solicitação: 17075466"/>
    <s v="Fornecedor não preenchido! (ACC01)"/>
    <x v="6"/>
    <x v="1"/>
    <s v="Campo Fornecedor"/>
    <x v="0"/>
    <s v="Qualidade dos dados"/>
    <s v="KONTIK BUSINESS TRAVEL"/>
    <x v="2"/>
  </r>
  <r>
    <n v="22491919"/>
    <n v="23326323"/>
    <s v="ACC01"/>
    <x v="314"/>
    <d v="2025-07-03T11:42:19"/>
    <x v="6"/>
    <x v="2"/>
    <s v="5B49O8"/>
    <s v="LEMONTECH"/>
    <s v="CASTRO MARQUES/PAULO"/>
    <s v="Fernando Augusto Santiago da Silva"/>
    <s v="Fernando Augusto Santiago da Silva"/>
    <d v="2025-07-01T10:14:00"/>
    <n v="16949647"/>
    <s v="-"/>
    <s v="OFF LINE"/>
    <s v="Invoice"/>
    <s v="Faturado"/>
    <x v="2"/>
    <s v="S"/>
    <x v="51"/>
    <s v="Biolab Centro Administrativo - Escritorio"/>
    <s v="-"/>
    <s v="-"/>
    <s v="-"/>
    <x v="34"/>
    <s v="-"/>
    <x v="19"/>
    <n v="0"/>
    <n v="0"/>
    <n v="0"/>
    <n v="0"/>
    <n v="0"/>
    <n v="0"/>
    <s v="Reserva importada do Sistema Lemontech. Solicitação: 16949647"/>
    <s v="Fornecedor não preenchido! (ACC01)"/>
    <x v="6"/>
    <x v="1"/>
    <s v="Campo Fornecedor"/>
    <x v="0"/>
    <s v="Qualidade dos dados"/>
    <s v="KONTIK BUSINESS TRAVEL"/>
    <x v="2"/>
  </r>
  <r>
    <n v="22573547"/>
    <n v="23397190"/>
    <s v="ACC01"/>
    <x v="315"/>
    <d v="2025-07-16T18:07:08"/>
    <x v="5"/>
    <x v="6"/>
    <s v="5D8Y86"/>
    <s v="LEMONTECH"/>
    <s v="SOUZA MENDES/WANDREA"/>
    <s v="Fernando Augusto Santiago da Silva"/>
    <s v="Fernando Augusto Santiago da Silva"/>
    <d v="2025-07-16T14:23:00"/>
    <n v="17068265"/>
    <s v="-"/>
    <s v="OFF LINE"/>
    <s v="Invoice"/>
    <s v="Faturado"/>
    <x v="2"/>
    <s v="N"/>
    <x v="51"/>
    <s v="Biolab Centro Administrativo - Escritorio"/>
    <s v="-"/>
    <s v="-"/>
    <s v="-"/>
    <x v="34"/>
    <s v="-"/>
    <x v="252"/>
    <n v="0"/>
    <n v="0"/>
    <n v="0"/>
    <n v="0"/>
    <n v="0"/>
    <n v="0"/>
    <s v="Reserva importada do Sistema Lemontech. Solicitação: 17068265"/>
    <s v="Fornecedor não preenchido! (ACC01)"/>
    <x v="6"/>
    <x v="1"/>
    <s v="Campo Fornecedor"/>
    <x v="0"/>
    <s v="Qualidade dos dados"/>
    <s v="KONTIK BUSINESS TRAVEL"/>
    <x v="2"/>
  </r>
  <r>
    <n v="22585625"/>
    <n v="23407310"/>
    <s v="ACC01"/>
    <x v="316"/>
    <d v="2025-07-18T15:06:31"/>
    <x v="5"/>
    <x v="6"/>
    <s v="5DN3I9"/>
    <s v="LEMONTECH"/>
    <s v="AMAZONAS/ROBERTO"/>
    <s v="Fernando Augusto Santiago da Silva"/>
    <s v="Fernando Augusto Santiago da Silva"/>
    <d v="2025-07-17T16:11:00"/>
    <n v="17075997"/>
    <s v="-"/>
    <s v="OFF LINE"/>
    <s v="Invoice"/>
    <s v="Faturado"/>
    <x v="2"/>
    <s v="N"/>
    <x v="51"/>
    <s v="Biolab Centro Administrativo - Escritorio"/>
    <s v="-"/>
    <s v="-"/>
    <s v="-"/>
    <x v="34"/>
    <s v="-"/>
    <x v="253"/>
    <n v="0"/>
    <n v="0"/>
    <n v="0"/>
    <n v="0"/>
    <n v="0"/>
    <n v="0"/>
    <s v="Reserva importada do Sistema Lemontech. Solicitação: 17075997"/>
    <s v="Fornecedor não preenchido! (ACC01)"/>
    <x v="6"/>
    <x v="1"/>
    <s v="Campo Fornecedor"/>
    <x v="0"/>
    <s v="Qualidade dos dados"/>
    <s v="KONTIK BUSINESS TRAVEL"/>
    <x v="2"/>
  </r>
  <r>
    <n v="22585626"/>
    <n v="23407311"/>
    <s v="ACC01"/>
    <x v="317"/>
    <d v="2025-07-18T15:06:31"/>
    <x v="5"/>
    <x v="6"/>
    <s v="5DBRK9"/>
    <s v="LEMONTECH"/>
    <s v="BROSSI PELISSARI/FILIPE"/>
    <s v="Fernando Augusto Santiago da Silva"/>
    <s v="Fernando Augusto Santiago da Silva"/>
    <d v="2025-07-17T16:10:00"/>
    <n v="17075998"/>
    <s v="-"/>
    <s v="OFF LINE"/>
    <s v="Invoice"/>
    <s v="Faturado"/>
    <x v="2"/>
    <s v="N"/>
    <x v="51"/>
    <s v="Biolab Centro Administrativo - Escritorio"/>
    <s v="-"/>
    <s v="-"/>
    <s v="-"/>
    <x v="34"/>
    <s v="-"/>
    <x v="254"/>
    <n v="0"/>
    <n v="0"/>
    <n v="0"/>
    <n v="0"/>
    <n v="0"/>
    <n v="0"/>
    <s v="Reserva importada do Sistema Lemontech. Solicitação: 17075998"/>
    <s v="Fornecedor não preenchido! (ACC01)"/>
    <x v="6"/>
    <x v="1"/>
    <s v="Campo Fornecedor"/>
    <x v="0"/>
    <s v="Qualidade dos dados"/>
    <s v="KONTIK BUSINESS TRAVEL"/>
    <x v="2"/>
  </r>
  <r>
    <n v="22585627"/>
    <n v="23407312"/>
    <s v="ACC01"/>
    <x v="318"/>
    <d v="2025-07-18T15:06:31"/>
    <x v="5"/>
    <x v="6"/>
    <s v="5DQRI9"/>
    <s v="LEMONTECH"/>
    <s v="GUEDES/MARCELO"/>
    <s v="Fernando Augusto Santiago da Silva"/>
    <s v="Fernando Augusto Santiago da Silva"/>
    <d v="2025-07-17T14:52:00"/>
    <n v="17075999"/>
    <s v="-"/>
    <s v="OFF LINE"/>
    <s v="Invoice"/>
    <s v="Faturado"/>
    <x v="2"/>
    <s v="N"/>
    <x v="51"/>
    <s v="Biolab Centro Administrativo - Escritorio"/>
    <s v="-"/>
    <s v="-"/>
    <s v="-"/>
    <x v="34"/>
    <s v="-"/>
    <x v="253"/>
    <n v="0"/>
    <n v="0"/>
    <n v="0"/>
    <n v="0"/>
    <n v="0"/>
    <n v="0"/>
    <s v="Reserva importada do Sistema Lemontech. Solicitação: 17075999"/>
    <s v="Fornecedor não preenchido! (ACC01)"/>
    <x v="6"/>
    <x v="1"/>
    <s v="Campo Fornecedor"/>
    <x v="0"/>
    <s v="Qualidade dos dados"/>
    <s v="KONTIK BUSINESS TRAVEL"/>
    <x v="2"/>
  </r>
  <r>
    <n v="22585628"/>
    <n v="23407313"/>
    <s v="ACC01"/>
    <x v="318"/>
    <d v="2025-07-18T15:06:31"/>
    <x v="5"/>
    <x v="6"/>
    <s v="5DWRIO"/>
    <s v="LEMONTECH"/>
    <s v="PAVAO/LEANDRO"/>
    <s v="Fernando Augusto Santiago da Silva"/>
    <s v="Fernando Augusto Santiago da Silva"/>
    <d v="2025-07-17T14:53:00"/>
    <n v="17076001"/>
    <s v="-"/>
    <s v="OFF LINE"/>
    <s v="Invoice"/>
    <s v="Faturado"/>
    <x v="2"/>
    <s v="N"/>
    <x v="51"/>
    <s v="Biolab Centro Administrativo - Escritorio"/>
    <s v="-"/>
    <s v="-"/>
    <s v="-"/>
    <x v="34"/>
    <s v="-"/>
    <x v="253"/>
    <n v="0"/>
    <n v="0"/>
    <n v="0"/>
    <n v="0"/>
    <n v="0"/>
    <n v="0"/>
    <s v="Reserva importada do Sistema Lemontech. Solicitação: 17076001"/>
    <s v="Fornecedor não preenchido! (ACC01)"/>
    <x v="6"/>
    <x v="1"/>
    <s v="Campo Fornecedor"/>
    <x v="0"/>
    <s v="Qualidade dos dados"/>
    <s v="KONTIK BUSINESS TRAVEL"/>
    <x v="2"/>
  </r>
  <r>
    <n v="22585629"/>
    <n v="23407314"/>
    <s v="ACC01"/>
    <x v="319"/>
    <d v="2025-07-18T15:06:31"/>
    <x v="5"/>
    <x v="6"/>
    <s v="5D3R8L"/>
    <s v="LEMONTECH"/>
    <s v="BRITO/AMANDA"/>
    <s v="Fernando Augusto Santiago da Silva"/>
    <s v="Fernando Augusto Santiago da Silva"/>
    <d v="2025-07-17T14:11:00"/>
    <n v="17077287"/>
    <s v="-"/>
    <s v="OFF LINE"/>
    <s v="Invoice"/>
    <s v="Faturado"/>
    <x v="2"/>
    <s v="N"/>
    <x v="51"/>
    <s v="Biolab Centro Administrativo - Escritorio"/>
    <s v="-"/>
    <s v="-"/>
    <s v="-"/>
    <x v="34"/>
    <s v="-"/>
    <x v="255"/>
    <n v="0"/>
    <n v="0"/>
    <n v="0"/>
    <n v="0"/>
    <n v="0"/>
    <n v="0"/>
    <s v="Reserva importada do Sistema Lemontech. Solicitação: 17077287"/>
    <s v="Fornecedor não preenchido! (ACC01)"/>
    <x v="6"/>
    <x v="1"/>
    <s v="Campo Fornecedor"/>
    <x v="0"/>
    <s v="Qualidade dos dados"/>
    <s v="KONTIK BUSINESS TRAVEL"/>
    <x v="2"/>
  </r>
  <r>
    <n v="22586517"/>
    <n v="23408193"/>
    <s v="ACC01"/>
    <x v="320"/>
    <d v="2025-07-18T16:07:18"/>
    <x v="5"/>
    <x v="6"/>
    <s v="5E25PM"/>
    <s v="LEMONTECH"/>
    <s v="OPPI/EGLE"/>
    <s v="Fernando Augusto Santiago da Silva"/>
    <s v="Fernando Augusto Santiago da Silva"/>
    <d v="2025-07-17T14:49:00"/>
    <n v="17070514"/>
    <s v="-"/>
    <s v="OFF LINE"/>
    <s v="Invoice"/>
    <s v="Faturado"/>
    <x v="2"/>
    <s v="N"/>
    <x v="51"/>
    <s v="Biolab Centro Administrativo - Escritorio"/>
    <s v="-"/>
    <s v="-"/>
    <s v="-"/>
    <x v="34"/>
    <s v="-"/>
    <x v="256"/>
    <n v="0"/>
    <n v="0"/>
    <n v="0"/>
    <n v="0"/>
    <n v="0"/>
    <n v="0"/>
    <s v="Reserva importada do Sistema Lemontech. Solicitação: 17070514"/>
    <s v="Fornecedor não preenchido! (ACC01)"/>
    <x v="6"/>
    <x v="1"/>
    <s v="Campo Fornecedor"/>
    <x v="0"/>
    <s v="Qualidade dos dados"/>
    <s v="KONTIK BUSINESS TRAVEL"/>
    <x v="2"/>
  </r>
  <r>
    <n v="22586518"/>
    <n v="23408194"/>
    <s v="ACC01"/>
    <x v="321"/>
    <d v="2025-07-18T16:07:19"/>
    <x v="5"/>
    <x v="6"/>
    <s v="5EE50B"/>
    <s v="LEMONTECH"/>
    <s v="RANGEL GIOMETTI/ELLEN"/>
    <s v="Fernando Augusto Santiago da Silva"/>
    <s v="Fernando Augusto Santiago da Silva"/>
    <d v="2025-07-17T14:51:00"/>
    <n v="17070561"/>
    <s v="-"/>
    <s v="OFF LINE"/>
    <s v="Invoice"/>
    <s v="Faturado"/>
    <x v="2"/>
    <s v="N"/>
    <x v="51"/>
    <s v="Biolab Centro Administrativo - Escritorio"/>
    <s v="-"/>
    <s v="-"/>
    <s v="-"/>
    <x v="34"/>
    <s v="-"/>
    <x v="256"/>
    <n v="0"/>
    <n v="0"/>
    <n v="0"/>
    <n v="0"/>
    <n v="0"/>
    <n v="0"/>
    <s v="Reserva importada do Sistema Lemontech. Solicitação: 17070561"/>
    <s v="Fornecedor não preenchido! (ACC01)"/>
    <x v="6"/>
    <x v="1"/>
    <s v="Campo Fornecedor"/>
    <x v="0"/>
    <s v="Qualidade dos dados"/>
    <s v="KONTIK BUSINESS TRAVEL"/>
    <x v="2"/>
  </r>
  <r>
    <n v="22607201"/>
    <n v="23424504"/>
    <s v="ACC01"/>
    <x v="322"/>
    <d v="2025-07-22T17:06:03"/>
    <x v="4"/>
    <x v="5"/>
    <s v="5E1SUD"/>
    <s v="LEMONTECH"/>
    <s v="NAKANO/RICARDO"/>
    <s v="Fernando Augusto Santiago da Silva"/>
    <s v="Fernando Augusto Santiago da Silva"/>
    <d v="2025-07-15T11:10:00"/>
    <n v="17050995"/>
    <s v="-"/>
    <s v="OFF LINE"/>
    <s v="Invoice"/>
    <s v="Faturado"/>
    <x v="2"/>
    <s v="N"/>
    <x v="51"/>
    <s v="Biolab Centro Administrativo - Escritorio"/>
    <s v="-"/>
    <s v="-"/>
    <s v="-"/>
    <x v="34"/>
    <s v="-"/>
    <x v="249"/>
    <n v="0"/>
    <n v="0"/>
    <n v="0"/>
    <n v="0"/>
    <n v="0"/>
    <n v="0"/>
    <s v="Reserva importada do Sistema Lemontech. Solicitação: 17050995"/>
    <s v="Fornecedor não preenchido! (ACC01)"/>
    <x v="6"/>
    <x v="1"/>
    <s v="Campo Fornecedor"/>
    <x v="0"/>
    <s v="Qualidade dos dados"/>
    <s v="KONTIK BUSINESS TRAVEL"/>
    <x v="2"/>
  </r>
  <r>
    <n v="22607620"/>
    <n v="23424885"/>
    <s v="ACC01"/>
    <x v="323"/>
    <d v="2025-07-22T18:01:07"/>
    <x v="4"/>
    <x v="5"/>
    <s v="5EE083"/>
    <s v="LEMONTECH"/>
    <s v="NAKANO/RICARDO"/>
    <s v="Fernando Augusto Santiago da Silva"/>
    <s v="Fernando Augusto Santiago da Silva"/>
    <d v="2025-07-16T15:20:00"/>
    <n v="17051665"/>
    <s v="-"/>
    <s v="OFF LINE"/>
    <s v="Invoice"/>
    <s v="Faturado"/>
    <x v="2"/>
    <s v="N"/>
    <x v="51"/>
    <s v="Biolab Centro Administrativo - Escritorio"/>
    <s v="-"/>
    <s v="-"/>
    <s v="-"/>
    <x v="34"/>
    <s v="-"/>
    <x v="257"/>
    <n v="0"/>
    <n v="0"/>
    <n v="0"/>
    <n v="0"/>
    <n v="0"/>
    <n v="0"/>
    <s v="Reserva importada do Sistema Lemontech. Solicitação: 17051665"/>
    <s v="Fornecedor não preenchido! (ACC01)"/>
    <x v="6"/>
    <x v="1"/>
    <s v="Campo Fornecedor"/>
    <x v="0"/>
    <s v="Qualidade dos dados"/>
    <s v="KONTIK BUSINESS TRAVEL"/>
    <x v="2"/>
  </r>
  <r>
    <n v="22607621"/>
    <n v="23424886"/>
    <s v="ACC01"/>
    <x v="324"/>
    <d v="2025-07-22T18:01:09"/>
    <x v="4"/>
    <x v="5"/>
    <s v="5EFMKD"/>
    <s v="LEMONTECH"/>
    <s v="NAKANO/RICARDO"/>
    <s v="Fernando Augusto Santiago da Silva"/>
    <s v="Fernando Augusto Santiago da Silva"/>
    <d v="2025-07-16T15:21:00"/>
    <n v="17051665"/>
    <s v="-"/>
    <s v="OFF LINE"/>
    <s v="Invoice"/>
    <s v="Faturado"/>
    <x v="2"/>
    <s v="N"/>
    <x v="51"/>
    <s v="Biolab Centro Administrativo - Escritorio"/>
    <s v="-"/>
    <s v="-"/>
    <s v="-"/>
    <x v="34"/>
    <s v="-"/>
    <x v="257"/>
    <n v="0"/>
    <n v="0"/>
    <n v="0"/>
    <n v="0"/>
    <n v="0"/>
    <n v="0"/>
    <s v="Reserva importada do Sistema Lemontech. Solicitação: 17051665"/>
    <s v="Fornecedor não preenchido! (ACC01)"/>
    <x v="6"/>
    <x v="1"/>
    <s v="Campo Fornecedor"/>
    <x v="0"/>
    <s v="Qualidade dos dados"/>
    <s v="KONTIK BUSINESS TRAVEL"/>
    <x v="2"/>
  </r>
  <r>
    <n v="22611407"/>
    <n v="23427981"/>
    <s v="ACC01"/>
    <x v="325"/>
    <d v="2025-07-23T10:00:46"/>
    <x v="4"/>
    <x v="5"/>
    <s v="5ERD6V"/>
    <s v="LEMONTECH"/>
    <s v="NAKANO/RICARDO"/>
    <s v="Fernando Augusto Santiago da Silva"/>
    <s v="Fernando Augusto Santiago da Silva"/>
    <d v="2025-07-15T11:07:00"/>
    <n v="17054472"/>
    <s v="-"/>
    <s v="OFF LINE"/>
    <s v="Invoice"/>
    <s v="Faturado"/>
    <x v="2"/>
    <s v="N"/>
    <x v="51"/>
    <s v="Biolab Centro Administrativo - Escritorio"/>
    <s v="-"/>
    <s v="-"/>
    <s v="-"/>
    <x v="34"/>
    <s v="-"/>
    <x v="249"/>
    <n v="0"/>
    <n v="0"/>
    <n v="0"/>
    <n v="0"/>
    <n v="0"/>
    <n v="0"/>
    <s v="Reserva importada do Sistema Lemontech. Solicitação: 17054472"/>
    <s v="Fornecedor não preenchido! (ACC01)"/>
    <x v="6"/>
    <x v="1"/>
    <s v="Campo Fornecedor"/>
    <x v="0"/>
    <s v="Qualidade dos dados"/>
    <s v="KONTIK BUSINESS TRAVEL"/>
    <x v="2"/>
  </r>
  <r>
    <n v="22720859"/>
    <n v="23519278"/>
    <s v="ACC01"/>
    <x v="326"/>
    <d v="2025-08-11T09:01:18"/>
    <x v="0"/>
    <x v="0"/>
    <s v="5GWAP6"/>
    <s v="LEMONTECH"/>
    <s v="OPPI/EGLE"/>
    <s v="Fernando Augusto Santiago da Silva"/>
    <s v="Fernando Augusto Santiago da Silva"/>
    <d v="2025-08-07T17:42:00"/>
    <n v="17203729"/>
    <s v="-"/>
    <s v="OFF LINE"/>
    <s v="Cartão de crédito"/>
    <s v="Cartão de crédito"/>
    <x v="2"/>
    <s v="N"/>
    <x v="51"/>
    <s v="Biolab Centro Administrativo - Escritorio"/>
    <s v="-"/>
    <s v="-"/>
    <s v="-"/>
    <x v="34"/>
    <s v="-"/>
    <x v="258"/>
    <n v="0"/>
    <n v="0"/>
    <n v="0"/>
    <n v="0"/>
    <n v="0"/>
    <n v="0"/>
    <s v="Reserva importada do Sistema Lemontech. Solicitação: 17203729"/>
    <s v="Fornecedor não preenchido! (ACC01)"/>
    <x v="6"/>
    <x v="1"/>
    <s v="Campo Fornecedor"/>
    <x v="0"/>
    <s v="Qualidade dos dados"/>
    <s v="KONTIK BUSINESS TRAVEL"/>
    <x v="2"/>
  </r>
  <r>
    <n v="22720860"/>
    <n v="23519279"/>
    <s v="ACC01"/>
    <x v="327"/>
    <d v="2025-08-11T09:01:19"/>
    <x v="0"/>
    <x v="0"/>
    <s v="5G31MH"/>
    <s v="LEMONTECH"/>
    <s v="RANGEL GIOMETTI/ELLEN"/>
    <s v="Fernando Augusto Santiago da Silva"/>
    <s v="Fernando Augusto Santiago da Silva"/>
    <d v="2025-08-07T17:14:00"/>
    <n v="17211366"/>
    <s v="-"/>
    <s v="OFF LINE"/>
    <s v="Cartão de crédito"/>
    <s v="Cartão de crédito"/>
    <x v="2"/>
    <s v="N"/>
    <x v="51"/>
    <s v="Biolab Centro Administrativo - Escritorio"/>
    <s v="-"/>
    <s v="-"/>
    <s v="-"/>
    <x v="34"/>
    <s v="-"/>
    <x v="259"/>
    <n v="0"/>
    <n v="0"/>
    <n v="0"/>
    <n v="0"/>
    <n v="0"/>
    <n v="0"/>
    <s v="Reserva importada do Sistema Lemontech. Solicitação: 17211366"/>
    <s v="Fornecedor não preenchido! (ACC01)"/>
    <x v="6"/>
    <x v="1"/>
    <s v="Campo Fornecedor"/>
    <x v="0"/>
    <s v="Qualidade dos dados"/>
    <s v="KONTIK BUSINESS TRAVEL"/>
    <x v="2"/>
  </r>
  <r>
    <n v="22677109"/>
    <n v="23481789"/>
    <s v="ACC01"/>
    <x v="328"/>
    <d v="2025-08-04T09:07:13"/>
    <x v="2"/>
    <x v="4"/>
    <s v="5FB41J"/>
    <s v="LEMONTECH"/>
    <s v="TORMEN/JULIA"/>
    <s v="Maria Clara Landeira Mezavila"/>
    <s v="Maria Clara Landeira Mezavila"/>
    <d v="2025-08-04T00:00:00"/>
    <n v="17187934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60"/>
    <n v="0"/>
    <n v="0"/>
    <n v="0"/>
    <n v="0"/>
    <n v="7.25"/>
    <n v="0"/>
    <s v="Reserva importada do Sistema Lemontech. Solicitação: 17187934"/>
    <s v="Fornecedor não preenchido! (ACC01)"/>
    <x v="6"/>
    <x v="1"/>
    <s v="Campo Fornecedor"/>
    <x v="0"/>
    <s v="Qualidade dos dados"/>
    <s v="KONTIK BUSINESS TRAVEL"/>
    <x v="2"/>
  </r>
  <r>
    <n v="22677968"/>
    <n v="23482559"/>
    <s v="ACC01"/>
    <x v="329"/>
    <d v="2025-08-04T12:06:34"/>
    <x v="2"/>
    <x v="4"/>
    <s v="5FHZCU"/>
    <s v="LEMONTECH"/>
    <s v="MARQUES/MELISSA"/>
    <s v="Maria Clara Landeira Mezavila"/>
    <s v="Maria Clara Landeira Mezavila"/>
    <d v="2025-08-04T00:00:00"/>
    <n v="17158893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61"/>
    <n v="0"/>
    <n v="0"/>
    <n v="0"/>
    <n v="0"/>
    <n v="0"/>
    <n v="0"/>
    <s v="Reserva importada do Sistema Lemontech. Solicitação: 17158893"/>
    <s v="Fornecedor não preenchido! (ACC01)"/>
    <x v="6"/>
    <x v="1"/>
    <s v="Campo Fornecedor"/>
    <x v="0"/>
    <s v="Qualidade dos dados"/>
    <s v="KONTIK BUSINESS TRAVEL"/>
    <x v="2"/>
  </r>
  <r>
    <n v="22687453"/>
    <n v="23491112"/>
    <s v="ACC01"/>
    <x v="330"/>
    <d v="2025-08-05T17:01:32"/>
    <x v="1"/>
    <x v="1"/>
    <s v="5FNBJL"/>
    <s v="LEMONTECH"/>
    <s v="CHRISTOFANO/EMERSON"/>
    <s v="Maria Clara Landeira Mezavila"/>
    <s v="Maria Clara Landeira Mezavila"/>
    <d v="2025-08-05T00:00:00"/>
    <n v="17141693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128"/>
    <n v="0"/>
    <n v="0"/>
    <n v="0"/>
    <n v="0"/>
    <n v="0"/>
    <n v="0"/>
    <s v="Reserva importada do Sistema Lemontech. Solicitação: 17141693"/>
    <s v="Fornecedor não preenchido! (ACC01)"/>
    <x v="6"/>
    <x v="1"/>
    <s v="Campo Fornecedor"/>
    <x v="0"/>
    <s v="Qualidade dos dados"/>
    <s v="KONTIK BUSINESS TRAVEL"/>
    <x v="2"/>
  </r>
  <r>
    <n v="22709528"/>
    <n v="23510920"/>
    <s v="ACC01"/>
    <x v="331"/>
    <d v="2025-08-08T17:07:01"/>
    <x v="3"/>
    <x v="3"/>
    <s v="5GR29R"/>
    <s v="LEMONTECH"/>
    <s v="ESPOSITO FILHO/DANIEL"/>
    <s v="Maria Clara Landeira Mezavila"/>
    <s v="Maria Clara Landeira Mezavila"/>
    <d v="2025-08-08T00:00:00"/>
    <n v="17243717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62"/>
    <n v="0"/>
    <n v="0"/>
    <n v="0"/>
    <n v="0"/>
    <n v="15.2"/>
    <n v="0"/>
    <s v="Reserva importada do Sistema Lemontech. Solicitação: 17243717"/>
    <s v="Fornecedor não preenchido! (ACC01)"/>
    <x v="6"/>
    <x v="1"/>
    <s v="Campo Fornecedor"/>
    <x v="0"/>
    <s v="Qualidade dos dados"/>
    <s v="KONTIK BUSINESS TRAVEL"/>
    <x v="2"/>
  </r>
  <r>
    <n v="22721840"/>
    <n v="23520202"/>
    <s v="ACC01"/>
    <x v="332"/>
    <d v="2025-08-11T12:07:32"/>
    <x v="0"/>
    <x v="0"/>
    <s v="5GOXSY"/>
    <s v="LEMONTECH"/>
    <s v="LACERDA DE ALENCAR/SUANA RAYSSA"/>
    <s v="Lemontech"/>
    <s v="Lemontech"/>
    <d v="2025-08-11T00:00:00"/>
    <n v="17255925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63"/>
    <n v="0"/>
    <n v="0"/>
    <n v="0"/>
    <n v="0"/>
    <n v="150"/>
    <n v="0"/>
    <s v="Reserva importada do Sistema Lemontech. Solicitação: 17255925"/>
    <s v="Fornecedor não preenchido! (ACC01)"/>
    <x v="6"/>
    <x v="1"/>
    <s v="Campo Fornecedor"/>
    <x v="0"/>
    <s v="Qualidade dos dados"/>
    <s v="KONTIK BUSINESS TRAVEL"/>
    <x v="2"/>
  </r>
  <r>
    <n v="22692862"/>
    <n v="23495811"/>
    <s v="ACC01"/>
    <x v="333"/>
    <d v="2025-08-06T12:13:37"/>
    <x v="1"/>
    <x v="1"/>
    <s v="5GGDN0"/>
    <s v="LEMONTECH"/>
    <s v="SILVA MOURA/BRUNNO"/>
    <s v="Lemontech"/>
    <s v="Lemontech"/>
    <d v="2025-08-06T00:00:00"/>
    <n v="17223345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64"/>
    <n v="0"/>
    <n v="0"/>
    <n v="0"/>
    <n v="0"/>
    <n v="0"/>
    <n v="0"/>
    <s v="Reserva importada do Sistema Lemontech. Solicitação: 17223345"/>
    <s v="Fornecedor não preenchido! (ACC01)"/>
    <x v="6"/>
    <x v="1"/>
    <s v="Campo Fornecedor"/>
    <x v="0"/>
    <s v="Qualidade dos dados"/>
    <s v="KONTIK BUSINESS TRAVEL"/>
    <x v="2"/>
  </r>
  <r>
    <n v="22679625"/>
    <n v="23484082"/>
    <s v="ACC01"/>
    <x v="334"/>
    <d v="2025-08-04T16:06:51"/>
    <x v="2"/>
    <x v="4"/>
    <s v="5FAOKU"/>
    <s v="LEMONTECH"/>
    <s v="TRASSI/THAIS"/>
    <s v="Lemontech"/>
    <s v="Lemontech"/>
    <d v="2025-08-04T00:00:00"/>
    <n v="17202443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65"/>
    <n v="0"/>
    <n v="0"/>
    <n v="0"/>
    <n v="0"/>
    <n v="180"/>
    <n v="0"/>
    <s v="Reserva importada do Sistema Lemontech. Solicitação: 17202443"/>
    <s v="Fornecedor não preenchido! (ACC01)"/>
    <x v="6"/>
    <x v="1"/>
    <s v="Campo Fornecedor"/>
    <x v="0"/>
    <s v="Qualidade dos dados"/>
    <s v="KONTIK BUSINESS TRAVEL"/>
    <x v="2"/>
  </r>
  <r>
    <n v="22677103"/>
    <n v="23481783"/>
    <s v="ACC01"/>
    <x v="335"/>
    <d v="2025-08-04T09:06:54"/>
    <x v="2"/>
    <x v="4"/>
    <s v="5F5CA7"/>
    <s v="LEMONTECH"/>
    <s v="GOMES/SAULL"/>
    <s v="Lemontech"/>
    <s v="Lemontech"/>
    <d v="2025-07-30T00:00:00"/>
    <n v="17169221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66"/>
    <n v="0"/>
    <n v="0"/>
    <n v="0"/>
    <n v="0"/>
    <n v="0"/>
    <n v="0"/>
    <s v="Reserva importada do Sistema Lemontech. Solicitação: 17169221"/>
    <s v="Fornecedor não preenchido! (ACC01)"/>
    <x v="6"/>
    <x v="1"/>
    <s v="Campo Fornecedor"/>
    <x v="0"/>
    <s v="Qualidade dos dados"/>
    <s v="KONTIK BUSINESS TRAVEL"/>
    <x v="2"/>
  </r>
  <r>
    <n v="22649682"/>
    <n v="23459220"/>
    <s v="ACC01"/>
    <x v="336"/>
    <d v="2025-07-30T09:07:30"/>
    <x v="2"/>
    <x v="4"/>
    <s v="5FJ59A"/>
    <s v="LEMONTECH"/>
    <s v="ZAMBRANO CORREA/LUIS"/>
    <s v="Lemontech"/>
    <s v="Lemontech"/>
    <d v="2025-07-30T00:00:00"/>
    <n v="17165445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88"/>
    <n v="0"/>
    <n v="0"/>
    <n v="0"/>
    <n v="0"/>
    <n v="180"/>
    <n v="0"/>
    <s v="Reserva importada do Sistema Lemontech. Solicitação: 17165445"/>
    <s v="Fornecedor não preenchido! (ACC01)"/>
    <x v="6"/>
    <x v="1"/>
    <s v="Campo Fornecedor"/>
    <x v="0"/>
    <s v="Qualidade dos dados"/>
    <s v="KONTIK BUSINESS TRAVEL"/>
    <x v="2"/>
  </r>
  <r>
    <n v="22659143"/>
    <n v="23467925"/>
    <s v="ACC01"/>
    <x v="337"/>
    <d v="2025-07-31T16:13:12"/>
    <x v="2"/>
    <x v="4"/>
    <s v="5FIUQ4"/>
    <s v="LEMONTECH"/>
    <s v="DA COSTA/ANNIELLY"/>
    <s v="Lemontech"/>
    <s v="Lemontech"/>
    <d v="2025-07-31T00:00:00"/>
    <n v="17180402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67"/>
    <n v="0"/>
    <n v="0"/>
    <n v="0"/>
    <n v="0"/>
    <n v="180"/>
    <n v="0"/>
    <s v="Reserva importada do Sistema Lemontech. Solicitação: 17180402"/>
    <s v="Fornecedor não preenchido! (ACC01)"/>
    <x v="6"/>
    <x v="1"/>
    <s v="Campo Fornecedor"/>
    <x v="0"/>
    <s v="Qualidade dos dados"/>
    <s v="KONTIK BUSINESS TRAVEL"/>
    <x v="2"/>
  </r>
  <r>
    <n v="22659144"/>
    <n v="23467926"/>
    <s v="ACC01"/>
    <x v="338"/>
    <d v="2025-07-31T16:13:13"/>
    <x v="2"/>
    <x v="4"/>
    <s v="5FLJQR"/>
    <s v="LEMONTECH"/>
    <s v="TRASSI/THAIS"/>
    <s v="Lemontech"/>
    <s v="Lemontech"/>
    <d v="2025-07-31T00:00:00"/>
    <n v="17180492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67"/>
    <n v="0"/>
    <n v="0"/>
    <n v="0"/>
    <n v="0"/>
    <n v="180"/>
    <n v="0"/>
    <s v="Reserva importada do Sistema Lemontech. Solicitação: 17180492"/>
    <s v="Fornecedor não preenchido! (ACC01)"/>
    <x v="6"/>
    <x v="1"/>
    <s v="Campo Fornecedor"/>
    <x v="0"/>
    <s v="Qualidade dos dados"/>
    <s v="KONTIK BUSINESS TRAVEL"/>
    <x v="2"/>
  </r>
  <r>
    <n v="22529814"/>
    <n v="23357744"/>
    <s v="ACC01"/>
    <x v="339"/>
    <d v="2025-07-08T11:06:26"/>
    <x v="6"/>
    <x v="2"/>
    <s v="5CBBVY"/>
    <s v="LEMONTECH"/>
    <s v="WAGNER FLESCH/RICARDO"/>
    <s v="Lemontech"/>
    <s v="Lemontech"/>
    <d v="2025-07-07T00:00:00"/>
    <n v="16994702"/>
    <s v="-"/>
    <s v="ON LINE"/>
    <s v="Cartão de crédito"/>
    <s v="Cartão de crédito"/>
    <x v="1"/>
    <s v="N"/>
    <x v="51"/>
    <s v="Biolab Centro Administrativo - Escritorio"/>
    <s v="-"/>
    <s v="Ibis Sao Paulo Ibirapuera"/>
    <s v="-"/>
    <x v="34"/>
    <s v="-"/>
    <x v="268"/>
    <n v="0"/>
    <n v="0"/>
    <n v="0"/>
    <n v="0"/>
    <n v="18.59"/>
    <n v="0"/>
    <s v="Reserva importada do Sistema Lemontech. Solicitação: 16994702"/>
    <s v="Fornecedor não preenchido! (ACC01)"/>
    <x v="6"/>
    <x v="1"/>
    <s v="Campo Fornecedor"/>
    <x v="0"/>
    <s v="Qualidade dos dados"/>
    <s v="KONTIK BUSINESS TRAVEL"/>
    <x v="2"/>
  </r>
  <r>
    <n v="22531721"/>
    <n v="23359539"/>
    <s v="ACC01"/>
    <x v="340"/>
    <d v="2025-07-08T16:08:44"/>
    <x v="6"/>
    <x v="2"/>
    <s v="5CLJ96"/>
    <s v="LEMONTECH"/>
    <s v="SPERLING VIANA/NANCY"/>
    <s v="Lemontech"/>
    <s v="Lemontech"/>
    <d v="2025-07-08T00:00:00"/>
    <n v="17009338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69"/>
    <n v="0"/>
    <n v="0"/>
    <n v="0"/>
    <n v="0"/>
    <n v="0"/>
    <n v="0"/>
    <s v="Reserva importada do Sistema Lemontech. Solicitação: 17009338"/>
    <s v="Fornecedor não preenchido! (ACC01)"/>
    <x v="6"/>
    <x v="1"/>
    <s v="Campo Fornecedor"/>
    <x v="0"/>
    <s v="Qualidade dos dados"/>
    <s v="KONTIK BUSINESS TRAVEL"/>
    <x v="2"/>
  </r>
  <r>
    <n v="22730748"/>
    <n v="23528241"/>
    <s v="ACC01"/>
    <x v="341"/>
    <d v="2025-08-12T16:06:27"/>
    <x v="0"/>
    <x v="0"/>
    <s v="5GFGCI"/>
    <s v="LEMONTECH"/>
    <s v="DE SOUZA/MILENA"/>
    <s v="Lemontech"/>
    <s v="Lemontech"/>
    <d v="2025-08-11T00:00:00"/>
    <n v="17261957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70"/>
    <n v="0"/>
    <n v="0"/>
    <n v="0"/>
    <n v="0"/>
    <n v="71.239999999999995"/>
    <n v="0"/>
    <s v="Reserva importada do Sistema Lemontech. Solicitação: 17261957"/>
    <s v="Fornecedor não preenchido! (ACC01)"/>
    <x v="6"/>
    <x v="1"/>
    <s v="Campo Fornecedor"/>
    <x v="0"/>
    <s v="Qualidade dos dados"/>
    <s v="KONTIK BUSINESS TRAVEL"/>
    <x v="2"/>
  </r>
  <r>
    <n v="22726010"/>
    <n v="23524191"/>
    <s v="ACC01"/>
    <x v="342"/>
    <d v="2025-08-11T21:06:21"/>
    <x v="0"/>
    <x v="0"/>
    <s v="5G3ER7"/>
    <s v="LEMONTECH"/>
    <s v="BARBOSA/RICARDO"/>
    <s v="Lemontech"/>
    <s v="Lemontech"/>
    <d v="2025-08-11T00:00:00"/>
    <n v="17253199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71"/>
    <n v="0"/>
    <n v="0"/>
    <n v="0"/>
    <n v="0"/>
    <n v="0"/>
    <n v="0"/>
    <s v="Reserva importada do Sistema Lemontech. Solicitação: 17253199"/>
    <s v="Fornecedor não preenchido! (ACC01)"/>
    <x v="6"/>
    <x v="1"/>
    <s v="Campo Fornecedor"/>
    <x v="0"/>
    <s v="Qualidade dos dados"/>
    <s v="KONTIK BUSINESS TRAVEL"/>
    <x v="2"/>
  </r>
  <r>
    <n v="22732626"/>
    <n v="23530054"/>
    <s v="ACC01"/>
    <x v="343"/>
    <d v="2025-08-12T19:06:23"/>
    <x v="0"/>
    <x v="0"/>
    <s v="5G88NK"/>
    <s v="LEMONTECH"/>
    <s v="ALPES/YGOR"/>
    <s v="Isabela de Melo da Silva"/>
    <s v="Isabela de Melo da Silva"/>
    <d v="2025-08-12T00:00:00"/>
    <n v="17209500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2"/>
    <n v="0"/>
    <n v="0"/>
    <n v="0"/>
    <n v="0"/>
    <n v="68.849999999999994"/>
    <n v="0"/>
    <s v="Reserva importada do Sistema Lemontech. Solicitação: 17209500"/>
    <s v="Fornecedor não preenchido! (ACC01)"/>
    <x v="6"/>
    <x v="1"/>
    <s v="Campo Fornecedor"/>
    <x v="0"/>
    <s v="Qualidade dos dados"/>
    <s v="KONTIK BUSINESS TRAVEL"/>
    <x v="2"/>
  </r>
  <r>
    <n v="22701252"/>
    <n v="23503438"/>
    <s v="ACC01"/>
    <x v="344"/>
    <d v="2025-08-07T14:07:10"/>
    <x v="1"/>
    <x v="1"/>
    <s v="5G3DMD"/>
    <s v="LEMONTECH"/>
    <s v="BANDEIRA/JOSE"/>
    <s v="Maria Clara Landeira Mezavila"/>
    <s v="Maria Clara Landeira Mezavila"/>
    <d v="2025-08-07T00:00:00"/>
    <n v="17218296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3"/>
    <n v="0"/>
    <n v="0"/>
    <n v="0"/>
    <n v="0"/>
    <n v="0"/>
    <n v="0"/>
    <s v="Reserva importada do Sistema Lemontech. Solicitação: 17218296"/>
    <s v="Fornecedor não preenchido! (ACC01)"/>
    <x v="6"/>
    <x v="1"/>
    <s v="Campo Fornecedor"/>
    <x v="0"/>
    <s v="Qualidade dos dados"/>
    <s v="KONTIK BUSINESS TRAVEL"/>
    <x v="2"/>
  </r>
  <r>
    <n v="22701270"/>
    <n v="23503451"/>
    <s v="ACC01"/>
    <x v="345"/>
    <d v="2025-08-07T14:08:11"/>
    <x v="1"/>
    <x v="1"/>
    <s v="5GJFMC"/>
    <s v="LEMONTECH"/>
    <s v="ANCELMO/KAROLINNE"/>
    <s v="Maria Clara Landeira Mezavila"/>
    <s v="Maria Clara Landeira Mezavila"/>
    <d v="2025-08-07T00:00:00"/>
    <n v="17231543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4"/>
    <n v="0"/>
    <n v="0"/>
    <n v="0"/>
    <n v="0"/>
    <n v="42.75"/>
    <n v="0"/>
    <s v="Reserva importada do Sistema Lemontech. Solicitação: 17231543"/>
    <s v="Fornecedor não preenchido! (ACC01)"/>
    <x v="6"/>
    <x v="1"/>
    <s v="Campo Fornecedor"/>
    <x v="0"/>
    <s v="Qualidade dos dados"/>
    <s v="KONTIK BUSINESS TRAVEL"/>
    <x v="2"/>
  </r>
  <r>
    <n v="22730190"/>
    <n v="23527709"/>
    <s v="ACC01"/>
    <x v="346"/>
    <d v="2025-08-12T14:06:40"/>
    <x v="0"/>
    <x v="0"/>
    <s v="5GSI28"/>
    <s v="LEMONTECH"/>
    <s v="MIELCZAREK JUNIOR/EDSON"/>
    <s v="Maria Clara Landeira Mezavila"/>
    <s v="Maria Clara Landeira Mezavila"/>
    <d v="2025-08-11T17:08:00"/>
    <n v="17258268"/>
    <s v="AGENCIA CENTRO OSASCO"/>
    <s v="OFF LINE"/>
    <s v="Invoice"/>
    <s v="Faturado"/>
    <x v="3"/>
    <s v="N"/>
    <x v="51"/>
    <s v="Biolab Centro Administrativo - Escritorio"/>
    <s v="-"/>
    <s v="-"/>
    <s v="-"/>
    <x v="34"/>
    <s v="-"/>
    <x v="275"/>
    <n v="0"/>
    <n v="0"/>
    <n v="0"/>
    <n v="0"/>
    <n v="0"/>
    <n v="0"/>
    <s v="Reserva importada do Sistema Lemontech. Solicitação: 17258268"/>
    <s v="Fornecedor não preenchido! (ACC01)"/>
    <x v="6"/>
    <x v="1"/>
    <s v="Campo Fornecedor"/>
    <x v="0"/>
    <s v="Qualidade dos dados"/>
    <s v="KONTIK BUSINESS TRAVEL"/>
    <x v="2"/>
  </r>
  <r>
    <n v="22730749"/>
    <n v="23528242"/>
    <s v="ACC01"/>
    <x v="347"/>
    <d v="2025-08-12T16:06:28"/>
    <x v="0"/>
    <x v="0"/>
    <s v="5GTTCI"/>
    <s v="LEMONTECH"/>
    <s v="NEVES/DAIANE"/>
    <s v="Maria Clara Landeira Mezavila"/>
    <s v="Maria Clara Landeira Mezavila"/>
    <d v="2025-08-12T11:34:00"/>
    <n v="17262161"/>
    <s v="MACAPA/AP - AEROPORTO MACAPA II"/>
    <s v="OFF LINE"/>
    <s v="Invoice"/>
    <s v="Faturado"/>
    <x v="3"/>
    <s v="N"/>
    <x v="51"/>
    <s v="Biolab Centro Administrativo - Escritorio"/>
    <s v="-"/>
    <s v="-"/>
    <s v="-"/>
    <x v="34"/>
    <s v="-"/>
    <x v="276"/>
    <n v="0"/>
    <n v="0"/>
    <n v="0"/>
    <n v="0"/>
    <n v="0"/>
    <n v="0"/>
    <s v="Reserva importada do Sistema Lemontech. Solicitação: 17262161"/>
    <s v="Fornecedor não preenchido! (ACC01)"/>
    <x v="6"/>
    <x v="1"/>
    <s v="Campo Fornecedor"/>
    <x v="0"/>
    <s v="Qualidade dos dados"/>
    <s v="KONTIK BUSINESS TRAVEL"/>
    <x v="2"/>
  </r>
  <r>
    <n v="22730743"/>
    <n v="23528236"/>
    <s v="ACC01"/>
    <x v="348"/>
    <d v="2025-08-12T16:06:18"/>
    <x v="0"/>
    <x v="0"/>
    <s v="5G1GC8"/>
    <s v="LEMONTECH"/>
    <s v="AVELAR FINCO/ERIKA"/>
    <s v="Maria Clara Landeira Mezavila"/>
    <s v="Maria Clara Landeira Mezavila"/>
    <d v="2025-08-11T10:32:00"/>
    <n v="17253797"/>
    <s v="BRAGANCA PAULISTA/SP - AG CENTRO"/>
    <s v="OFF LINE"/>
    <s v="Invoice"/>
    <s v="Faturado"/>
    <x v="3"/>
    <s v="N"/>
    <x v="51"/>
    <s v="Biolab Centro Administrativo - Escritorio"/>
    <s v="-"/>
    <s v="-"/>
    <s v="-"/>
    <x v="34"/>
    <s v="-"/>
    <x v="277"/>
    <n v="0"/>
    <n v="0"/>
    <n v="0"/>
    <n v="0"/>
    <n v="0"/>
    <n v="0"/>
    <s v="Reserva importada do Sistema Lemontech. Solicitação: 17253797"/>
    <s v="Fornecedor não preenchido! (ACC01)"/>
    <x v="6"/>
    <x v="1"/>
    <s v="Campo Fornecedor"/>
    <x v="0"/>
    <s v="Qualidade dos dados"/>
    <s v="KONTIK BUSINESS TRAVEL"/>
    <x v="2"/>
  </r>
  <r>
    <n v="22686476"/>
    <n v="23490201"/>
    <s v="ACC01"/>
    <x v="349"/>
    <d v="2025-08-05T14:20:49"/>
    <x v="1"/>
    <x v="1"/>
    <s v="MZHWRT"/>
    <s v="GOVER"/>
    <s v="Elder  Souza da Fonseca"/>
    <s v="Juliana dos Santos Pinto"/>
    <s v="Juliana dos Santos Pinto"/>
    <d v="2025-08-05T12:44:00"/>
    <n v="4576769"/>
    <s v="-"/>
    <s v="OFF LINE"/>
    <s v="Invoice"/>
    <s v="Faturado"/>
    <x v="0"/>
    <s v="N"/>
    <x v="52"/>
    <s v="Consorcio Nova Doca"/>
    <s v="-"/>
    <s v="Latam Airlines Brasil"/>
    <n v="2971589631"/>
    <x v="35"/>
    <s v="-"/>
    <x v="278"/>
    <n v="450"/>
    <n v="0"/>
    <n v="0"/>
    <n v="0"/>
    <n v="0"/>
    <n v="0"/>
    <s v="Reserva importada do sistema Gover. Id: 4576769"/>
    <s v="Pnr já existente. A duplicidade de rloc é permitida apenas 6 meses após o último pnr emitido"/>
    <x v="5"/>
    <x v="3"/>
    <s v="Campo RLOC"/>
    <x v="2"/>
    <s v="Qualidade dos dados"/>
    <s v="GRUPO KONTIK"/>
    <x v="5"/>
  </r>
  <r>
    <n v="22686477"/>
    <n v="23490202"/>
    <s v="ACC01"/>
    <x v="350"/>
    <d v="2025-08-05T14:20:50"/>
    <x v="1"/>
    <x v="1"/>
    <s v="QEOQKW"/>
    <s v="GOVER"/>
    <s v="Elder  Souza da Fonseca"/>
    <s v="Juliana dos Santos Pinto"/>
    <s v="Juliana dos Santos Pinto"/>
    <d v="2025-08-05T14:02:00"/>
    <n v="4576769"/>
    <s v="-"/>
    <s v="OFF LINE"/>
    <s v="Invoice"/>
    <s v="Faturado"/>
    <x v="0"/>
    <s v="N"/>
    <x v="52"/>
    <s v="Consorcio Nova Doca"/>
    <s v="-"/>
    <s v="Latam Airlines Brasil"/>
    <n v="2971589633"/>
    <x v="35"/>
    <s v="-"/>
    <x v="279"/>
    <n v="450"/>
    <n v="0"/>
    <n v="0"/>
    <n v="0"/>
    <n v="0"/>
    <n v="0"/>
    <s v="Reserva importada do sistema Gover. Id: 4576769"/>
    <s v="Pnr já existente. A duplicidade de rloc é permitida apenas 6 meses após o último pnr emitido"/>
    <x v="5"/>
    <x v="3"/>
    <s v="Campo RLOC"/>
    <x v="2"/>
    <s v="Qualidade dos dados"/>
    <s v="GRUPO KONTIK"/>
    <x v="5"/>
  </r>
  <r>
    <n v="22695720"/>
    <n v="23498571"/>
    <s v="ACC01"/>
    <x v="351"/>
    <d v="2025-08-06T18:41:45"/>
    <x v="1"/>
    <x v="1"/>
    <s v="DNBJIC"/>
    <s v="GOVER"/>
    <s v="Ana Lúcia Ferreira Coutinho"/>
    <s v="Michelly Andrade Leandro da Silva"/>
    <s v="Michelly Andrade Leandro da Silva"/>
    <d v="2025-07-31T19:34:00"/>
    <n v="4575390"/>
    <s v="-"/>
    <s v="ON LINE"/>
    <s v="Cartão de crédito"/>
    <s v="Cartão AMEX"/>
    <x v="0"/>
    <s v="N"/>
    <x v="53"/>
    <s v="Isdin Sp"/>
    <s v="-"/>
    <s v="Latam Airlines Brasil"/>
    <n v="2971575248"/>
    <x v="35"/>
    <s v="-"/>
    <x v="280"/>
    <n v="414.37"/>
    <n v="0"/>
    <n v="0"/>
    <n v="0"/>
    <n v="0"/>
    <n v="0"/>
    <s v="Reserva importada do sistema Gover. Id: 4575390"/>
    <s v="Verificação de bilhetes: Bilhete 2971575248 já sendo utilizado para este fornecedor."/>
    <x v="5"/>
    <x v="6"/>
    <s v="Bilhete Já Contabilizado"/>
    <x v="2"/>
    <s v="Qualidade dos dados"/>
    <s v="GRUPO KONTIK"/>
    <x v="5"/>
  </r>
  <r>
    <n v="22734788"/>
    <n v="23531749"/>
    <s v="ACC01"/>
    <x v="352"/>
    <d v="2025-08-13T06:15:26"/>
    <x v="0"/>
    <x v="0"/>
    <s v="5GUNXL"/>
    <s v="TMS"/>
    <s v="FELIPE SOUZA PINTO"/>
    <s v="Tms"/>
    <s v="Tms"/>
    <d v="2025-08-12T19:22:00"/>
    <n v="76060"/>
    <s v="São Luís / SLZ"/>
    <s v="ON LINE"/>
    <s v="Invoice"/>
    <s v="Faturado"/>
    <x v="3"/>
    <s v="N"/>
    <x v="2"/>
    <s v="Environpact Sustentabilidade e Resiliencia"/>
    <s v="-"/>
    <s v="-"/>
    <s v="-"/>
    <x v="36"/>
    <s v="-"/>
    <x v="281"/>
    <n v="0"/>
    <n v="0"/>
    <n v="0"/>
    <n v="0"/>
    <n v="0"/>
    <n v="0"/>
    <s v="Reserva importada do Sistema TMS. OS: 76060"/>
    <s v="Fornecedor não preenchido! (ACC01)"/>
    <x v="1"/>
    <x v="1"/>
    <s v="Campo Fornecedor"/>
    <x v="0"/>
    <s v="Qualidade dos dados"/>
    <s v="KONTIK BUSINESS TRAVEL"/>
    <x v="2"/>
  </r>
  <r>
    <n v="22734789"/>
    <n v="23531750"/>
    <s v="ACC01"/>
    <x v="353"/>
    <d v="2025-08-13T06:15:27"/>
    <x v="0"/>
    <x v="0"/>
    <s v="5GINSN"/>
    <s v="TMS"/>
    <s v="MARCOS DE ANDRADE"/>
    <s v="Tms"/>
    <s v="Tms"/>
    <d v="2025-08-12T19:23:00"/>
    <n v="76059"/>
    <s v="São Luís / SLZ"/>
    <s v="ON LINE"/>
    <s v="Invoice"/>
    <s v="Faturado"/>
    <x v="3"/>
    <s v="N"/>
    <x v="2"/>
    <s v="Environpact Sustentabilidade e Resiliencia"/>
    <s v="-"/>
    <s v="-"/>
    <s v="-"/>
    <x v="36"/>
    <s v="-"/>
    <x v="282"/>
    <n v="0"/>
    <n v="0"/>
    <n v="0"/>
    <n v="0"/>
    <n v="0"/>
    <n v="0"/>
    <s v="Reserva importada do Sistema TMS. OS: 76059"/>
    <s v="Fornecedor não preenchido! (ACC01)"/>
    <x v="1"/>
    <x v="1"/>
    <s v="Campo Fornecedor"/>
    <x v="0"/>
    <s v="Qualidade dos dados"/>
    <s v="KONTIK BUSINESS TRAVEL"/>
    <x v="2"/>
  </r>
  <r>
    <n v="22724888"/>
    <n v="23523121"/>
    <s v="ACC01"/>
    <x v="354"/>
    <d v="2025-08-11T19:25:35"/>
    <x v="0"/>
    <x v="0"/>
    <s v="5G1117"/>
    <s v="TMS"/>
    <s v="BRUNA ALVES MENDES"/>
    <s v="MICHELI FERENZINI TORRES"/>
    <s v="MICHELI FERENZINI TORRES"/>
    <d v="2025-08-11T15:59:00"/>
    <n v="75767"/>
    <s v="-"/>
    <s v="OFF LINE"/>
    <s v="Invoice"/>
    <s v="Faturado"/>
    <x v="2"/>
    <s v="N"/>
    <x v="2"/>
    <s v="Oceanpact Servicos Maritimos"/>
    <s v="-"/>
    <s v="-"/>
    <s v="-"/>
    <x v="36"/>
    <s v="-"/>
    <x v="283"/>
    <n v="0"/>
    <n v="0"/>
    <n v="0"/>
    <n v="0"/>
    <n v="0"/>
    <n v="0"/>
    <s v="Reserva importada do Sistema TMS. OS: 75767"/>
    <s v="Fornecedor não preenchido! (ACC01)"/>
    <x v="1"/>
    <x v="1"/>
    <s v="Campo Fornecedor"/>
    <x v="0"/>
    <s v="Qualidade dos dados"/>
    <s v="KONTIK BUSINESS TRAVEL"/>
    <x v="2"/>
  </r>
  <r>
    <n v="22732285"/>
    <n v="23529724"/>
    <s v="ACC01"/>
    <x v="355"/>
    <d v="2025-08-12T19:16:26"/>
    <x v="0"/>
    <x v="0"/>
    <s v="5GZSKI"/>
    <s v="TMS"/>
    <s v="JOSE RODRIGUES JUNIOR"/>
    <s v="Tms"/>
    <s v="Tms"/>
    <d v="2025-08-12T16:02:00"/>
    <n v="75986"/>
    <s v="São Luís / SLZ"/>
    <s v="ON LINE"/>
    <s v="Invoice"/>
    <s v="Faturado"/>
    <x v="3"/>
    <s v="N"/>
    <x v="2"/>
    <s v="Oceanpact Servicos Maritimos"/>
    <s v="-"/>
    <s v="-"/>
    <s v="-"/>
    <x v="36"/>
    <s v="-"/>
    <x v="284"/>
    <n v="0"/>
    <n v="0"/>
    <n v="0"/>
    <n v="0"/>
    <n v="0"/>
    <n v="0"/>
    <s v="Reserva importada do Sistema TMS. OS: 75986"/>
    <s v="Fornecedor não preenchido! (ACC01)"/>
    <x v="1"/>
    <x v="1"/>
    <s v="Campo Fornecedor"/>
    <x v="0"/>
    <s v="Qualidade dos dados"/>
    <s v="KONTIK BUSINESS TRAVEL"/>
    <x v="2"/>
  </r>
  <r>
    <n v="22732310"/>
    <n v="23529752"/>
    <s v="ACC01"/>
    <x v="356"/>
    <d v="2025-08-12T19:20:33"/>
    <x v="0"/>
    <x v="0"/>
    <s v="5GAD8K"/>
    <s v="TMS"/>
    <s v="VICTOR HUGO PINTO"/>
    <s v="Tms"/>
    <s v="Tms"/>
    <d v="2025-08-12T13:09:00"/>
    <n v="75957"/>
    <s v="Niteroi / QNT"/>
    <s v="ON LINE"/>
    <s v="Invoice"/>
    <s v="Faturado"/>
    <x v="3"/>
    <s v="N"/>
    <x v="2"/>
    <s v="Oceanpact Servicos Maritimos"/>
    <s v="-"/>
    <s v="-"/>
    <s v="-"/>
    <x v="36"/>
    <s v="-"/>
    <x v="285"/>
    <n v="0"/>
    <n v="0"/>
    <n v="0"/>
    <n v="0"/>
    <n v="0"/>
    <n v="0"/>
    <s v="Reserva importada do Sistema TMS. OS: 75957"/>
    <s v="Fornecedor não preenchido! (ACC01)"/>
    <x v="1"/>
    <x v="1"/>
    <s v="Campo Fornecedor"/>
    <x v="0"/>
    <s v="Qualidade dos dados"/>
    <s v="KONTIK BUSINESS TRAVEL"/>
    <x v="2"/>
  </r>
  <r>
    <n v="22567713"/>
    <n v="23392097"/>
    <s v="ACC01"/>
    <x v="357"/>
    <d v="2025-07-15T19:41:02"/>
    <x v="5"/>
    <x v="6"/>
    <s v="5DUMK5"/>
    <s v="TMS"/>
    <s v="RICARDO COELHO DIAS"/>
    <s v="Tms"/>
    <s v="Tms"/>
    <d v="2025-07-15T13:34:00"/>
    <n v="71529"/>
    <s v="-"/>
    <s v="OFF LINE"/>
    <s v="Invoice"/>
    <s v="Faturado"/>
    <x v="2"/>
    <s v="N"/>
    <x v="2"/>
    <s v="Oceanpact Servicos Maritimos"/>
    <s v="-"/>
    <s v="-"/>
    <s v="-"/>
    <x v="36"/>
    <s v="-"/>
    <x v="169"/>
    <n v="0"/>
    <n v="0"/>
    <n v="0"/>
    <n v="0"/>
    <n v="0"/>
    <n v="0"/>
    <s v="Reserva importada do Sistema TMS. OS: 71529"/>
    <s v="Fornecedor não preenchido! (ACC01)"/>
    <x v="1"/>
    <x v="1"/>
    <s v="Campo Fornecedor"/>
    <x v="0"/>
    <s v="Qualidade dos dados"/>
    <s v="KONTIK BUSINESS TRAVEL"/>
    <x v="2"/>
  </r>
  <r>
    <n v="22678463"/>
    <n v="23483036"/>
    <s v="ACC01"/>
    <x v="358"/>
    <d v="2025-08-04T12:58:29"/>
    <x v="2"/>
    <x v="4"/>
    <s v="5FYJGU"/>
    <s v="TMS"/>
    <s v="CARLOS HENRIQUE AZEVEDO"/>
    <s v="Nataly Franca Regal de Castro"/>
    <s v="Nataly Franca Regal de Castro"/>
    <d v="2025-08-04T11:30:00"/>
    <n v="74380"/>
    <s v="-"/>
    <s v="OFF LINE"/>
    <s v="Invoice"/>
    <s v="Faturado"/>
    <x v="2"/>
    <s v="N"/>
    <x v="2"/>
    <s v="Up Offshore Apoio Maritimo"/>
    <s v="-"/>
    <s v="-"/>
    <s v="-"/>
    <x v="36"/>
    <s v="-"/>
    <x v="137"/>
    <n v="0"/>
    <n v="0"/>
    <n v="0"/>
    <n v="0"/>
    <n v="0"/>
    <n v="0"/>
    <s v="Reserva importada do Sistema TMS. OS: 74380"/>
    <s v="Fornecedor não preenchido! (ACC01)"/>
    <x v="1"/>
    <x v="1"/>
    <s v="Campo Fornecedor"/>
    <x v="0"/>
    <s v="Qualidade dos dados"/>
    <s v="KONTIK BUSINESS TRAVEL"/>
    <x v="2"/>
  </r>
  <r>
    <n v="22708045"/>
    <n v="23509490"/>
    <s v="ACC01"/>
    <x v="359"/>
    <d v="2025-08-08T12:46:53"/>
    <x v="3"/>
    <x v="3"/>
    <s v="5G3664"/>
    <s v="TMS"/>
    <s v="JOSE SILVA TAVARES"/>
    <s v="JOSE ALEXANDRE SOARES CALDAS"/>
    <s v="JOSE ALEXANDRE SOARES CALDAS"/>
    <d v="2025-08-08T10:30:00"/>
    <n v="75160"/>
    <s v="-"/>
    <s v="OFF LINE"/>
    <s v="Invoice"/>
    <s v="Faturado"/>
    <x v="2"/>
    <s v="N"/>
    <x v="2"/>
    <s v="Oceanpact Servicos Maritimos"/>
    <s v="-"/>
    <s v="-"/>
    <s v="-"/>
    <x v="36"/>
    <s v="-"/>
    <x v="286"/>
    <n v="0"/>
    <n v="0"/>
    <n v="0"/>
    <n v="0"/>
    <n v="0"/>
    <n v="0"/>
    <s v="Reserva importada do Sistema TMS. OS: 75160"/>
    <s v="Fornecedor não preenchido! (ACC01)"/>
    <x v="1"/>
    <x v="1"/>
    <s v="Campo Fornecedor"/>
    <x v="0"/>
    <s v="Qualidade dos dados"/>
    <s v="KONTIK BUSINESS TRAVEL"/>
    <x v="2"/>
  </r>
  <r>
    <n v="22710822"/>
    <n v="23512155"/>
    <s v="ACC01"/>
    <x v="360"/>
    <d v="2025-08-08T19:18:18"/>
    <x v="3"/>
    <x v="3"/>
    <s v="YBHHCT1"/>
    <s v="TMS"/>
    <s v="EDWIN ARANA SUXO"/>
    <s v="JOSE ALEXANDRE SOARES CALDAS"/>
    <s v="JOSE ALEXANDRE SOARES CALDAS"/>
    <d v="2025-08-08T15:25:00"/>
    <n v="72633"/>
    <s v="-"/>
    <s v="OFF LINE"/>
    <s v="Cartão de crédito"/>
    <s v="Cartão AMEX"/>
    <x v="0"/>
    <s v="N"/>
    <x v="2"/>
    <s v="Oceanpact Servicos Maritimos"/>
    <s v="-"/>
    <s v="Latam Airlines Brasil"/>
    <n v="2971294092"/>
    <x v="36"/>
    <s v="-"/>
    <x v="287"/>
    <n v="344.08"/>
    <n v="0"/>
    <n v="0"/>
    <n v="0"/>
    <n v="0"/>
    <n v="0"/>
    <s v="Reserva importada do Sistema TMS. OS: 72633"/>
    <s v="Verificação de bilhetes: Bilhete 2971294092 já sendo utilizado para este fornecedor."/>
    <x v="1"/>
    <x v="6"/>
    <s v="Bilhete Já Contabilizado"/>
    <x v="2"/>
    <s v="Qualidade dos dados"/>
    <s v="GRUPO KONTIK"/>
    <x v="5"/>
  </r>
  <r>
    <n v="22710823"/>
    <n v="23512156"/>
    <s v="ACC01"/>
    <x v="361"/>
    <d v="2025-08-08T19:18:19"/>
    <x v="3"/>
    <x v="3"/>
    <s v="YBHHCTA"/>
    <s v="TMS"/>
    <s v="EDWIN ARANA SUXO"/>
    <s v="JOSE ALEXANDRE SOARES CALDAS"/>
    <s v="JOSE ALEXANDRE SOARES CALDAS"/>
    <d v="2025-08-08T15:25:00"/>
    <n v="72633"/>
    <s v="-"/>
    <s v="OFF LINE"/>
    <s v="Cartão de crédito"/>
    <s v="Cartão AMEX"/>
    <x v="0"/>
    <s v="N"/>
    <x v="2"/>
    <s v="Oceanpact Servicos Maritimos"/>
    <s v="-"/>
    <s v="Boa - Boliviana de Aviacion"/>
    <n v="2971294091"/>
    <x v="36"/>
    <s v="-"/>
    <x v="288"/>
    <n v="0"/>
    <n v="0"/>
    <n v="0"/>
    <n v="0"/>
    <n v="0"/>
    <n v="0"/>
    <s v="Reserva importada do Sistema TMS. OS: 72633"/>
    <s v="Verificação de bilhetes: Bilhete 2971294091 já sendo utilizado para este fornecedor."/>
    <x v="1"/>
    <x v="6"/>
    <s v="Bilhete Já Contabilizado"/>
    <x v="2"/>
    <s v="Qualidade dos dados"/>
    <s v="GRUPO KONTIK"/>
    <x v="5"/>
  </r>
  <r>
    <n v="22725046"/>
    <n v="23523269"/>
    <s v="ACC01"/>
    <x v="362"/>
    <d v="2025-08-11T19:41:20"/>
    <x v="0"/>
    <x v="0"/>
    <s v="5GANAU"/>
    <s v="TMS"/>
    <s v="CAMILLA SILVA"/>
    <s v="JOSE ALEXANDRE SOARES CALDAS"/>
    <s v="JOSE ALEXANDRE SOARES CALDAS"/>
    <d v="2025-08-11T16:20:00"/>
    <n v="74272"/>
    <s v="-"/>
    <s v="OFF LINE"/>
    <s v="Invoice"/>
    <s v="Faturado"/>
    <x v="1"/>
    <s v="N"/>
    <x v="2"/>
    <s v="Oceanpact Servicos Maritimos"/>
    <s v="-"/>
    <s v="-"/>
    <s v="-"/>
    <x v="36"/>
    <s v="-"/>
    <x v="289"/>
    <n v="0"/>
    <n v="0"/>
    <n v="0"/>
    <n v="0"/>
    <n v="0"/>
    <n v="0"/>
    <s v="Reserva importada do Sistema TMS. OS: 74272"/>
    <s v="Fornecedor não preenchido! (ACC01)"/>
    <x v="1"/>
    <x v="1"/>
    <s v="Campo Fornecedor"/>
    <x v="0"/>
    <s v="Qualidade dos dados"/>
    <s v="KONTIK BUSINESS TRAVEL"/>
    <x v="2"/>
  </r>
  <r>
    <n v="22722236"/>
    <n v="23520592"/>
    <s v="ACC01"/>
    <x v="363"/>
    <d v="2025-08-11T12:50:23"/>
    <x v="0"/>
    <x v="0"/>
    <s v="SRNTYY0"/>
    <s v="TMS"/>
    <s v="ALDO OMAR PORTAL"/>
    <s v="JOSE ALEXANDRE SOARES CALDAS"/>
    <s v="JOSE ALEXANDRE SOARES CALDAS"/>
    <d v="2025-08-11T08:43:00"/>
    <n v="75577"/>
    <s v="-"/>
    <s v="OFF LINE"/>
    <s v="Cartão de crédito"/>
    <s v="Cartão AMEX"/>
    <x v="0"/>
    <s v="N"/>
    <x v="2"/>
    <s v="Oceanpact Servicos Maritimos"/>
    <s v="-"/>
    <s v="Latam Airlines Brasil"/>
    <n v="2952815374"/>
    <x v="36"/>
    <s v="-"/>
    <x v="290"/>
    <n v="0"/>
    <n v="0"/>
    <n v="0"/>
    <n v="0"/>
    <n v="0"/>
    <n v="0"/>
    <s v="Reserva importada do Sistema TMS. OS: 75577"/>
    <s v="Verificação de bilhetes: Bilhete 2952815374 já sendo utilizado para este fornecedor."/>
    <x v="1"/>
    <x v="6"/>
    <s v="Bilhete Já Contabilizado"/>
    <x v="2"/>
    <s v="Qualidade dos dados"/>
    <s v="GRUPO KONTIK"/>
    <x v="5"/>
  </r>
  <r>
    <n v="22621072"/>
    <n v="23436532"/>
    <s v="ACC01"/>
    <x v="364"/>
    <d v="2025-07-24T19:25:51"/>
    <x v="4"/>
    <x v="5"/>
    <s v="5EDJ0J"/>
    <s v="TMS"/>
    <s v="JOSE SILVA TAVARES"/>
    <s v="JOSE ALEXANDRE SOARES CALDAS"/>
    <s v="JOSE ALEXANDRE SOARES CALDAS"/>
    <d v="2025-07-24T16:02:00"/>
    <n v="73566"/>
    <s v="-"/>
    <s v="OFF LINE"/>
    <s v="Invoice"/>
    <s v="Faturado"/>
    <x v="2"/>
    <s v="N"/>
    <x v="2"/>
    <s v="Oceanpact Servicos Maritimos"/>
    <s v="-"/>
    <s v="-"/>
    <s v="-"/>
    <x v="36"/>
    <s v="-"/>
    <x v="291"/>
    <n v="0"/>
    <n v="0"/>
    <n v="0"/>
    <n v="0"/>
    <n v="0"/>
    <n v="0"/>
    <s v="Reserva importada do Sistema TMS. OS: 73566"/>
    <s v="Fornecedor não preenchido! (ACC01)"/>
    <x v="1"/>
    <x v="1"/>
    <s v="Campo Fornecedor"/>
    <x v="0"/>
    <s v="Qualidade dos dados"/>
    <s v="KONTIK BUSINESS TRAVEL"/>
    <x v="2"/>
  </r>
  <r>
    <n v="22624843"/>
    <n v="23439592"/>
    <s v="ACC01"/>
    <x v="365"/>
    <d v="2025-07-25T12:51:19"/>
    <x v="4"/>
    <x v="5"/>
    <s v="5E3FIU"/>
    <s v="TMS"/>
    <s v="JOSE SILVA TAVARES"/>
    <s v="JOSE ALEXANDRE SOARES CALDAS"/>
    <s v="JOSE ALEXANDRE SOARES CALDAS"/>
    <d v="2025-07-25T11:02:00"/>
    <n v="73594"/>
    <s v="-"/>
    <s v="OFF LINE"/>
    <s v="Invoice"/>
    <s v="Faturado"/>
    <x v="2"/>
    <s v="N"/>
    <x v="2"/>
    <s v="Oceanpact Servicos Maritimos"/>
    <s v="-"/>
    <s v="-"/>
    <s v="-"/>
    <x v="36"/>
    <s v="-"/>
    <x v="292"/>
    <n v="0"/>
    <n v="0"/>
    <n v="0"/>
    <n v="0"/>
    <n v="0"/>
    <n v="0"/>
    <s v="Reserva importada do Sistema TMS. OS: 73594"/>
    <s v="Fornecedor não preenchido! (ACC01)"/>
    <x v="1"/>
    <x v="1"/>
    <s v="Campo Fornecedor"/>
    <x v="0"/>
    <s v="Qualidade dos dados"/>
    <s v="KONTIK BUSINESS TRAVEL"/>
    <x v="2"/>
  </r>
  <r>
    <n v="22611726"/>
    <n v="23428259"/>
    <s v="ACC01"/>
    <x v="366"/>
    <d v="2025-08-07T15:18:29"/>
    <x v="1"/>
    <x v="5"/>
    <s v="WFODSV"/>
    <s v="SABRE"/>
    <s v="FERNANDES GOMES/FELIPE"/>
    <s v="Beatrys Ferreira Rocha"/>
    <s v="CT"/>
    <d v="2025-07-18T06:24:00"/>
    <s v="WFODSV"/>
    <s v="-"/>
    <s v="ON LINE"/>
    <s v="Cartão de crédito"/>
    <s v="Cartão de crédito"/>
    <x v="0"/>
    <s v="N"/>
    <x v="54"/>
    <s v="Basf Sa"/>
    <s v="-"/>
    <s v="Latam Airlines Brasil"/>
    <n v="2971499806"/>
    <x v="37"/>
    <s v="-"/>
    <x v="293"/>
    <n v="55.65"/>
    <n v="0"/>
    <n v="0"/>
    <n v="55.65"/>
    <n v="0"/>
    <n v="0"/>
    <s v="Reserva importada por HubTravel"/>
    <s v="Verificação de bilhetes: Bilhete 2971499806 já sendo utilizado para este fornecedor."/>
    <x v="0"/>
    <x v="6"/>
    <s v="Bilhete Já Contabilizado"/>
    <x v="2"/>
    <s v="Qualidade dos dados"/>
    <s v="GRUPO KONTIK"/>
    <x v="5"/>
  </r>
  <r>
    <n v="22696508"/>
    <n v="23499347"/>
    <s v="ACC01"/>
    <x v="367"/>
    <d v="2025-08-06T19:20:14"/>
    <x v="1"/>
    <x v="1"/>
    <s v="HDLPBN"/>
    <s v="SABRE"/>
    <s v="BRANDA PAULETTI/GIOVANA"/>
    <s v="Itamar de Souza"/>
    <s v="CT"/>
    <d v="2025-08-06T12:11:00"/>
    <s v="HDLPBN"/>
    <s v="-"/>
    <s v="ON LINE"/>
    <s v="?"/>
    <s v="TKT"/>
    <x v="0"/>
    <s v="N"/>
    <x v="54"/>
    <s v="Basf Sa"/>
    <s v="-"/>
    <s v="Latam Airlines Brasil"/>
    <n v="2971622800"/>
    <x v="37"/>
    <s v="-"/>
    <x v="19"/>
    <n v="0"/>
    <n v="450"/>
    <n v="0"/>
    <n v="9.7899999999999991"/>
    <n v="0"/>
    <n v="0"/>
    <s v="Reserva importada por HubTravel"/>
    <s v="Verificação de bilhetes: Bilhete 2971622800 já sendo utilizado para este fornecedor."/>
    <x v="0"/>
    <x v="6"/>
    <s v="Bilhete Já Contabilizado"/>
    <x v="2"/>
    <s v="Qualidade dos dados"/>
    <s v="GRUPO KONTIK"/>
    <x v="5"/>
  </r>
  <r>
    <n v="22694284"/>
    <n v="23497133"/>
    <s v="ACC01"/>
    <x v="368"/>
    <d v="2025-08-06T15:36:22"/>
    <x v="1"/>
    <x v="1"/>
    <s v="NQUJHUT"/>
    <s v="SABRE"/>
    <s v="MYAGUSHICU/DANIELA MRS"/>
    <s v="Felipe Anderson da Silva"/>
    <s v="Felipe Anderson da Silva"/>
    <d v="2025-08-06T12:28:00"/>
    <s v="BA0608251442"/>
    <s v="-"/>
    <s v="OFF LINE"/>
    <s v="Pagamento direto"/>
    <s v="Pagamento direto"/>
    <x v="1"/>
    <s v="N"/>
    <x v="54"/>
    <s v="Basf Sa"/>
    <s v="-"/>
    <s v="-"/>
    <s v="-"/>
    <x v="37"/>
    <s v="-"/>
    <x v="109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4284"/>
    <n v="23497134"/>
    <s v="ACC02"/>
    <x v="368"/>
    <d v="2025-08-06T15:36:22"/>
    <x v="1"/>
    <x v="1"/>
    <s v="NQUJHUT"/>
    <s v="SABRE"/>
    <s v="MYAGUSHICU/DANIELA MRS"/>
    <s v="Felipe Anderson da Silva"/>
    <s v="Felipe Anderson da Silva"/>
    <d v="2025-08-06T12:28:00"/>
    <s v="BA0608251442"/>
    <s v="-"/>
    <s v="OFF LINE"/>
    <s v="Pagamento direto"/>
    <s v="Pagamento direto"/>
    <x v="1"/>
    <s v="N"/>
    <x v="54"/>
    <s v="Basf Sa"/>
    <s v="-"/>
    <s v="Lefel Hotel"/>
    <s v="-"/>
    <x v="37"/>
    <s v="-"/>
    <x v="294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4285"/>
    <n v="23497135"/>
    <s v="ACC01"/>
    <x v="369"/>
    <d v="2025-08-06T15:36:24"/>
    <x v="1"/>
    <x v="1"/>
    <s v="NQTOPYT"/>
    <s v="SABRE"/>
    <s v="DAMELIO/ALDANA"/>
    <s v="Felipe Anderson da Silva"/>
    <s v="Felipe Anderson da Silva"/>
    <d v="2025-08-06T12:37:00"/>
    <s v="BA0608251444"/>
    <s v="-"/>
    <s v="OFF LINE"/>
    <s v="Pagamento direto"/>
    <s v="Pagamento direto"/>
    <x v="1"/>
    <s v="N"/>
    <x v="54"/>
    <s v="Basf Sa"/>
    <s v="-"/>
    <s v="-"/>
    <s v="-"/>
    <x v="37"/>
    <s v="-"/>
    <x v="109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4285"/>
    <n v="23497136"/>
    <s v="ACC02"/>
    <x v="369"/>
    <d v="2025-08-06T15:36:24"/>
    <x v="1"/>
    <x v="1"/>
    <s v="NQTOPYT"/>
    <s v="SABRE"/>
    <s v="DAMELIO/ALDANA"/>
    <s v="Felipe Anderson da Silva"/>
    <s v="Felipe Anderson da Silva"/>
    <d v="2025-08-06T12:37:00"/>
    <s v="BA0608251444"/>
    <s v="-"/>
    <s v="OFF LINE"/>
    <s v="Pagamento direto"/>
    <s v="Pagamento direto"/>
    <x v="1"/>
    <s v="N"/>
    <x v="54"/>
    <s v="Basf Sa"/>
    <s v="-"/>
    <s v="Lefel Hotel"/>
    <s v="-"/>
    <x v="37"/>
    <s v="-"/>
    <x v="294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4286"/>
    <n v="23497137"/>
    <s v="ACC01"/>
    <x v="370"/>
    <d v="2025-08-06T15:36:24"/>
    <x v="1"/>
    <x v="1"/>
    <s v="NNPOBOT"/>
    <s v="SABRE"/>
    <s v="CARDOZO/ALEJANDRA"/>
    <s v="Felipe Anderson da Silva"/>
    <s v="Felipe Anderson da Silva"/>
    <d v="2025-08-06T12:40:00"/>
    <s v="BA0608251445"/>
    <s v="-"/>
    <s v="OFF LINE"/>
    <s v="Pagamento direto"/>
    <s v="Pagamento direto"/>
    <x v="1"/>
    <s v="N"/>
    <x v="54"/>
    <s v="Basf Sa"/>
    <s v="-"/>
    <s v="-"/>
    <s v="-"/>
    <x v="37"/>
    <s v="-"/>
    <x v="109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4286"/>
    <n v="23497138"/>
    <s v="ACC02"/>
    <x v="370"/>
    <d v="2025-08-06T15:36:24"/>
    <x v="1"/>
    <x v="1"/>
    <s v="NNPOBOT"/>
    <s v="SABRE"/>
    <s v="CARDOZO/ALEJANDRA"/>
    <s v="Felipe Anderson da Silva"/>
    <s v="Felipe Anderson da Silva"/>
    <d v="2025-08-06T12:40:00"/>
    <s v="BA0608251445"/>
    <s v="-"/>
    <s v="OFF LINE"/>
    <s v="Pagamento direto"/>
    <s v="Pagamento direto"/>
    <x v="1"/>
    <s v="N"/>
    <x v="54"/>
    <s v="Basf Sa"/>
    <s v="-"/>
    <s v="Lefel Hotel"/>
    <s v="-"/>
    <x v="37"/>
    <s v="-"/>
    <x v="294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2769"/>
    <n v="23495717"/>
    <s v="ACC01"/>
    <x v="371"/>
    <d v="2025-08-06T12:06:20"/>
    <x v="1"/>
    <x v="1"/>
    <s v="OBYQLFT"/>
    <s v="SABRE"/>
    <s v="LAVACH SANTANA/FLAVIO LUIZ MR"/>
    <s v="Felipe Anderson da Silva"/>
    <s v="Felipe Anderson da Silva"/>
    <d v="2025-08-06T09:28:00"/>
    <s v="BA0608251128"/>
    <s v="-"/>
    <s v="OFF LINE"/>
    <s v="Pagamento direto"/>
    <s v="Pagamento direto"/>
    <x v="1"/>
    <s v="N"/>
    <x v="54"/>
    <s v="Basf Sa"/>
    <s v="-"/>
    <s v="-"/>
    <s v="-"/>
    <x v="37"/>
    <s v="-"/>
    <x v="295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87065"/>
    <n v="23490754"/>
    <s v="ACC01"/>
    <x v="372"/>
    <d v="2025-08-05T16:06:56"/>
    <x v="1"/>
    <x v="1"/>
    <s v="YLHRXMC"/>
    <s v="SABRE"/>
    <s v="GIAVENO/CARLOS DANIEL MR"/>
    <s v="Felipe Anderson da Silva"/>
    <s v="Felipe Anderson da Silva"/>
    <d v="2025-08-05T12:40:00"/>
    <s v="BA0508251439"/>
    <s v="RDU"/>
    <s v="OFF LINE"/>
    <s v="Invoice"/>
    <s v="Faturado"/>
    <x v="3"/>
    <s v="N"/>
    <x v="54"/>
    <s v="Basf Sa"/>
    <s v="-"/>
    <s v="-"/>
    <s v="-"/>
    <x v="37"/>
    <s v="-"/>
    <x v="296"/>
    <n v="131.13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3077"/>
    <n v="23521362"/>
    <s v="ACC01"/>
    <x v="373"/>
    <d v="2025-08-11T15:07:12"/>
    <x v="0"/>
    <x v="0"/>
    <s v="YJSUHHT"/>
    <s v="SABRE"/>
    <s v="FISCHER/EVELYN CHRISTIANE MRS"/>
    <s v="Felipe Anderson da Silva"/>
    <s v="Felipe Anderson da Silva"/>
    <d v="2025-08-11T11:41:00"/>
    <s v="BA1108251343"/>
    <s v="-"/>
    <s v="OFF LINE"/>
    <s v="Pagamento direto"/>
    <s v="Pagamento direto"/>
    <x v="1"/>
    <s v="N"/>
    <x v="54"/>
    <s v="Basf Sa"/>
    <s v="-"/>
    <s v="-"/>
    <s v="-"/>
    <x v="37"/>
    <s v="-"/>
    <x v="297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3153"/>
    <n v="23521428"/>
    <s v="ACC01"/>
    <x v="374"/>
    <d v="2025-08-11T15:18:59"/>
    <x v="0"/>
    <x v="0"/>
    <s v="DZUKJST"/>
    <s v="SABRE"/>
    <s v="SARDASHTI/POUYAN"/>
    <s v="Felipe Anderson da Silva"/>
    <s v="Felipe Anderson da Silva"/>
    <d v="2025-08-11T12:10:00"/>
    <s v="BA1108251412"/>
    <s v="-"/>
    <s v="OFF LINE"/>
    <s v="Pagamento direto"/>
    <s v="Pagamento direto"/>
    <x v="1"/>
    <s v="N"/>
    <x v="54"/>
    <s v="Basf Sa"/>
    <s v="-"/>
    <s v="Blue Tree Premium Morumbi"/>
    <s v="-"/>
    <x v="37"/>
    <s v="-"/>
    <x v="298"/>
    <n v="0"/>
    <n v="0"/>
    <n v="0"/>
    <n v="0"/>
    <n v="0"/>
    <n v="0"/>
    <s v="Reserva importada por HubTravel"/>
    <s v="Fornecedor não preenchido! (ACC02)"/>
    <x v="0"/>
    <x v="1"/>
    <s v="Campo Fornecedor"/>
    <x v="0"/>
    <s v="Qualidade dos dados"/>
    <s v="KONTIK BUSINESS TRAVEL"/>
    <x v="2"/>
  </r>
  <r>
    <n v="22723153"/>
    <n v="23521429"/>
    <s v="ACC02"/>
    <x v="374"/>
    <d v="2025-08-11T15:18:59"/>
    <x v="0"/>
    <x v="0"/>
    <s v="DZUKJST"/>
    <s v="SABRE"/>
    <s v="SARDASHTI/POUYAN"/>
    <s v="Felipe Anderson da Silva"/>
    <s v="Felipe Anderson da Silva"/>
    <d v="2025-08-11T12:10:00"/>
    <s v="BA1108251412"/>
    <s v="-"/>
    <s v="OFF LINE"/>
    <s v="Pagamento direto"/>
    <s v="Pagamento direto"/>
    <x v="1"/>
    <s v="N"/>
    <x v="54"/>
    <s v="Basf Sa"/>
    <s v="-"/>
    <s v="-"/>
    <s v="-"/>
    <x v="37"/>
    <s v="-"/>
    <x v="299"/>
    <n v="0"/>
    <n v="0"/>
    <n v="0"/>
    <n v="0"/>
    <n v="0"/>
    <n v="0"/>
    <s v="Reserva importada por HubTravel"/>
    <s v="Fornecedor não preenchido! (ACC02)"/>
    <x v="0"/>
    <x v="1"/>
    <s v="Campo Fornecedor"/>
    <x v="0"/>
    <s v="Qualidade dos dados"/>
    <s v="KONTIK BUSINESS TRAVEL"/>
    <x v="2"/>
  </r>
  <r>
    <n v="22721226"/>
    <n v="23519595"/>
    <s v="ACC01"/>
    <x v="375"/>
    <d v="2025-08-11T10:19:21"/>
    <x v="0"/>
    <x v="0"/>
    <s v="EAFITET"/>
    <s v="SABRE"/>
    <s v="BORGES/ROBSON JAYME MR"/>
    <s v="Felipe Anderson da Silva"/>
    <s v="Felipe Anderson da Silva"/>
    <d v="2025-08-11T07:07:00"/>
    <s v="BA1108250906"/>
    <s v="-"/>
    <s v="OFF LINE"/>
    <s v="Pagamento direto"/>
    <s v="Pagamento direto"/>
    <x v="1"/>
    <s v="N"/>
    <x v="54"/>
    <s v="Basf Sa"/>
    <s v="-"/>
    <s v="-"/>
    <s v="-"/>
    <x v="37"/>
    <s v="-"/>
    <x v="300"/>
    <n v="124.18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2911"/>
    <n v="23505029"/>
    <s v="ACC01"/>
    <x v="376"/>
    <d v="2025-08-07T18:18:50"/>
    <x v="1"/>
    <x v="1"/>
    <s v="WZGUDAT"/>
    <s v="SABRE"/>
    <s v="SANTOS/JOSE RIBEIRO DOS MR"/>
    <s v="Felipe Anderson da Silva"/>
    <s v="Felipe Anderson da Silva"/>
    <d v="2025-08-07T15:28:00"/>
    <s v="BA0708251725"/>
    <s v="-"/>
    <s v="OFF LINE"/>
    <s v="Pagamento direto"/>
    <s v="Pagamento direto"/>
    <x v="1"/>
    <s v="N"/>
    <x v="54"/>
    <s v="Basf Sa"/>
    <s v="-"/>
    <s v="-"/>
    <s v="-"/>
    <x v="37"/>
    <s v="-"/>
    <x v="301"/>
    <n v="49.2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1038"/>
    <n v="23528531"/>
    <s v="ACC01"/>
    <x v="377"/>
    <d v="2025-08-12T16:48:59"/>
    <x v="0"/>
    <x v="0"/>
    <s v="NRQEMKC"/>
    <s v="SABRE"/>
    <s v="VIANA SANTIAGO/VITOR MR"/>
    <s v="Felipe Anderson da Silva"/>
    <s v="Felipe Anderson da Silva"/>
    <d v="2025-08-12T13:46:00"/>
    <s v="BA1208251545"/>
    <s v="SAO"/>
    <s v="OFF LINE"/>
    <s v="Invoice"/>
    <s v="Faturado"/>
    <x v="3"/>
    <s v="N"/>
    <x v="54"/>
    <s v="Basf Sa"/>
    <s v="-"/>
    <s v="-"/>
    <s v="-"/>
    <x v="37"/>
    <s v="-"/>
    <x v="302"/>
    <n v="207.8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1475"/>
    <n v="23528938"/>
    <s v="ACC01"/>
    <x v="378"/>
    <d v="2025-08-12T18:06:29"/>
    <x v="0"/>
    <x v="0"/>
    <s v="GZLSYHT"/>
    <s v="SABRE"/>
    <s v="BARONI/REGIANE"/>
    <s v="Felipe Anderson da Silva"/>
    <s v="Felipe Anderson da Silva"/>
    <d v="2025-08-12T15:46:00"/>
    <s v="BA1208251745"/>
    <s v="-"/>
    <s v="OFF LINE"/>
    <s v="Invoice"/>
    <s v="Faturado"/>
    <x v="1"/>
    <s v="N"/>
    <x v="54"/>
    <s v="Suvinil"/>
    <s v="-"/>
    <s v="-"/>
    <s v="-"/>
    <x v="37"/>
    <s v="-"/>
    <x v="303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1094"/>
    <n v="23528584"/>
    <s v="ACC01"/>
    <x v="379"/>
    <d v="2025-08-12T18:03:58"/>
    <x v="0"/>
    <x v="0"/>
    <s v="SCWNVR"/>
    <s v="SABRE"/>
    <s v="ISHIKAWA SUZART/MARINA"/>
    <s v="Beatrys Ferreira Rocha"/>
    <s v="Felipe Anderson da Silva"/>
    <d v="2025-08-12T11:41:00"/>
    <s v="BA1208251342"/>
    <s v="-"/>
    <s v="OFF LINE"/>
    <s v="?"/>
    <s v="TKT"/>
    <x v="0"/>
    <s v="N"/>
    <x v="54"/>
    <s v="Basf Sa"/>
    <s v="-"/>
    <s v="Latam Airlines Brasil"/>
    <n v="2952834983"/>
    <x v="37"/>
    <s v="-"/>
    <x v="19"/>
    <n v="0"/>
    <n v="450"/>
    <n v="0"/>
    <n v="51.33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707066"/>
    <n v="23508499"/>
    <s v="ACC01"/>
    <x v="380"/>
    <d v="2025-08-08T10:20:03"/>
    <x v="3"/>
    <x v="3"/>
    <s v="HSRZEAC"/>
    <s v="SABRE"/>
    <s v="VIEIRA BRANCO/PAULO MR"/>
    <s v="CT"/>
    <s v="CT"/>
    <d v="2025-08-07T13:15:00"/>
    <s v="C2MOMWYP0"/>
    <s v="NVT"/>
    <s v="ON LINE"/>
    <s v="Invoice"/>
    <s v="Faturado"/>
    <x v="3"/>
    <s v="N"/>
    <x v="54"/>
    <s v="Basf Sa"/>
    <s v="-"/>
    <s v="-"/>
    <s v="-"/>
    <x v="37"/>
    <s v="-"/>
    <x v="304"/>
    <n v="37.22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7217"/>
    <n v="23508642"/>
    <s v="ACC01"/>
    <x v="381"/>
    <d v="2025-08-08T10:48:41"/>
    <x v="3"/>
    <x v="3"/>
    <s v="WBUIFH"/>
    <s v="SABRE"/>
    <s v="BRANDAO/ALESSANDRO PEREIRA"/>
    <s v="CT"/>
    <s v="CT"/>
    <d v="2025-08-08T07:31:00"/>
    <s v="F2HRC26SJ"/>
    <s v="-"/>
    <s v="ON LINE"/>
    <s v="Cartão de crédito"/>
    <s v="Cartão AMEX"/>
    <x v="0"/>
    <s v="N"/>
    <x v="54"/>
    <s v="Suvinil"/>
    <s v="-"/>
    <s v="Gol Linhas Aereas"/>
    <n v="7700075136"/>
    <x v="37"/>
    <s v="-"/>
    <x v="305"/>
    <n v="59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0"/>
    <s v="Falta de informação Gerencial"/>
    <x v="0"/>
    <s v="Qualidade dos dados"/>
    <s v="KONTIK BUSINESS TRAVEL"/>
    <x v="2"/>
  </r>
  <r>
    <n v="22723974"/>
    <n v="23522234"/>
    <s v="ACC01"/>
    <x v="382"/>
    <d v="2025-08-11T17:37:31"/>
    <x v="0"/>
    <x v="0"/>
    <s v="OMVBSZT"/>
    <s v="SABRE"/>
    <s v="ZANUTTO PIVA/LARISSA MISS"/>
    <s v="CT"/>
    <s v="CT"/>
    <d v="2025-08-11T15:04:00"/>
    <s v="183304969-50896"/>
    <s v="-"/>
    <s v="ON LINE"/>
    <s v="Pagamento direto"/>
    <s v="Pagamento direto"/>
    <x v="1"/>
    <s v="N"/>
    <x v="54"/>
    <s v="Basf Sa"/>
    <s v="-"/>
    <s v="Moxy Ludwigshafen"/>
    <s v="-"/>
    <x v="37"/>
    <s v="-"/>
    <x v="306"/>
    <n v="0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723974"/>
    <n v="23522235"/>
    <s v="ACC02"/>
    <x v="382"/>
    <d v="2025-08-11T17:37:31"/>
    <x v="0"/>
    <x v="0"/>
    <s v="OMVBSZT"/>
    <s v="SABRE"/>
    <s v="ZANUTTO PIVA/LARISSA MISS"/>
    <s v="CT"/>
    <s v="CT"/>
    <d v="2025-08-11T15:04:00"/>
    <s v="183304969-50896"/>
    <s v="-"/>
    <s v="ON LINE"/>
    <s v="Pagamento direto"/>
    <s v="Pagamento direto"/>
    <x v="1"/>
    <s v="N"/>
    <x v="54"/>
    <s v="Basf Sa"/>
    <s v="-"/>
    <s v="-"/>
    <s v="-"/>
    <x v="37"/>
    <s v="-"/>
    <x v="307"/>
    <n v="0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709769"/>
    <n v="23511141"/>
    <s v="ACC01"/>
    <x v="383"/>
    <d v="2025-08-08T17:36:31"/>
    <x v="3"/>
    <x v="3"/>
    <s v="UMKSJOT"/>
    <s v="SABRE"/>
    <s v="PIERRO/ANTONIO MR"/>
    <s v="CT"/>
    <s v="CT"/>
    <d v="2025-08-08T12:00:00"/>
    <s v="183263704-61833"/>
    <s v="-"/>
    <s v="ON LINE"/>
    <s v="Pagamento direto"/>
    <s v="Pagamento direto"/>
    <x v="1"/>
    <s v="N"/>
    <x v="54"/>
    <s v="Ca Pesquisa e Comercio de Sementes"/>
    <s v="-"/>
    <s v="-"/>
    <s v="-"/>
    <x v="37"/>
    <s v="-"/>
    <x v="308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09770"/>
    <n v="23511142"/>
    <s v="ACC01"/>
    <x v="384"/>
    <d v="2025-08-08T17:36:32"/>
    <x v="3"/>
    <x v="3"/>
    <s v="KCBRNHT"/>
    <s v="SABRE"/>
    <s v="PIERRO/ANTONIO MR"/>
    <s v="CT"/>
    <s v="CT"/>
    <d v="2025-08-08T12:12:00"/>
    <s v="183263820-65509"/>
    <s v="-"/>
    <s v="ON LINE"/>
    <s v="Pagamento direto"/>
    <s v="Pagamento direto"/>
    <x v="1"/>
    <s v="N"/>
    <x v="54"/>
    <s v="Ca Pesquisa e Comercio de Sementes"/>
    <s v="-"/>
    <s v="-"/>
    <s v="-"/>
    <x v="37"/>
    <s v="-"/>
    <x v="309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09774"/>
    <n v="23511144"/>
    <s v="ACC01"/>
    <x v="385"/>
    <d v="2025-08-08T17:36:32"/>
    <x v="3"/>
    <x v="3"/>
    <s v="YZCFLVT"/>
    <s v="SABRE"/>
    <s v="PIERRO/ANTONIO MR"/>
    <s v="CT"/>
    <s v="CT"/>
    <d v="2025-08-08T12:23:00"/>
    <s v="183263947-78912"/>
    <s v="-"/>
    <s v="ON LINE"/>
    <s v="Pagamento direto"/>
    <s v="Pagamento direto"/>
    <x v="1"/>
    <s v="N"/>
    <x v="54"/>
    <s v="Ca Pesquisa e Comercio de Sementes"/>
    <s v="-"/>
    <s v="-"/>
    <s v="-"/>
    <x v="37"/>
    <s v="-"/>
    <x v="310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03619"/>
    <n v="23505715"/>
    <s v="ACC01"/>
    <x v="386"/>
    <d v="2025-08-07T19:06:30"/>
    <x v="1"/>
    <x v="1"/>
    <s v="KXTHKBT"/>
    <s v="SABRE"/>
    <s v="LA TORRE/DANIELLA CAMPOS MRS"/>
    <s v="CT"/>
    <s v="CT"/>
    <d v="2025-08-07T12:07:00"/>
    <s v="183241241-78843"/>
    <s v="-"/>
    <s v="ON LINE"/>
    <s v="Pagamento direto"/>
    <s v="Pagamento direto"/>
    <x v="1"/>
    <s v="N"/>
    <x v="54"/>
    <s v="Basf Sa"/>
    <s v="-"/>
    <s v="-"/>
    <s v="-"/>
    <x v="37"/>
    <s v="-"/>
    <x v="311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694290"/>
    <n v="23497143"/>
    <s v="ACC01"/>
    <x v="387"/>
    <d v="2025-08-06T15:34:52"/>
    <x v="1"/>
    <x v="1"/>
    <s v="MEOMSF"/>
    <s v="SABRE"/>
    <s v="RENZI/CEZAR EDUARDO"/>
    <s v="CT"/>
    <s v="CT"/>
    <d v="2025-08-06T12:57:00"/>
    <s v="D27E8KWTP"/>
    <s v="-"/>
    <s v="ON LINE"/>
    <s v="Cartão de crédito"/>
    <s v="Cartão AMEX"/>
    <x v="0"/>
    <s v="N"/>
    <x v="54"/>
    <s v="Suvinil"/>
    <s v="-"/>
    <s v="Gol Linhas Aereas"/>
    <n v="7700074988"/>
    <x v="37"/>
    <s v="-"/>
    <x v="312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0"/>
    <s v="Falta de informação Gerencial"/>
    <x v="0"/>
    <s v="Qualidade dos dados"/>
    <s v="KONTIK BUSINESS TRAVEL"/>
    <x v="2"/>
  </r>
  <r>
    <n v="22729016"/>
    <n v="23526564"/>
    <s v="ACC01"/>
    <x v="388"/>
    <d v="2025-08-12T11:48:35"/>
    <x v="0"/>
    <x v="0"/>
    <s v="KDAQYDT"/>
    <s v="SABRE"/>
    <s v="FERNANDES GOMES/FELIPE MR"/>
    <s v="CT"/>
    <s v="CT"/>
    <d v="2025-08-11T21:56:00"/>
    <s v="KDAQYD"/>
    <s v="-"/>
    <s v="ON LINE"/>
    <s v="Pagamento direto"/>
    <s v="Pagamento direto"/>
    <x v="1"/>
    <s v="N"/>
    <x v="54"/>
    <s v="Basf Sa"/>
    <s v="-"/>
    <s v="-"/>
    <s v="-"/>
    <x v="37"/>
    <s v="-"/>
    <x v="313"/>
    <n v="14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28219"/>
    <n v="23525823"/>
    <s v="ACC01"/>
    <x v="389"/>
    <d v="2025-08-12T09:06:28"/>
    <x v="0"/>
    <x v="0"/>
    <s v="AHMALPT"/>
    <s v="SABRE"/>
    <s v="FERNANDES GOMES/FELIPE MR"/>
    <s v="CT"/>
    <s v="CT"/>
    <d v="2025-08-11T21:44:00"/>
    <s v="183306747-28216"/>
    <s v="-"/>
    <s v="ON LINE"/>
    <s v="Pagamento direto"/>
    <s v="Pagamento direto"/>
    <x v="1"/>
    <s v="N"/>
    <x v="54"/>
    <s v="Basf Sa"/>
    <s v="-"/>
    <s v="-"/>
    <s v="-"/>
    <x v="37"/>
    <s v="-"/>
    <x v="314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31026"/>
    <n v="23528519"/>
    <s v="ACC01"/>
    <x v="390"/>
    <d v="2025-08-12T16:51:18"/>
    <x v="0"/>
    <x v="0"/>
    <s v="NNJIQO"/>
    <s v="SABRE"/>
    <s v="CIUCCIO/CARLOS EDUARDO PARISI"/>
    <s v="Beatrys Ferreira Rocha"/>
    <s v="CT"/>
    <d v="2025-08-12T12:45:00"/>
    <s v="NNJIQO"/>
    <s v="-"/>
    <s v="ON LINE"/>
    <s v="?"/>
    <s v="TKT"/>
    <x v="0"/>
    <s v="N"/>
    <x v="54"/>
    <s v="Basf Sa"/>
    <s v="-"/>
    <s v="Latam Airlines Brasil"/>
    <n v="2952834980"/>
    <x v="37"/>
    <s v="-"/>
    <x v="19"/>
    <n v="0"/>
    <n v="450"/>
    <n v="0"/>
    <n v="6.06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709100"/>
    <n v="23510512"/>
    <s v="ACC01"/>
    <x v="391"/>
    <d v="2025-08-08T15:48:36"/>
    <x v="3"/>
    <x v="3"/>
    <s v="OLSHUE"/>
    <s v="SABRE"/>
    <s v="COSTA/ERICA CRISTINA MEIRELES"/>
    <s v="Itamar de Souza"/>
    <s v="CT"/>
    <d v="2025-08-08T10:00:00"/>
    <s v="OLSHUE"/>
    <s v="-"/>
    <s v="ON LINE"/>
    <s v="?"/>
    <s v="TKT"/>
    <x v="0"/>
    <s v="N"/>
    <x v="54"/>
    <s v="Suvinil"/>
    <s v="-"/>
    <s v="Latam Airlines Brasil"/>
    <n v="2952816567"/>
    <x v="37"/>
    <s v="-"/>
    <x v="19"/>
    <n v="0"/>
    <n v="450"/>
    <n v="0"/>
    <n v="0"/>
    <n v="0"/>
    <n v="0"/>
    <s v="Reserva importada por HubTravel"/>
    <s v="Verificação de bilhetes: Bilhete 2952816567 já sendo utilizado para este fornecedor."/>
    <x v="0"/>
    <x v="6"/>
    <s v="Bilhete Já Contabilizado"/>
    <x v="2"/>
    <s v="Qualidade dos dados"/>
    <s v="GRUPO KONTIK"/>
    <x v="5"/>
  </r>
  <r>
    <n v="22707837"/>
    <n v="23509294"/>
    <s v="ACC01"/>
    <x v="392"/>
    <d v="2025-08-08T12:18:28"/>
    <x v="3"/>
    <x v="3"/>
    <s v="AIERFD"/>
    <s v="SABRE"/>
    <s v="DA SILVA/ADRIEL CARLOS"/>
    <s v="Itamar de Souza"/>
    <s v="CT"/>
    <d v="2025-07-17T10:07:00"/>
    <s v="AIERFD"/>
    <s v="-"/>
    <s v="ON LINE"/>
    <s v="Invoice"/>
    <s v="Faturado"/>
    <x v="0"/>
    <s v="N"/>
    <x v="54"/>
    <s v="Basf Sa"/>
    <s v="-"/>
    <s v="Latam Airlines Brasil"/>
    <n v="2971499788"/>
    <x v="37"/>
    <s v="-"/>
    <x v="315"/>
    <n v="48.3"/>
    <n v="0"/>
    <n v="0"/>
    <n v="48.3"/>
    <n v="0"/>
    <n v="0"/>
    <s v="Reserva importada por HubTravel"/>
    <s v="Verificação de bilhetes: Bilhete 2971499788 já sendo utilizado para este fornecedor."/>
    <x v="0"/>
    <x v="6"/>
    <s v="Bilhete Já Contabilizado"/>
    <x v="2"/>
    <s v="Qualidade dos dados"/>
    <s v="GRUPO KONTIK"/>
    <x v="5"/>
  </r>
  <r>
    <n v="22730469"/>
    <n v="23527963"/>
    <s v="ACC01"/>
    <x v="393"/>
    <d v="2025-08-12T16:26:36"/>
    <x v="0"/>
    <x v="0"/>
    <s v="QWNHFY"/>
    <s v="SABRE"/>
    <s v="DOS SANTOS/ALEX PADILHA"/>
    <s v="Itamar de Souza"/>
    <s v="CT"/>
    <d v="2025-08-12T09:33:00"/>
    <s v="QWNHFY"/>
    <s v="-"/>
    <s v="ON LINE"/>
    <s v="?"/>
    <s v="TKT"/>
    <x v="0"/>
    <s v="N"/>
    <x v="54"/>
    <s v="Suvinil"/>
    <s v="-"/>
    <s v="Latam Airlines Brasil"/>
    <n v="2952834976"/>
    <x v="37"/>
    <s v="-"/>
    <x v="19"/>
    <n v="0"/>
    <n v="450"/>
    <n v="0"/>
    <n v="17.7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730896"/>
    <n v="23528405"/>
    <s v="ACC01"/>
    <x v="394"/>
    <d v="2025-08-12T16:36:47"/>
    <x v="0"/>
    <x v="0"/>
    <s v="AOGKTN"/>
    <s v="SABRE"/>
    <s v="BATISTA DE OLIVEIRA/WALISSON"/>
    <s v="Itamar de Souza"/>
    <s v="CT"/>
    <d v="2025-08-12T10:30:00"/>
    <s v="AOGKTN"/>
    <s v="-"/>
    <s v="ON LINE"/>
    <s v="?"/>
    <s v="TKT"/>
    <x v="0"/>
    <s v="N"/>
    <x v="54"/>
    <s v="Basf Sa"/>
    <s v="-"/>
    <s v="Latam Airlines Brasil"/>
    <n v="2952834978"/>
    <x v="37"/>
    <s v="-"/>
    <x v="19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679705"/>
    <n v="23484160"/>
    <s v="ACC01"/>
    <x v="395"/>
    <d v="2025-08-05T07:34:00"/>
    <x v="1"/>
    <x v="4"/>
    <s v="STLHGX"/>
    <s v="SABRE"/>
    <s v="FREDERICO DE MESQUITA/RENATA"/>
    <s v="CT"/>
    <s v="CT"/>
    <d v="2025-08-04T12:07:00"/>
    <s v="H2EOZUM89"/>
    <s v="-"/>
    <s v="ON LINE"/>
    <s v="Cartão de crédito"/>
    <s v="Cartão AMEX"/>
    <x v="0"/>
    <s v="N"/>
    <x v="54"/>
    <s v="Basf Sa"/>
    <s v="-"/>
    <s v="Gol Linhas Aereas"/>
    <n v="7700074822"/>
    <x v="37"/>
    <s v="-"/>
    <x v="316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0"/>
    <s v="Falta de informação Gerencial"/>
    <x v="0"/>
    <s v="Qualidade dos dados"/>
    <s v="KONTIK BUSINESS TRAVEL"/>
    <x v="2"/>
  </r>
  <r>
    <n v="22679705"/>
    <n v="23484497"/>
    <s v="ACC02"/>
    <x v="395"/>
    <d v="2025-08-05T07:34:00"/>
    <x v="1"/>
    <x v="4"/>
    <s v="STLHGX"/>
    <s v="SABRE"/>
    <s v="FREDERICO DE MESQUITA/RENATA"/>
    <s v="CT"/>
    <s v="CT"/>
    <d v="2025-08-04T12:07:00"/>
    <s v="H2EOZUM89"/>
    <s v="-"/>
    <s v="ON LINE"/>
    <s v="Cartão de crédito"/>
    <s v="Cartão AMEX"/>
    <x v="0"/>
    <s v="N"/>
    <x v="54"/>
    <s v="Basf Sa"/>
    <s v="-"/>
    <s v="Gol Linhas Aereas"/>
    <n v="2142674468"/>
    <x v="37"/>
    <s v="-"/>
    <x v="316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0"/>
    <s v="Falta de informação Gerencial"/>
    <x v="0"/>
    <s v="Qualidade dos dados"/>
    <s v="KONTIK BUSINESS TRAVEL"/>
    <x v="2"/>
  </r>
  <r>
    <n v="22722710"/>
    <n v="23521031"/>
    <s v="ACC01"/>
    <x v="396"/>
    <d v="2025-08-11T13:48:30"/>
    <x v="0"/>
    <x v="0"/>
    <s v="FYWRYDC"/>
    <s v="SABRE"/>
    <s v="DAVILA/JOAO FRANCISCO DE ANDRADE MR"/>
    <s v="CT"/>
    <s v="CT"/>
    <d v="2025-08-11T09:39:00"/>
    <s v="FYWRYD"/>
    <s v="ORD"/>
    <s v="ON LINE"/>
    <s v="Invoice"/>
    <s v="Faturado"/>
    <x v="3"/>
    <s v="N"/>
    <x v="54"/>
    <s v="Ca Pesquisa e Comercio de Sementes"/>
    <s v="-"/>
    <s v="-"/>
    <s v="-"/>
    <x v="37"/>
    <s v="-"/>
    <x v="317"/>
    <n v="89.7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66296"/>
    <n v="23474141"/>
    <s v="ACC01"/>
    <x v="397"/>
    <d v="2025-08-05T07:33:43"/>
    <x v="1"/>
    <x v="4"/>
    <s v="YOUEDK"/>
    <s v="SABRE"/>
    <s v="SAEZ/AMANDA FELIX DA COSTA"/>
    <s v="CT"/>
    <s v="CT"/>
    <d v="2025-08-01T09:37:00"/>
    <s v="L2IZGVFD6"/>
    <s v="-"/>
    <s v="ON LINE"/>
    <s v="Cartão de crédito"/>
    <s v="Cartão AMEX"/>
    <x v="0"/>
    <s v="N"/>
    <x v="54"/>
    <s v="Basf Sa"/>
    <s v="-"/>
    <s v="Gol Linhas Aereas"/>
    <n v="7700074761"/>
    <x v="37"/>
    <s v="-"/>
    <x v="318"/>
    <n v="31.4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0"/>
    <s v="Falta de informação Gerencial"/>
    <x v="0"/>
    <s v="Qualidade dos dados"/>
    <s v="KONTIK BUSINESS TRAVEL"/>
    <x v="2"/>
  </r>
  <r>
    <n v="22693935"/>
    <n v="23496816"/>
    <s v="ACC01"/>
    <x v="398"/>
    <d v="2025-08-06T14:18:35"/>
    <x v="1"/>
    <x v="1"/>
    <s v="AOBZBMT"/>
    <s v="SABRE"/>
    <s v="DA SILVA/GIOVANNE JOSE MR"/>
    <s v="CT"/>
    <s v="CT"/>
    <d v="2025-08-06T11:39:00"/>
    <s v="183216610-31702"/>
    <s v="-"/>
    <s v="ON LINE"/>
    <s v="Pagamento direto"/>
    <s v="Pagamento direto"/>
    <x v="1"/>
    <s v="N"/>
    <x v="54"/>
    <s v="Chemetall do Brasil"/>
    <s v="-"/>
    <s v="-"/>
    <s v="-"/>
    <x v="37"/>
    <s v="-"/>
    <x v="319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693936"/>
    <n v="23496817"/>
    <s v="ACC01"/>
    <x v="399"/>
    <d v="2025-08-06T14:18:36"/>
    <x v="1"/>
    <x v="1"/>
    <s v="NQKJNUT"/>
    <s v="SABRE"/>
    <s v="SILVA/CICERO DIONISIO DA MR"/>
    <s v="CT"/>
    <s v="CT"/>
    <d v="2025-08-06T11:44:00"/>
    <s v="183216679-27885"/>
    <s v="-"/>
    <s v="ON LINE"/>
    <s v="Pagamento direto"/>
    <s v="Pagamento direto"/>
    <x v="1"/>
    <s v="N"/>
    <x v="54"/>
    <s v="Chemetall do Brasil"/>
    <s v="-"/>
    <s v="-"/>
    <s v="-"/>
    <x v="37"/>
    <s v="-"/>
    <x v="319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693993"/>
    <n v="23496866"/>
    <s v="ACC01"/>
    <x v="400"/>
    <d v="2025-08-06T14:36:24"/>
    <x v="1"/>
    <x v="1"/>
    <s v="AYDZPQT"/>
    <s v="SABRE"/>
    <s v="CORREIA/LEILANE MISS"/>
    <s v="CT"/>
    <s v="CT"/>
    <d v="2025-08-06T11:36:00"/>
    <s v="183216563-90811"/>
    <s v="-"/>
    <s v="ON LINE"/>
    <s v="Pagamento direto"/>
    <s v="Pagamento direto"/>
    <x v="1"/>
    <s v="N"/>
    <x v="54"/>
    <s v="Basf Sa"/>
    <s v="-"/>
    <s v="Novotel Lima San Isidro"/>
    <s v="-"/>
    <x v="37"/>
    <s v="-"/>
    <x v="320"/>
    <n v="0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693993"/>
    <n v="23496867"/>
    <s v="ACC02"/>
    <x v="400"/>
    <d v="2025-08-06T14:36:24"/>
    <x v="1"/>
    <x v="1"/>
    <s v="AYDZPQT"/>
    <s v="SABRE"/>
    <s v="CORREIA/LEILANE MISS"/>
    <s v="CT"/>
    <s v="CT"/>
    <d v="2025-08-06T11:36:00"/>
    <s v="183216563-90811"/>
    <s v="-"/>
    <s v="ON LINE"/>
    <s v="Pagamento direto"/>
    <s v="Pagamento direto"/>
    <x v="1"/>
    <s v="N"/>
    <x v="54"/>
    <s v="Basf Sa"/>
    <s v="-"/>
    <s v="-"/>
    <s v="-"/>
    <x v="37"/>
    <s v="-"/>
    <x v="321"/>
    <n v="0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684556"/>
    <n v="23488413"/>
    <s v="ACC01"/>
    <x v="401"/>
    <d v="2025-08-05T09:36:55"/>
    <x v="1"/>
    <x v="1"/>
    <s v="EXIBKMT"/>
    <s v="SABRE"/>
    <s v="LA TORRE/DANIELLA CAMPOS MRS"/>
    <s v="CT"/>
    <s v="CT"/>
    <d v="2025-08-04T09:31:00"/>
    <s v="EXIBKM"/>
    <s v="-"/>
    <s v="ON LINE"/>
    <s v="Pagamento direto"/>
    <s v="Pagamento direto"/>
    <x v="1"/>
    <s v="N"/>
    <x v="54"/>
    <s v="Basf Sa"/>
    <s v="-"/>
    <s v="Hilton Garden Inn Houston Energy Corridor"/>
    <s v="-"/>
    <x v="37"/>
    <s v="-"/>
    <x v="322"/>
    <n v="0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684556"/>
    <n v="23488414"/>
    <s v="ACC02"/>
    <x v="401"/>
    <d v="2025-08-05T09:36:55"/>
    <x v="1"/>
    <x v="1"/>
    <s v="EXIBKMT"/>
    <s v="SABRE"/>
    <s v="LA TORRE/DANIELLA CAMPOS MRS"/>
    <s v="CT"/>
    <s v="CT"/>
    <d v="2025-08-04T09:31:00"/>
    <s v="EXIBKM"/>
    <s v="-"/>
    <s v="ON LINE"/>
    <s v="Pagamento direto"/>
    <s v="Pagamento direto"/>
    <x v="1"/>
    <s v="N"/>
    <x v="54"/>
    <s v="Basf Sa"/>
    <s v="-"/>
    <s v="-"/>
    <s v="-"/>
    <x v="37"/>
    <s v="-"/>
    <x v="323"/>
    <n v="34"/>
    <n v="0"/>
    <n v="0"/>
    <n v="0"/>
    <n v="0"/>
    <n v="0"/>
    <s v="Reserva importada por HubTravel"/>
    <s v="Fornecedor não preenchido! (ACC02)"/>
    <x v="0"/>
    <x v="1"/>
    <s v="Campo Fornecedor"/>
    <x v="0"/>
    <s v="Sistêmico"/>
    <s v="GRUPO KONTIK"/>
    <x v="1"/>
  </r>
  <r>
    <n v="22681347"/>
    <n v="23485816"/>
    <s v="ACC01"/>
    <x v="402"/>
    <d v="2025-08-05T09:36:25"/>
    <x v="1"/>
    <x v="4"/>
    <s v="MSVYWLT"/>
    <s v="SABRE"/>
    <s v="LA TORRE/DANIELLA CAMPOS MRS"/>
    <s v="CT"/>
    <s v="CT"/>
    <d v="2025-08-04T09:14:00"/>
    <s v="MSVYWL"/>
    <s v="-"/>
    <s v="ON LINE"/>
    <s v="Pagamento direto"/>
    <s v="Pagamento direto"/>
    <x v="1"/>
    <s v="N"/>
    <x v="54"/>
    <s v="Basf Sa"/>
    <s v="-"/>
    <s v="-"/>
    <s v="-"/>
    <x v="37"/>
    <s v="-"/>
    <x v="324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29097"/>
    <n v="23526659"/>
    <s v="ACC01"/>
    <x v="403"/>
    <d v="2025-08-12T12:09:32"/>
    <x v="0"/>
    <x v="0"/>
    <s v="HPUXMPC"/>
    <s v="SABRE"/>
    <s v="ARAUJO SILVA/DEIDSON MR"/>
    <s v="Marcelo Pereira de Melo"/>
    <s v="Marcelo Pereira de Melo"/>
    <d v="2025-08-12T08:14:00"/>
    <s v="BA12082025"/>
    <s v="PET"/>
    <s v="OFF LINE"/>
    <s v="Invoice"/>
    <s v="Faturado"/>
    <x v="3"/>
    <s v="N"/>
    <x v="54"/>
    <s v="Basf Sa"/>
    <s v="-"/>
    <s v="-"/>
    <s v="-"/>
    <x v="37"/>
    <s v="-"/>
    <x v="325"/>
    <n v="413.13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9106"/>
    <n v="23526668"/>
    <s v="ACC01"/>
    <x v="404"/>
    <d v="2025-08-12T12:09:33"/>
    <x v="0"/>
    <x v="0"/>
    <s v="KFFMAGT"/>
    <s v="SABRE"/>
    <s v="ARAUJO SILVA/DEIDSON MR"/>
    <s v="Marcelo Pereira de Melo"/>
    <s v="Marcelo Pereira de Melo"/>
    <d v="2025-08-12T08:28:00"/>
    <s v="BA12082025"/>
    <s v="-"/>
    <s v="OFF LINE"/>
    <s v="Invoice"/>
    <s v="Faturado"/>
    <x v="1"/>
    <s v="N"/>
    <x v="54"/>
    <s v="Basf Sa"/>
    <s v="-"/>
    <s v="-"/>
    <s v="-"/>
    <x v="37"/>
    <s v="-"/>
    <x v="326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9117"/>
    <n v="23526679"/>
    <s v="ACC01"/>
    <x v="405"/>
    <d v="2025-08-12T12:09:34"/>
    <x v="0"/>
    <x v="0"/>
    <s v="KGFBAKT"/>
    <s v="SABRE"/>
    <s v="ARAUJO SILVA/DEIDSON MR"/>
    <s v="Marcelo Pereira de Melo"/>
    <s v="Marcelo Pereira de Melo"/>
    <d v="2025-08-12T09:35:00"/>
    <s v="BA12082025"/>
    <s v="-"/>
    <s v="OFF LINE"/>
    <s v="Invoice"/>
    <s v="Faturado"/>
    <x v="1"/>
    <s v="N"/>
    <x v="54"/>
    <s v="Basf Sa"/>
    <s v="-"/>
    <s v="-"/>
    <s v="-"/>
    <x v="37"/>
    <s v="-"/>
    <x v="212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9024"/>
    <n v="23526574"/>
    <s v="ACC01"/>
    <x v="406"/>
    <d v="2025-08-12T11:51:45"/>
    <x v="0"/>
    <x v="0"/>
    <s v="OSVISST"/>
    <s v="SABRE"/>
    <s v="RODRIGUES/RICARDO RODRIGO MR"/>
    <s v="Marcelo Pereira de Melo"/>
    <s v="Marcelo Pereira de Melo"/>
    <d v="2025-08-12T07:33:00"/>
    <s v="BA12082025"/>
    <s v="-"/>
    <s v="OFF LINE"/>
    <s v="Invoice"/>
    <s v="Faturado"/>
    <x v="1"/>
    <s v="N"/>
    <x v="54"/>
    <s v="Basf Sa"/>
    <s v="-"/>
    <s v="-"/>
    <s v="-"/>
    <x v="37"/>
    <s v="-"/>
    <x v="327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2439"/>
    <n v="23529872"/>
    <s v="ACC01"/>
    <x v="407"/>
    <d v="2025-08-12T19:06:24"/>
    <x v="0"/>
    <x v="0"/>
    <s v="QLESED"/>
    <s v="SABRE"/>
    <s v="DE MORAIS/MIRELEN MOREIRA"/>
    <s v="Marcelo Pereira de Melo"/>
    <s v="Marcelo Pereira de Melo"/>
    <d v="2025-08-12T16:17:00"/>
    <s v="QLESED"/>
    <s v="-"/>
    <s v="OFF LINE"/>
    <s v="Cartão de crédito"/>
    <s v="Cartão AMEX"/>
    <x v="0"/>
    <s v="N"/>
    <x v="54"/>
    <s v="Basf Sa"/>
    <s v="-"/>
    <s v="Gol Linhas Aereas"/>
    <n v="2143299560"/>
    <x v="37"/>
    <s v="-"/>
    <x v="328"/>
    <n v="98.07"/>
    <n v="0"/>
    <n v="0"/>
    <n v="0"/>
    <n v="0"/>
    <n v="0"/>
    <s v="Reserva importada por HubTravel"/>
    <s v="Finalidade não preenchida! (ACC01)"/>
    <x v="0"/>
    <x v="11"/>
    <s v="Falta de informação Gerencial"/>
    <x v="0"/>
    <s v="Qualidade dos dados"/>
    <s v="KONTIK BUSINESS TRAVEL"/>
    <x v="6"/>
  </r>
  <r>
    <n v="22707851"/>
    <n v="23509305"/>
    <s v="ACC01"/>
    <x v="408"/>
    <d v="2025-08-08T12:27:48"/>
    <x v="3"/>
    <x v="3"/>
    <s v="OMFEOFT"/>
    <s v="SABRE"/>
    <s v="GENOVEVA DE SOUZA ROBERTO/FERNANDA MRS"/>
    <s v="Marcelo Pereira de Melo"/>
    <s v="Marcelo Pereira de Melo"/>
    <d v="2025-08-08T08:57:00"/>
    <s v="BA08082025"/>
    <s v="-"/>
    <s v="OFF LINE"/>
    <s v="Cartão de crédito"/>
    <s v="Cartão de crédito"/>
    <x v="1"/>
    <s v="N"/>
    <x v="54"/>
    <s v="Basf Sa"/>
    <s v="-"/>
    <s v="-"/>
    <s v="-"/>
    <x v="37"/>
    <s v="-"/>
    <x v="329"/>
    <n v="21.5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9102"/>
    <n v="23510514"/>
    <s v="ACC01"/>
    <x v="409"/>
    <d v="2025-08-08T15:54:26"/>
    <x v="3"/>
    <x v="3"/>
    <s v="AFQGCOT"/>
    <s v="SABRE"/>
    <s v="MARASCHIN GRANJA/HENRIQUE SIR"/>
    <s v="Marcelo Pereira de Melo"/>
    <s v="Marcelo Pereira de Melo"/>
    <d v="2025-08-08T10:57:00"/>
    <s v="BA08082025"/>
    <s v="-"/>
    <s v="OFF LINE"/>
    <s v="Cartão de crédito"/>
    <s v="Cartão de crédito"/>
    <x v="1"/>
    <s v="N"/>
    <x v="54"/>
    <s v="Suvinil"/>
    <s v="-"/>
    <s v="-"/>
    <s v="-"/>
    <x v="37"/>
    <s v="-"/>
    <x v="330"/>
    <n v="271.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2888"/>
    <n v="23505006"/>
    <s v="ACC01"/>
    <x v="410"/>
    <d v="2025-08-07T18:27:31"/>
    <x v="1"/>
    <x v="1"/>
    <s v="AMIABWT"/>
    <s v="SABRE"/>
    <s v="RIBEIRO/ALEXANDRE MARQUES MR"/>
    <s v="Marcelo Pereira de Melo"/>
    <s v="Marcelo Pereira de Melo"/>
    <d v="2025-08-07T13:53:00"/>
    <s v="BA07082025"/>
    <s v="-"/>
    <s v="OFF LINE"/>
    <s v="Cartão de crédito"/>
    <s v="Cartão de crédito"/>
    <x v="1"/>
    <s v="N"/>
    <x v="54"/>
    <s v="Basf Sa"/>
    <s v="-"/>
    <s v="-"/>
    <s v="-"/>
    <x v="37"/>
    <s v="-"/>
    <x v="331"/>
    <n v="104.4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86314"/>
    <n v="23490061"/>
    <s v="ACC01"/>
    <x v="411"/>
    <d v="2025-08-05T13:57:25"/>
    <x v="1"/>
    <x v="1"/>
    <s v="CQJFIGC"/>
    <s v="SABRE"/>
    <s v="BORGES/ROBSON JAYME MR"/>
    <s v="Marcelo Pereira de Melo"/>
    <s v="Marcelo Pereira de Melo"/>
    <d v="2025-08-05T09:59:00"/>
    <s v="BA05082025"/>
    <s v="FAR"/>
    <s v="OFF LINE"/>
    <s v="Invoice"/>
    <s v="Faturado"/>
    <x v="3"/>
    <s v="N"/>
    <x v="54"/>
    <s v="Basf Sa"/>
    <s v="-"/>
    <s v="-"/>
    <s v="-"/>
    <x v="37"/>
    <s v="-"/>
    <x v="332"/>
    <n v="521.0599999999999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9107"/>
    <n v="23510518"/>
    <s v="ACC01"/>
    <x v="412"/>
    <d v="2025-08-08T15:51:00"/>
    <x v="3"/>
    <x v="3"/>
    <s v="AHCPAIT"/>
    <s v="SABRE"/>
    <s v="ISMAEL/MARCELO MANIERO MR"/>
    <s v="Marcelo de Freitas"/>
    <s v="Marcelo de Freitas"/>
    <d v="2025-08-08T11:13:00"/>
    <s v="BA0808251321"/>
    <s v="-"/>
    <s v="OFF LINE"/>
    <s v="Pagamento direto"/>
    <s v="Pagamento direto"/>
    <x v="1"/>
    <s v="N"/>
    <x v="54"/>
    <s v="Basf Sa"/>
    <s v="-"/>
    <s v="-"/>
    <s v="-"/>
    <x v="37"/>
    <s v="-"/>
    <x v="333"/>
    <n v="11.2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2914"/>
    <n v="23505033"/>
    <s v="ACC01"/>
    <x v="413"/>
    <d v="2025-08-07T18:31:19"/>
    <x v="1"/>
    <x v="1"/>
    <s v="LZUBCV"/>
    <s v="SABRE"/>
    <s v="DE OLIVEIRA/ANDRE"/>
    <s v="Beatrys Ferreira Rocha"/>
    <s v="Marcelo de Freitas"/>
    <d v="2025-08-06T00:00:00"/>
    <s v="BA0608251144"/>
    <s v="-"/>
    <s v="OFF LINE"/>
    <s v="Cartão de crédito"/>
    <s v="Cartão AMEX"/>
    <x v="0"/>
    <s v="N"/>
    <x v="54"/>
    <s v="Basf Sa"/>
    <s v="-"/>
    <s v="Latam Airlines Brasil"/>
    <n v="2971606798"/>
    <x v="37"/>
    <s v="-"/>
    <x v="334"/>
    <n v="59.54"/>
    <n v="421.08"/>
    <n v="0"/>
    <n v="59.54"/>
    <n v="0"/>
    <n v="0"/>
    <s v="Reserva importada por HubTravel"/>
    <s v="Verificação de bilhetes: Bilhete 2971606798 já sendo utilizado para este fornecedor."/>
    <x v="0"/>
    <x v="6"/>
    <s v="Bilhete Já Contabilizado"/>
    <x v="2"/>
    <s v="Qualidade dos dados"/>
    <s v="GRUPO KONTIK"/>
    <x v="5"/>
  </r>
  <r>
    <n v="22707214"/>
    <n v="23508639"/>
    <s v="ACC01"/>
    <x v="414"/>
    <d v="2025-08-08T10:48:38"/>
    <x v="3"/>
    <x v="3"/>
    <s v="QVMOHZT"/>
    <s v="SABRE"/>
    <s v="CARNEIRO/CARLOS ALMEIDA DURSO MR"/>
    <s v="Fabiola Lima de Oliveira"/>
    <s v="Fabiola Lima de Oliveira"/>
    <d v="2025-08-08T06:59:00"/>
    <s v="BA0808250901"/>
    <s v="-"/>
    <s v="OFF LINE"/>
    <s v="Pagamento direto"/>
    <s v="Pagamento direto"/>
    <x v="1"/>
    <s v="N"/>
    <x v="54"/>
    <s v="Basf Sa"/>
    <s v="-"/>
    <s v="-"/>
    <s v="-"/>
    <x v="37"/>
    <s v="-"/>
    <x v="335"/>
    <n v="22.6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3427"/>
    <n v="23521707"/>
    <s v="ACC01"/>
    <x v="415"/>
    <d v="2025-08-11T16:09:36"/>
    <x v="0"/>
    <x v="0"/>
    <s v="SKKLTLT"/>
    <s v="SABRE"/>
    <s v="FERNANDES/RAFAEL PAPA MR"/>
    <s v="Fabiola Lima de Oliveira"/>
    <s v="Fabiola Lima de Oliveira"/>
    <d v="2025-08-08T14:30:00"/>
    <s v="BA1108251544"/>
    <s v="-"/>
    <s v="OFF LINE"/>
    <s v="Pagamento direto"/>
    <s v="Pagamento direto"/>
    <x v="1"/>
    <s v="N"/>
    <x v="54"/>
    <s v="Suvinil"/>
    <s v="-"/>
    <s v="-"/>
    <s v="-"/>
    <x v="37"/>
    <s v="-"/>
    <x v="336"/>
    <n v="75.55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1122"/>
    <n v="23519513"/>
    <s v="ACC01"/>
    <x v="416"/>
    <d v="2025-08-11T10:07:41"/>
    <x v="0"/>
    <x v="0"/>
    <s v="JDGMQQT"/>
    <s v="SABRE"/>
    <s v="MEDEIROS RIEKES/AUGUSTO MR"/>
    <s v="Fabiola Lima de Oliveira"/>
    <s v="Fabiola Lima de Oliveira"/>
    <d v="2025-08-11T06:57:00"/>
    <s v="BA1108250854"/>
    <s v="-"/>
    <s v="OFF LINE"/>
    <s v="Pagamento direto"/>
    <s v="Pagamento direto"/>
    <x v="1"/>
    <s v="N"/>
    <x v="54"/>
    <s v="Basf Sa"/>
    <s v="-"/>
    <s v="-"/>
    <s v="-"/>
    <x v="37"/>
    <s v="-"/>
    <x v="337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65512"/>
    <n v="23473416"/>
    <s v="ACC01"/>
    <x v="417"/>
    <d v="2025-08-05T07:36:18"/>
    <x v="1"/>
    <x v="4"/>
    <s v="DMAPRQT"/>
    <s v="SABRE"/>
    <s v="GABIN/ADOLFO LUIS MR"/>
    <s v="WS"/>
    <s v="WS"/>
    <d v="2025-07-28T12:31:00"/>
    <s v="DMAPRQ"/>
    <s v="-"/>
    <s v="ON LINE"/>
    <s v="Cartão de crédito"/>
    <s v="Cartão de crédito"/>
    <x v="1"/>
    <s v="N"/>
    <x v="55"/>
    <s v="Chanel"/>
    <s v="-"/>
    <s v="Ruby Claire Hotel &amp; Bar"/>
    <s v="-"/>
    <x v="38"/>
    <s v="-"/>
    <x v="338"/>
    <n v="0"/>
    <n v="0"/>
    <n v="0"/>
    <n v="0"/>
    <n v="0"/>
    <n v="0"/>
    <s v="Reserva importada por HubTravel"/>
    <s v="Centro de custo não preenchido! (ACC01) Matrícula não preenchida! (ACC01)"/>
    <x v="0"/>
    <x v="0"/>
    <s v="Falta de informação Gerencial"/>
    <x v="0"/>
    <s v="Qualidade dos dados"/>
    <s v="KONTIK BUSINESS TRAVEL"/>
    <x v="2"/>
  </r>
  <r>
    <n v="22730879"/>
    <n v="23528375"/>
    <s v="ACC01"/>
    <x v="418"/>
    <d v="2025-08-12T16:21:20"/>
    <x v="0"/>
    <x v="0"/>
    <s v="DNDSBV"/>
    <s v="SABRE"/>
    <s v="SANTOS/MARIA"/>
    <s v="Itamar de Souza"/>
    <s v="Marcia Pereira dos Santos Soares"/>
    <d v="2025-07-25T09:45:00"/>
    <s v="CH2507251510"/>
    <s v="-"/>
    <s v="OFF LINE"/>
    <s v="Invoice"/>
    <s v="Faturado"/>
    <x v="0"/>
    <s v="N"/>
    <x v="55"/>
    <s v="Chanel"/>
    <s v="-"/>
    <s v="Latam Airlines Brasil"/>
    <n v="2952834974"/>
    <x v="38"/>
    <s v="-"/>
    <x v="339"/>
    <n v="173.08"/>
    <n v="0"/>
    <n v="0"/>
    <n v="173.08"/>
    <n v="0"/>
    <n v="0"/>
    <s v="Reserva importada por HubTravel"/>
    <s v="Falta informar o status no trecho da accounting aérea (Bilhete: 2952834974)"/>
    <x v="0"/>
    <x v="12"/>
    <s v="Atualização de Trechos"/>
    <x v="0"/>
    <s v="Qualidade dos dados"/>
    <s v="KONTIK BUSINESS TRAVEL"/>
    <x v="6"/>
  </r>
  <r>
    <n v="22730879"/>
    <n v="23528376"/>
    <s v="ACC02"/>
    <x v="418"/>
    <d v="2025-08-12T16:21:20"/>
    <x v="0"/>
    <x v="0"/>
    <s v="DNDSBV"/>
    <s v="SABRE"/>
    <s v="SANTOS/MARIA"/>
    <s v="Itamar de Souza"/>
    <s v="Marcia Pereira dos Santos Soares"/>
    <d v="2025-07-25T09:45:00"/>
    <s v="CH2507251510"/>
    <s v="-"/>
    <s v="OFF LINE"/>
    <s v="?"/>
    <s v="TKT"/>
    <x v="0"/>
    <s v="N"/>
    <x v="55"/>
    <s v="Chanel"/>
    <s v="-"/>
    <s v="Latam Airlines Brasil"/>
    <n v="2952834974"/>
    <x v="38"/>
    <s v="-"/>
    <x v="19"/>
    <n v="0"/>
    <n v="0"/>
    <n v="0"/>
    <n v="0"/>
    <n v="0"/>
    <n v="0"/>
    <s v="Reserva importada por HubTravel"/>
    <s v="Falta informar o status no trecho da accounting aérea (Bilhete: 2952834974)"/>
    <x v="0"/>
    <x v="12"/>
    <s v="Atualização de Trechos"/>
    <x v="0"/>
    <s v="Qualidade dos dados"/>
    <s v="KONTIK BUSINESS TRAVEL"/>
    <x v="6"/>
  </r>
  <r>
    <n v="22730879"/>
    <n v="23528377"/>
    <s v="ACC03"/>
    <x v="418"/>
    <d v="2025-08-12T16:21:20"/>
    <x v="0"/>
    <x v="0"/>
    <s v="DNDSBV"/>
    <s v="SABRE"/>
    <s v="SANTOS/MARIA"/>
    <s v="Itamar de Souza"/>
    <s v="Marcia Pereira dos Santos Soares"/>
    <d v="2025-07-25T09:45:00"/>
    <s v="CH2507251510"/>
    <s v="-"/>
    <s v="OFF LINE"/>
    <s v="?"/>
    <s v="TKT"/>
    <x v="0"/>
    <s v="N"/>
    <x v="55"/>
    <s v="Chanel"/>
    <s v="-"/>
    <s v="Latam Airlines Brasil"/>
    <n v="2952834974"/>
    <x v="38"/>
    <s v="-"/>
    <x v="19"/>
    <n v="0"/>
    <n v="0"/>
    <n v="0"/>
    <n v="53.57"/>
    <n v="0"/>
    <n v="0"/>
    <s v="Reserva importada por HubTravel"/>
    <s v="Falta informar o status no trecho da accounting aérea (Bilhete: 2952834974)"/>
    <x v="0"/>
    <x v="12"/>
    <s v="Atualização de Trechos"/>
    <x v="0"/>
    <s v="Qualidade dos dados"/>
    <s v="KONTIK BUSINESS TRAVEL"/>
    <x v="6"/>
  </r>
  <r>
    <n v="22730882"/>
    <n v="23528384"/>
    <s v="ACC01"/>
    <x v="419"/>
    <d v="2025-08-12T16:27:21"/>
    <x v="0"/>
    <x v="0"/>
    <s v="YAREHZ"/>
    <s v="SABRE"/>
    <s v="SANTOS/JULIANA"/>
    <s v="Itamar de Souza"/>
    <s v="Marcia Pereira dos Santos Soares"/>
    <d v="2025-07-25T09:43:00"/>
    <s v="CH2507251450"/>
    <s v="-"/>
    <s v="OFF LINE"/>
    <s v="Invoice"/>
    <s v="Faturado"/>
    <x v="0"/>
    <s v="N"/>
    <x v="55"/>
    <s v="Chanel"/>
    <s v="-"/>
    <s v="Latam Airlines Brasil"/>
    <n v="2952834975"/>
    <x v="38"/>
    <s v="-"/>
    <x v="339"/>
    <n v="0"/>
    <n v="493.98"/>
    <n v="0"/>
    <n v="173.08"/>
    <n v="0"/>
    <n v="0"/>
    <s v="Reserva importada por HubTravel"/>
    <s v="Falta informar o status no trecho da accounting aérea (Bilhete: 2952834975)"/>
    <x v="0"/>
    <x v="12"/>
    <s v="Atualização de Trechos"/>
    <x v="0"/>
    <s v="Qualidade dos dados"/>
    <s v="KONTIK BUSINESS TRAVEL"/>
    <x v="6"/>
  </r>
  <r>
    <n v="22730882"/>
    <n v="23528385"/>
    <s v="ACC02"/>
    <x v="419"/>
    <d v="2025-08-12T16:27:21"/>
    <x v="0"/>
    <x v="0"/>
    <s v="YAREHZ"/>
    <s v="SABRE"/>
    <s v="SANTOS/JULIANA"/>
    <s v="Itamar de Souza"/>
    <s v="Marcia Pereira dos Santos Soares"/>
    <d v="2025-07-25T09:43:00"/>
    <s v="CH2507251450"/>
    <s v="-"/>
    <s v="OFF LINE"/>
    <s v="?"/>
    <s v="TKT"/>
    <x v="0"/>
    <s v="N"/>
    <x v="55"/>
    <s v="Chanel"/>
    <s v="-"/>
    <s v="Latam Airlines Brasil"/>
    <n v="2952834975"/>
    <x v="38"/>
    <s v="-"/>
    <x v="19"/>
    <n v="0"/>
    <n v="0"/>
    <n v="0"/>
    <n v="0"/>
    <n v="0"/>
    <n v="0"/>
    <s v="Reserva importada por HubTravel"/>
    <s v="Falta informar o status no trecho da accounting aérea (Bilhete: 2952834975)"/>
    <x v="0"/>
    <x v="12"/>
    <s v="Atualização de Trechos"/>
    <x v="0"/>
    <s v="Qualidade dos dados"/>
    <s v="KONTIK BUSINESS TRAVEL"/>
    <x v="6"/>
  </r>
  <r>
    <n v="22730882"/>
    <n v="23528386"/>
    <s v="ACC03"/>
    <x v="419"/>
    <d v="2025-08-12T16:27:21"/>
    <x v="0"/>
    <x v="0"/>
    <s v="YAREHZ"/>
    <s v="SABRE"/>
    <s v="SANTOS/JULIANA"/>
    <s v="Itamar de Souza"/>
    <s v="Marcia Pereira dos Santos Soares"/>
    <d v="2025-07-25T09:43:00"/>
    <s v="CH2507251450"/>
    <s v="-"/>
    <s v="OFF LINE"/>
    <s v="?"/>
    <s v="TKT"/>
    <x v="0"/>
    <s v="N"/>
    <x v="55"/>
    <s v="Chanel"/>
    <s v="-"/>
    <s v="Latam Airlines Brasil"/>
    <n v="2952834975"/>
    <x v="38"/>
    <s v="-"/>
    <x v="19"/>
    <n v="0"/>
    <n v="0"/>
    <n v="0"/>
    <n v="53.57"/>
    <n v="0"/>
    <n v="0"/>
    <s v="Reserva importada por HubTravel"/>
    <s v="Falta informar o status no trecho da accounting aérea (Bilhete: 2952834975)"/>
    <x v="0"/>
    <x v="12"/>
    <s v="Atualização de Trechos"/>
    <x v="0"/>
    <s v="Qualidade dos dados"/>
    <s v="KONTIK BUSINESS TRAVEL"/>
    <x v="6"/>
  </r>
  <r>
    <n v="22707072"/>
    <n v="23508507"/>
    <s v="ACC01"/>
    <x v="420"/>
    <d v="2025-08-08T10:18:35"/>
    <x v="3"/>
    <x v="3"/>
    <s v="GEHKMA"/>
    <s v="SABRE"/>
    <s v="PERIM DRAGO/CRISTINA"/>
    <s v="Itamar de Souza"/>
    <s v="Marcia Pereira dos Santos Soares"/>
    <d v="2025-08-07T12:59:00"/>
    <s v="CH0708251903"/>
    <s v="-"/>
    <s v="OFF LINE"/>
    <s v="?"/>
    <s v="TKT"/>
    <x v="0"/>
    <s v="N"/>
    <x v="55"/>
    <s v="Chanel"/>
    <s v="-"/>
    <s v="Latam Airlines Brasil"/>
    <n v="2952816553"/>
    <x v="38"/>
    <s v="-"/>
    <x v="19"/>
    <n v="0"/>
    <n v="450"/>
    <n v="0"/>
    <n v="67.209999999999994"/>
    <n v="0"/>
    <n v="0"/>
    <s v="Reserva importada por HubTravel"/>
    <s v="Verificação de bilhetes: Bilhete 2952816553 já sendo utilizado para este fornecedor."/>
    <x v="0"/>
    <x v="6"/>
    <s v="Bilhete Já Contabilizado"/>
    <x v="2"/>
    <s v="Qualidade dos dados"/>
    <s v="GRUPO KONTIK"/>
    <x v="5"/>
  </r>
  <r>
    <n v="22677867"/>
    <n v="23482464"/>
    <s v="ACC01"/>
    <x v="421"/>
    <d v="2025-08-05T07:36:20"/>
    <x v="1"/>
    <x v="4"/>
    <s v="EZHMTUT"/>
    <s v="SABRE"/>
    <s v="SANTOS GOMES II/LUANA SANTOS GOMES MISS"/>
    <s v="Karen Aparecida Ferreira"/>
    <s v="Karen Aparecida Ferreira"/>
    <d v="2025-08-04T09:24:00"/>
    <s v="NI3107250906"/>
    <s v="-"/>
    <s v="OFF LINE"/>
    <s v="Pagamento direto"/>
    <s v="Pagamento direto"/>
    <x v="1"/>
    <s v="N"/>
    <x v="56"/>
    <s v="Nielseniq do Brasil"/>
    <s v="Cliente FEE no POS"/>
    <s v="Novotel Porto Alegre Airport"/>
    <s v="-"/>
    <x v="39"/>
    <s v="-"/>
    <x v="19"/>
    <n v="0"/>
    <n v="0"/>
    <n v="0"/>
    <n v="0"/>
    <n v="0"/>
    <n v="0"/>
    <s v="Reserva importada por HubTravel"/>
    <s v="Este cliente não possui permissão para usar este tipo de pagamento e recebimento para este produto."/>
    <x v="0"/>
    <x v="7"/>
    <s v="Forma PG. e REC."/>
    <x v="0"/>
    <s v="Sistêmico"/>
    <s v="GRUPO KONTIK"/>
    <x v="1"/>
  </r>
  <r>
    <n v="22677868"/>
    <n v="23482465"/>
    <s v="ACC01"/>
    <x v="422"/>
    <d v="2025-08-05T07:36:20"/>
    <x v="1"/>
    <x v="4"/>
    <s v="QLJMYNT"/>
    <s v="SABRE"/>
    <s v="JOSE CRISPIM/FABRICIO"/>
    <s v="Karen Aparecida Ferreira"/>
    <s v="Karen Aparecida Ferreira"/>
    <d v="2025-08-04T09:30:00"/>
    <s v="NI3107250942"/>
    <s v="-"/>
    <s v="OFF LINE"/>
    <s v="Pagamento direto"/>
    <s v="Pagamento direto"/>
    <x v="1"/>
    <s v="N"/>
    <x v="56"/>
    <s v="Nielseniq do Brasil"/>
    <s v="Cliente FEE no POS"/>
    <s v="Novotel Porto Alegre Airport"/>
    <s v="-"/>
    <x v="39"/>
    <s v="-"/>
    <x v="19"/>
    <n v="0"/>
    <n v="0"/>
    <n v="0"/>
    <n v="0"/>
    <n v="0"/>
    <n v="0"/>
    <s v="Reserva importada por HubTravel"/>
    <s v="Este cliente não possui permissão para usar este tipo de pagamento e recebimento para este produto."/>
    <x v="0"/>
    <x v="7"/>
    <s v="Forma PG. e REC."/>
    <x v="0"/>
    <s v="Sistêmico"/>
    <s v="GRUPO KONTIK"/>
    <x v="1"/>
  </r>
  <r>
    <n v="22731397"/>
    <n v="23528863"/>
    <s v="ACC01"/>
    <x v="423"/>
    <d v="2025-08-13T05:21:12"/>
    <x v="0"/>
    <x v="0"/>
    <s v="CLFJBPT"/>
    <s v="SABRE"/>
    <s v="ABREU/JOAO PEDRO DE OLIVEIRA"/>
    <s v="Marcia Pereira dos Santos Soares"/>
    <s v="Marcia Pereira dos Santos Soares"/>
    <d v="2025-08-12T14:53:00"/>
    <s v="NI1208251723_0"/>
    <s v="-"/>
    <s v="OFF LINE"/>
    <s v="Cartão de crédito"/>
    <s v="Cartão de crédito"/>
    <x v="1"/>
    <s v="N"/>
    <x v="56"/>
    <s v="Nielseniq do Brasil"/>
    <s v="Cliente FEE no POS"/>
    <s v="-"/>
    <s v="-"/>
    <x v="39"/>
    <s v="-"/>
    <x v="340"/>
    <n v="0"/>
    <n v="0"/>
    <n v="0"/>
    <n v="0"/>
    <n v="0"/>
    <n v="43.58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9284"/>
    <n v="23510695"/>
    <s v="ACC01"/>
    <x v="424"/>
    <d v="2025-08-09T05:21:22"/>
    <x v="3"/>
    <x v="3"/>
    <s v="AJCZAET"/>
    <s v="SABRE"/>
    <s v="NEVES DE OLIVEIRA/GUILHERME MR"/>
    <s v="WS"/>
    <s v="WS"/>
    <d v="2025-08-07T13:25:00"/>
    <s v="AJCZAE"/>
    <s v="-"/>
    <s v="ON LINE"/>
    <s v="Cartão de crédito"/>
    <s v="Cartão de crédito"/>
    <x v="1"/>
    <s v="N"/>
    <x v="56"/>
    <s v="Nielseniq do Brasil"/>
    <s v="Cliente FEE no POS"/>
    <s v="-"/>
    <s v="-"/>
    <x v="39"/>
    <s v="-"/>
    <x v="341"/>
    <n v="819"/>
    <n v="0"/>
    <n v="0"/>
    <n v="0"/>
    <n v="0"/>
    <n v="27.4"/>
    <s v="Reserva importada por HubTravel"/>
    <s v="Fornecedor não preenchido! (ACC01)"/>
    <x v="0"/>
    <x v="1"/>
    <s v="Campo Fornecedor"/>
    <x v="0"/>
    <s v="Sistêmico"/>
    <s v="GRUPO KONTIK"/>
    <x v="1"/>
  </r>
  <r>
    <n v="22639240"/>
    <n v="23450273"/>
    <s v="ACC01"/>
    <x v="425"/>
    <d v="2025-07-28T16:36:05"/>
    <x v="4"/>
    <x v="5"/>
    <s v="WLHAOCT"/>
    <s v="SABRE"/>
    <s v="COSTA/MARCOS ROGERIO MR"/>
    <s v="Eliane da Silva Souza Paula"/>
    <s v="Eliane da Silva Souza Paula"/>
    <d v="2025-07-28T13:35:00"/>
    <s v="LU"/>
    <s v="-"/>
    <s v="OFF LINE"/>
    <s v="Invoice"/>
    <s v="Faturado"/>
    <x v="1"/>
    <s v="N"/>
    <x v="57"/>
    <s v="Sibelco - Pedra do Indaia - Matriz"/>
    <s v="-"/>
    <s v="-"/>
    <s v="-"/>
    <x v="40"/>
    <s v="-"/>
    <x v="342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3434"/>
    <n v="23505533"/>
    <s v="ACC01"/>
    <x v="426"/>
    <d v="2025-08-08T05:48:40"/>
    <x v="3"/>
    <x v="1"/>
    <s v="ITRJBM"/>
    <s v="SABRE"/>
    <s v="DE ANDRADE BALTIERI/BEATRIZ"/>
    <s v="WS"/>
    <s v="WS"/>
    <d v="2025-08-07T16:00:00"/>
    <s v="ITRJBM"/>
    <s v="-"/>
    <s v="ON LINE"/>
    <s v="Cartão de crédito"/>
    <s v="Cartão de crédito"/>
    <x v="0"/>
    <s v="N"/>
    <x v="58"/>
    <s v="Sep Global Informacoes do Brasil Ltda"/>
    <s v="Cliente FEE no POS"/>
    <s v="Gol Linhas Aereas"/>
    <n v="2142913928"/>
    <x v="41"/>
    <s v="-"/>
    <x v="19"/>
    <n v="0"/>
    <n v="0"/>
    <n v="0"/>
    <n v="0"/>
    <n v="0"/>
    <n v="0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701015"/>
    <n v="23503212"/>
    <s v="ACC01"/>
    <x v="427"/>
    <d v="2025-08-08T05:24:24"/>
    <x v="3"/>
    <x v="1"/>
    <s v="OZGZRD"/>
    <s v="SABRE"/>
    <s v="MONTEIRO LOPES/JOAO VITOR"/>
    <s v="WS"/>
    <s v="WS"/>
    <d v="2025-08-06T21:56:00"/>
    <s v="OZGZRD"/>
    <s v="-"/>
    <s v="ON LINE"/>
    <s v="Cartão de crédito"/>
    <s v="Cartão de crédito"/>
    <x v="0"/>
    <s v="N"/>
    <x v="58"/>
    <s v="Ihs Informacoes Rio de Janeiro"/>
    <s v="Cliente FEE no POS"/>
    <s v="Gol Linhas Aereas"/>
    <n v="2142860774"/>
    <x v="41"/>
    <s v="-"/>
    <x v="19"/>
    <n v="0"/>
    <n v="0"/>
    <n v="0"/>
    <n v="0"/>
    <n v="0"/>
    <n v="0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666258"/>
    <n v="23474104"/>
    <s v="ACC01"/>
    <x v="428"/>
    <d v="2025-08-05T07:33:43"/>
    <x v="1"/>
    <x v="4"/>
    <s v="AMPJWB"/>
    <s v="SABRE"/>
    <s v="SILVA/ANNE MS"/>
    <s v="WS"/>
    <s v="WS"/>
    <d v="2025-08-01T14:29:00"/>
    <s v="AMPJWB"/>
    <s v="-"/>
    <s v="ON LINE"/>
    <s v="Cartão de crédito"/>
    <s v="Cartão de crédito"/>
    <x v="0"/>
    <s v="N"/>
    <x v="58"/>
    <s v="Sep Global Informacoes do Brasil Ltda"/>
    <s v="Cliente FEE no POS"/>
    <s v="Gol Linhas Aereas"/>
    <n v="214509971"/>
    <x v="41"/>
    <s v="-"/>
    <x v="19"/>
    <n v="0"/>
    <n v="0"/>
    <n v="0"/>
    <n v="0"/>
    <n v="0"/>
    <n v="0"/>
    <s v="Reserva importada por HubTravel"/>
    <s v="Tarifa máxima não preenchida! (ACC01)"/>
    <x v="0"/>
    <x v="16"/>
    <s v="Falta de informação Gerencial"/>
    <x v="0"/>
    <s v="Qualidade dos dados"/>
    <s v="KONTIK BUSINESS TRAVEL"/>
    <x v="2"/>
  </r>
  <r>
    <n v="22663487"/>
    <n v="23471535"/>
    <s v="ACC01"/>
    <x v="429"/>
    <d v="2025-08-05T07:33:41"/>
    <x v="1"/>
    <x v="4"/>
    <s v="EVWVYE"/>
    <s v="SABRE"/>
    <s v="DA SILVA/RODRIGO"/>
    <s v="WS"/>
    <s v="WS"/>
    <d v="2025-07-31T17:06:00"/>
    <s v="EVWVYE"/>
    <s v="-"/>
    <s v="ON LINE"/>
    <s v="Cartão de crédito"/>
    <s v="Cartão de crédito"/>
    <x v="0"/>
    <s v="N"/>
    <x v="58"/>
    <s v="Sep Global Informacoes do Brasil Ltda"/>
    <s v="Cliente FEE no POS"/>
    <s v="Gol Linhas Aereas"/>
    <n v="2142457250"/>
    <x v="41"/>
    <s v="-"/>
    <x v="19"/>
    <n v="0"/>
    <n v="0"/>
    <n v="0"/>
    <n v="0"/>
    <n v="0"/>
    <n v="0"/>
    <s v="Reserva importada por HubTravel"/>
    <s v="Tarifa máxima não preenchida! (ACC01) Finalidade não preenchida! (ACC01)"/>
    <x v="0"/>
    <x v="0"/>
    <s v="Falta de informação Gerencial"/>
    <x v="0"/>
    <s v="Qualidade dos dados"/>
    <s v="KONTIK BUSINESS TRAVEL"/>
    <x v="2"/>
  </r>
  <r>
    <n v="22732386"/>
    <n v="23529824"/>
    <s v="ACC01"/>
    <x v="430"/>
    <d v="2025-08-12T19:11:51"/>
    <x v="0"/>
    <x v="0"/>
    <s v="JGQJOV"/>
    <s v="TMS"/>
    <s v="THALES SILVA"/>
    <s v="Alexandre Isidio da Silva"/>
    <s v="Alexandre Isidio da Silva"/>
    <d v="2025-08-12T18:01:00"/>
    <n v="17120"/>
    <s v="-"/>
    <s v="OFF LINE"/>
    <s v="Cartão de crédito"/>
    <s v="Cartão de crédito"/>
    <x v="0"/>
    <s v="N"/>
    <x v="59"/>
    <s v="Petroreconcavo"/>
    <s v="-"/>
    <s v="Air Canada"/>
    <n v="2971622843"/>
    <x v="42"/>
    <s v="-"/>
    <x v="343"/>
    <n v="0"/>
    <n v="0"/>
    <n v="0"/>
    <n v="0"/>
    <n v="0"/>
    <n v="0"/>
    <s v="Reserva importada do Sistema TMS. OS: 17120"/>
    <s v="Verificação de bilhetes: Bilhete 2971622843 já sendo utilizado para este fornecedor."/>
    <x v="1"/>
    <x v="6"/>
    <s v="Bilhete Já Contabilizado"/>
    <x v="2"/>
    <s v="Qualidade dos dados"/>
    <s v="GRUPO KONTIK"/>
    <x v="5"/>
  </r>
  <r>
    <n v="22646034"/>
    <n v="23456182"/>
    <s v="ACC01"/>
    <x v="431"/>
    <d v="2025-07-29T16:51:07"/>
    <x v="2"/>
    <x v="4"/>
    <n v="19351827"/>
    <s v="GOVER"/>
    <s v="Gustavo FRANCA"/>
    <s v="Gover"/>
    <s v="Gover"/>
    <d v="2025-07-29T14:00:00"/>
    <n v="4573938"/>
    <s v="-"/>
    <s v="OFF LINE"/>
    <s v="Invoice"/>
    <s v="Faturado"/>
    <x v="1"/>
    <s v="N"/>
    <x v="60"/>
    <s v="Arcadis"/>
    <s v="-"/>
    <s v="Mhajol Plaza Hotel"/>
    <s v="-"/>
    <x v="43"/>
    <s v="-"/>
    <x v="344"/>
    <n v="16.899999999999999"/>
    <n v="0"/>
    <n v="0"/>
    <n v="0"/>
    <n v="0"/>
    <n v="0"/>
    <s v="Reserva importada do sistema Gover. Id: 4573938"/>
    <s v="Não foi possível encontrar um contrato válido para o fornecedor 24774 (Código fornecedor) "/>
    <x v="5"/>
    <x v="5"/>
    <s v="Análise Cadastro"/>
    <x v="0"/>
    <s v="Qualidade dos dados"/>
    <s v="KONTIK BUSINESS TRAVEL"/>
    <x v="2"/>
  </r>
  <r>
    <n v="22646070"/>
    <n v="23456209"/>
    <s v="ACC01"/>
    <x v="432"/>
    <d v="2025-07-29T16:51:25"/>
    <x v="2"/>
    <x v="4"/>
    <n v="19352264"/>
    <s v="GOVER"/>
    <s v="Ana B CONCEICAO DE AMORIM COELHO"/>
    <s v="Gover"/>
    <s v="Gover"/>
    <d v="2025-07-29T14:10:00"/>
    <n v="4573950"/>
    <s v="-"/>
    <s v="OFF LINE"/>
    <s v="Invoice"/>
    <s v="Faturado"/>
    <x v="1"/>
    <s v="N"/>
    <x v="60"/>
    <s v="Arcadis"/>
    <s v="-"/>
    <s v="Mhajol Plaza Hotel"/>
    <s v="-"/>
    <x v="43"/>
    <s v="-"/>
    <x v="344"/>
    <n v="16.899999999999999"/>
    <n v="0"/>
    <n v="0"/>
    <n v="0"/>
    <n v="0"/>
    <n v="0"/>
    <s v="Reserva importada do sistema Gover. Id: 4573950"/>
    <s v="Não foi possível encontrar um contrato válido para o fornecedor 24774 (Código fornecedor) "/>
    <x v="5"/>
    <x v="5"/>
    <s v="Análise Cadastro"/>
    <x v="0"/>
    <s v="Qualidade dos dados"/>
    <s v="KONTIK BUSINESS TRAVEL"/>
    <x v="2"/>
  </r>
  <r>
    <n v="22729895"/>
    <n v="23527422"/>
    <s v="ACC01"/>
    <x v="433"/>
    <d v="2025-08-12T12:55:21"/>
    <x v="0"/>
    <x v="0"/>
    <s v="MV2M9OAHSIBR"/>
    <s v="GOVER"/>
    <s v="Tais AVELAR GUIMARAES"/>
    <s v="Ana Carolina da Silva"/>
    <s v="Ana Carolina da Silva"/>
    <d v="2025-08-12T12:45:00"/>
    <n v="4580746"/>
    <s v="Movida - Br - Sp - Sao Paulo - Bela Vista - Shoppi Endereço: Rua Rua Treze de Maio 1947"/>
    <s v="OFF LINE"/>
    <s v="Invoice"/>
    <s v="Faturado"/>
    <x v="3"/>
    <s v="N"/>
    <x v="60"/>
    <s v="Arcadis"/>
    <s v="-"/>
    <s v="-"/>
    <s v="-"/>
    <x v="43"/>
    <s v="-"/>
    <x v="345"/>
    <n v="0"/>
    <n v="0"/>
    <n v="0"/>
    <n v="0"/>
    <n v="0"/>
    <n v="0"/>
    <s v="Reserva importada do sistema Gover. Id: 4580746"/>
    <s v="Fornecedor não preenchido! (ACC01)"/>
    <x v="5"/>
    <x v="1"/>
    <s v="Campo Fornecedor"/>
    <x v="0"/>
    <s v="Qualidade dos dados"/>
    <s v="KONTIK BUSINESS TRAVEL"/>
    <x v="2"/>
  </r>
  <r>
    <n v="22729856"/>
    <n v="23527388"/>
    <s v="ACC01"/>
    <x v="434"/>
    <d v="2025-08-12T12:45:23"/>
    <x v="0"/>
    <x v="0"/>
    <s v="MV3024FG78BR"/>
    <s v="GOVER"/>
    <s v="Wilson LIMA GOMES JUNIOR"/>
    <s v="Ana Carolina da Silva"/>
    <s v="Ana Carolina da Silva"/>
    <d v="2025-08-12T12:36:00"/>
    <n v="4580142"/>
    <s v="Movida - Br - Sp - Sao Paulo - Pinheiros Endereço: Avenida Reboucas, 3970 Pinheiros"/>
    <s v="OFF LINE"/>
    <s v="Invoice"/>
    <s v="Faturado"/>
    <x v="3"/>
    <s v="N"/>
    <x v="60"/>
    <s v="Arcadis"/>
    <s v="-"/>
    <s v="-"/>
    <s v="-"/>
    <x v="43"/>
    <s v="-"/>
    <x v="346"/>
    <n v="0"/>
    <n v="0"/>
    <n v="0"/>
    <n v="0"/>
    <n v="0"/>
    <n v="0"/>
    <s v="Reserva importada do sistema Gover. Id: 4580142"/>
    <s v="Fornecedor não preenchido! (ACC01)"/>
    <x v="5"/>
    <x v="1"/>
    <s v="Campo Fornecedor"/>
    <x v="0"/>
    <s v="Qualidade dos dados"/>
    <s v="KONTIK BUSINESS TRAVEL"/>
    <x v="2"/>
  </r>
  <r>
    <n v="22680436"/>
    <n v="23484905"/>
    <s v="ACC01"/>
    <x v="435"/>
    <d v="2025-08-04T18:15:54"/>
    <x v="2"/>
    <x v="4"/>
    <s v="5FYE0K"/>
    <s v="TMS"/>
    <s v="MERIELEN SILVA"/>
    <s v="Mauricio Almeida de Lima"/>
    <s v="Mauricio Almeida de Lima"/>
    <d v="2025-08-04T14:36:00"/>
    <n v="79826"/>
    <s v="-"/>
    <s v="OFF LINE"/>
    <s v="Pagamento direto"/>
    <s v="Pagamento direto"/>
    <x v="1"/>
    <s v="N"/>
    <x v="4"/>
    <s v="Ache Laboratorios Farmaceuticos Sa"/>
    <s v="-"/>
    <s v="-"/>
    <s v="-"/>
    <x v="44"/>
    <s v="-"/>
    <x v="347"/>
    <n v="0"/>
    <n v="0"/>
    <n v="0"/>
    <n v="0"/>
    <n v="0"/>
    <n v="0"/>
    <s v="Reserva importada do Sistema TMS. OS: 79826"/>
    <s v="Fornecedor não preenchido! (ACC01)"/>
    <x v="1"/>
    <x v="1"/>
    <s v="Campo Fornecedor"/>
    <x v="0"/>
    <s v="Qualidade dos dados"/>
    <s v="KONTIK BUSINESS TRAVEL"/>
    <x v="2"/>
  </r>
  <r>
    <n v="22702790"/>
    <n v="23504914"/>
    <s v="ACC01"/>
    <x v="436"/>
    <d v="2025-08-11T14:35:29"/>
    <x v="0"/>
    <x v="1"/>
    <s v="5GLHCD"/>
    <s v="TMS"/>
    <s v="ASSIS MONTI NETO"/>
    <s v="Giovanna Duarte Pereira"/>
    <s v="Giovanna Duarte Pereira"/>
    <d v="2025-08-07T13:44:00"/>
    <n v="79043"/>
    <s v="-"/>
    <s v="OFF LINE"/>
    <s v="Pagamento direto"/>
    <s v="Pagamento direto"/>
    <x v="1"/>
    <s v="S"/>
    <x v="4"/>
    <s v="Ache Laboratorios Farmaceuticos Sa"/>
    <s v="-"/>
    <s v="-"/>
    <s v="-"/>
    <x v="44"/>
    <s v="-"/>
    <x v="348"/>
    <n v="0"/>
    <n v="0"/>
    <n v="0"/>
    <n v="0"/>
    <n v="0"/>
    <n v="0"/>
    <s v="Reserva importada do Sistema TMS. OS: 79043"/>
    <s v="Fornecedor não preenchido! (ACC01)"/>
    <x v="1"/>
    <x v="1"/>
    <s v="Campo Fornecedor"/>
    <x v="0"/>
    <s v="Qualidade dos dados"/>
    <s v="KONTIK BUSINESS TRAVEL"/>
    <x v="2"/>
  </r>
  <r>
    <n v="22702713"/>
    <n v="23504838"/>
    <s v="ACC01"/>
    <x v="437"/>
    <d v="2025-08-07T18:18:00"/>
    <x v="1"/>
    <x v="1"/>
    <s v="5GJBEC"/>
    <s v="TMS"/>
    <s v="ANA DIAS"/>
    <s v="Maria Clara Landeira Mezavila"/>
    <s v="Maria Clara Landeira Mezavila"/>
    <d v="2025-08-07T17:40:00"/>
    <n v="80526"/>
    <s v="-"/>
    <s v="OFF LINE"/>
    <s v="Pagamento direto"/>
    <s v="Pagamento direto"/>
    <x v="1"/>
    <s v="N"/>
    <x v="4"/>
    <s v="Ache Laboratorios Farmaceuticos Sa"/>
    <s v="-"/>
    <s v="-"/>
    <s v="-"/>
    <x v="44"/>
    <s v="-"/>
    <x v="349"/>
    <n v="0"/>
    <n v="0"/>
    <n v="0"/>
    <n v="0"/>
    <n v="32"/>
    <n v="0"/>
    <s v="Reserva importada do Sistema TMS. OS: 80526"/>
    <s v="Fornecedor não preenchido! (ACC01)"/>
    <x v="1"/>
    <x v="1"/>
    <s v="Campo Fornecedor"/>
    <x v="0"/>
    <s v="Qualidade dos dados"/>
    <s v="KONTIK BUSINESS TRAVEL"/>
    <x v="2"/>
  </r>
  <r>
    <n v="22721831"/>
    <n v="23520193"/>
    <s v="ACC01"/>
    <x v="438"/>
    <d v="2025-08-11T12:06:48"/>
    <x v="0"/>
    <x v="0"/>
    <s v="5G5S2H"/>
    <s v="TMS"/>
    <s v="DAVID CHAGAS"/>
    <s v="Tms"/>
    <s v="Tms"/>
    <d v="2025-08-11T11:18:00"/>
    <n v="81131"/>
    <s v="-"/>
    <s v="ON LINE"/>
    <s v="Pagamento direto"/>
    <s v="Pagamento direto"/>
    <x v="1"/>
    <s v="N"/>
    <x v="4"/>
    <s v="Ache Laboratorios Farmaceuticos Sa"/>
    <s v="-"/>
    <s v="-"/>
    <s v="-"/>
    <x v="44"/>
    <s v="-"/>
    <x v="138"/>
    <n v="0"/>
    <n v="0"/>
    <n v="0"/>
    <n v="0"/>
    <n v="5.6"/>
    <n v="0"/>
    <s v="Reserva importada do Sistema TMS. OS: 81131"/>
    <s v="Fornecedor não preenchido! (ACC01)"/>
    <x v="1"/>
    <x v="1"/>
    <s v="Campo Fornecedor"/>
    <x v="0"/>
    <s v="Sistêmico"/>
    <s v="GRUPO KONTIK"/>
    <x v="1"/>
  </r>
  <r>
    <n v="22724248"/>
    <n v="23522494"/>
    <s v="ACC01"/>
    <x v="439"/>
    <d v="2025-08-11T18:19:12"/>
    <x v="0"/>
    <x v="0"/>
    <s v="5GMM8H"/>
    <s v="TMS"/>
    <s v="THIAGO SILVEIRA"/>
    <s v="Thais Peixoto de Melo"/>
    <s v="Thais Peixoto de Melo"/>
    <d v="2025-08-11T17:16:00"/>
    <n v="81021"/>
    <s v="-"/>
    <s v="OFF LINE"/>
    <s v="Pagamento direto"/>
    <s v="Pagamento direto"/>
    <x v="1"/>
    <s v="N"/>
    <x v="4"/>
    <s v="Ache Laboratorios Farmaceuticos Sa"/>
    <s v="-"/>
    <s v="-"/>
    <s v="-"/>
    <x v="44"/>
    <s v="-"/>
    <x v="350"/>
    <n v="0"/>
    <n v="0"/>
    <n v="0"/>
    <n v="0"/>
    <n v="11.6"/>
    <n v="0"/>
    <s v="Reserva importada do Sistema TMS. OS: 81021"/>
    <s v="Fornecedor não preenchido! (ACC01)"/>
    <x v="1"/>
    <x v="1"/>
    <s v="Campo Fornecedor"/>
    <x v="0"/>
    <s v="Qualidade dos dados"/>
    <s v="KONTIK BUSINESS TRAVEL"/>
    <x v="2"/>
  </r>
  <r>
    <n v="22695418"/>
    <n v="23498275"/>
    <s v="ACC01"/>
    <x v="440"/>
    <d v="2025-08-06T18:31:58"/>
    <x v="1"/>
    <x v="1"/>
    <s v="5G58HZ"/>
    <s v="TMS"/>
    <s v="JOSE AZEVEDO"/>
    <s v="Jessica Soares Teixeira"/>
    <s v="Jessica Soares Teixeira"/>
    <d v="2025-08-06T14:59:00"/>
    <n v="79691"/>
    <s v="-"/>
    <s v="OFF LINE"/>
    <s v="Pagamento direto"/>
    <s v="Pagamento direto"/>
    <x v="1"/>
    <s v="N"/>
    <x v="4"/>
    <s v="Ache Laboratorios Farmaceuticos Sa"/>
    <s v="-"/>
    <s v="-"/>
    <s v="-"/>
    <x v="44"/>
    <s v="-"/>
    <x v="351"/>
    <n v="0"/>
    <n v="0"/>
    <n v="0"/>
    <n v="0"/>
    <n v="0"/>
    <n v="0"/>
    <s v="Reserva importada do Sistema TMS. OS: 79691"/>
    <s v="Fornecedor não preenchido! (ACC01)"/>
    <x v="1"/>
    <x v="1"/>
    <s v="Campo Fornecedor"/>
    <x v="0"/>
    <s v="Qualidade dos dados"/>
    <s v="KONTIK BUSINESS TRAVEL"/>
    <x v="2"/>
  </r>
  <r>
    <n v="22702771"/>
    <n v="23504897"/>
    <s v="ACC01"/>
    <x v="441"/>
    <d v="2025-08-07T18:31:17"/>
    <x v="1"/>
    <x v="1"/>
    <s v="5G6GDC"/>
    <s v="TMS"/>
    <s v="ISAIAS ALVES"/>
    <s v="Jessica Soares Teixeira"/>
    <s v="Jessica Soares Teixeira"/>
    <d v="2025-08-07T15:05:00"/>
    <n v="79890"/>
    <s v="-"/>
    <s v="OFF LINE"/>
    <s v="Pagamento direto"/>
    <s v="Pagamento direto"/>
    <x v="1"/>
    <s v="N"/>
    <x v="4"/>
    <s v="Ache Laboratorios Farmaceuticos Sa"/>
    <s v="-"/>
    <s v="-"/>
    <s v="-"/>
    <x v="44"/>
    <s v="-"/>
    <x v="349"/>
    <n v="0"/>
    <n v="0"/>
    <n v="0"/>
    <n v="0"/>
    <n v="32"/>
    <n v="0"/>
    <s v="Reserva importada do Sistema TMS. OS: 79890"/>
    <s v="Fornecedor não preenchido! (ACC01)"/>
    <x v="1"/>
    <x v="1"/>
    <s v="Campo Fornecedor"/>
    <x v="0"/>
    <s v="Qualidade dos dados"/>
    <s v="KONTIK BUSINESS TRAVEL"/>
    <x v="2"/>
  </r>
  <r>
    <n v="22687912"/>
    <n v="23491564"/>
    <s v="ACC01"/>
    <x v="442"/>
    <d v="2025-08-05T18:21:14"/>
    <x v="1"/>
    <x v="1"/>
    <s v="5F6N7L"/>
    <s v="TMS"/>
    <s v="ADRIANO SILVA"/>
    <s v="BEATRYZ DA SILVA COSTA"/>
    <s v="BEATRYZ DA SILVA COSTA"/>
    <d v="2025-08-05T15:46:00"/>
    <n v="80263"/>
    <s v="-"/>
    <s v="ON LINE"/>
    <s v="Pagamento direto"/>
    <s v="Pagamento direto"/>
    <x v="1"/>
    <s v="N"/>
    <x v="4"/>
    <s v="Ache Laboratorios Farmaceuticos Sa"/>
    <s v="-"/>
    <s v="-"/>
    <s v="-"/>
    <x v="44"/>
    <s v="-"/>
    <x v="352"/>
    <n v="0"/>
    <n v="0"/>
    <n v="0"/>
    <n v="0"/>
    <n v="0"/>
    <n v="0"/>
    <s v="Reserva importada do Sistema TMS. OS: 80263"/>
    <s v="Fornecedor não preenchido! (ACC01)"/>
    <x v="1"/>
    <x v="1"/>
    <s v="Campo Fornecedor"/>
    <x v="0"/>
    <s v="Sistêmico"/>
    <s v="GRUPO KONTIK"/>
    <x v="1"/>
  </r>
  <r>
    <n v="22707641"/>
    <n v="23509095"/>
    <s v="ACC01"/>
    <x v="443"/>
    <d v="2025-08-12T10:50:22"/>
    <x v="0"/>
    <x v="3"/>
    <s v="5GT8FV"/>
    <s v="TMS"/>
    <s v="REGINALDO TORRES"/>
    <s v="Leticia Jesus Vital"/>
    <s v="Leticia Jesus Vital"/>
    <d v="2025-08-08T11:28:00"/>
    <n v="80624"/>
    <s v="-"/>
    <s v="OFF LINE"/>
    <s v="Pagamento direto"/>
    <s v="Pagamento direto"/>
    <x v="1"/>
    <s v="S"/>
    <x v="4"/>
    <s v="Ache Laboratorios Farmaceuticos Sa"/>
    <s v="-"/>
    <s v="-"/>
    <s v="-"/>
    <x v="44"/>
    <s v="-"/>
    <x v="353"/>
    <n v="0"/>
    <n v="0"/>
    <n v="0"/>
    <n v="0"/>
    <n v="0"/>
    <n v="0"/>
    <s v="Reserva importada do Sistema TMS. OS: 80624"/>
    <s v="Fornecedor não preenchido! (ACC01)"/>
    <x v="1"/>
    <x v="1"/>
    <s v="Campo Fornecedor"/>
    <x v="0"/>
    <s v="Qualidade dos dados"/>
    <s v="KONTIK BUSINESS TRAVEL"/>
    <x v="2"/>
  </r>
  <r>
    <n v="22733952"/>
    <n v="23531236"/>
    <s v="ACC01"/>
    <x v="444"/>
    <d v="2025-08-13T00:40:41"/>
    <x v="0"/>
    <x v="0"/>
    <s v="5GMQWO"/>
    <s v="TMS"/>
    <s v="AMANDA ARAUJO"/>
    <s v="Marcia Fernandes de Sousa"/>
    <s v="Marcia Fernandes de Sousa"/>
    <d v="2025-08-12T19:07:00"/>
    <n v="21963"/>
    <s v="Rio de Janeiro / RJ, Brasil (RIO)"/>
    <s v="OFF LINE"/>
    <s v="Invoice"/>
    <s v="Faturado"/>
    <x v="3"/>
    <s v="N"/>
    <x v="61"/>
    <s v="Etau"/>
    <s v="-"/>
    <s v="-"/>
    <s v="-"/>
    <x v="45"/>
    <s v="-"/>
    <x v="354"/>
    <n v="0"/>
    <n v="0"/>
    <n v="0"/>
    <n v="0"/>
    <n v="0"/>
    <n v="0"/>
    <s v="Reserva importada do Sistema TMS. OS: 21963"/>
    <s v="Fornecedor não preenchido! (ACC01)"/>
    <x v="1"/>
    <x v="1"/>
    <s v="Campo Fornecedor"/>
    <x v="0"/>
    <s v="Qualidade dos dados"/>
    <s v="KONTIK BUSINESS TRAVEL"/>
    <x v="2"/>
  </r>
  <r>
    <n v="22729701"/>
    <n v="23527247"/>
    <s v="ACC01"/>
    <x v="445"/>
    <d v="2025-08-13T06:10:21"/>
    <x v="0"/>
    <x v="0"/>
    <s v="5GC6ZK"/>
    <s v="TMS"/>
    <s v="RENATO OLIVEIRA AGUIAR"/>
    <s v="Felipe Aparecido da Silva Neves"/>
    <s v="Marcia Fernandes de Sousa"/>
    <d v="2025-08-11T21:40:00"/>
    <n v="22299"/>
    <s v="-"/>
    <s v="OFF LINE"/>
    <s v="Invoice"/>
    <s v="Faturado"/>
    <x v="2"/>
    <s v="N"/>
    <x v="61"/>
    <s v="Ate 2 - Ate Ii Transmissora de Energia"/>
    <s v="-"/>
    <s v="-"/>
    <s v="-"/>
    <x v="45"/>
    <s v="-"/>
    <x v="355"/>
    <n v="0"/>
    <n v="0"/>
    <n v="0"/>
    <n v="0"/>
    <n v="0"/>
    <n v="0"/>
    <s v="Reserva importada do Sistema TMS. OS: 22299"/>
    <s v="Fornecedor não preenchido! (ACC01)"/>
    <x v="1"/>
    <x v="1"/>
    <s v="Campo Fornecedor"/>
    <x v="0"/>
    <s v="Qualidade dos dados"/>
    <s v="KONTIK BUSINESS TRAVEL"/>
    <x v="2"/>
  </r>
  <r>
    <n v="22688697"/>
    <n v="23492340"/>
    <s v="ACC01"/>
    <x v="446"/>
    <d v="2025-08-05T19:04:13"/>
    <x v="1"/>
    <x v="1"/>
    <s v="GAQTUR2"/>
    <s v="TMS"/>
    <s v="JORGE TEIXEIRA LOURENCO"/>
    <s v="Michelly Andrade Leandro da Silva"/>
    <s v="Michelly Andrade Leandro da Silva"/>
    <d v="2025-08-05T13:42:00"/>
    <n v="21209"/>
    <s v="-"/>
    <s v="ON LINE"/>
    <s v="Cartão de crédito"/>
    <s v="Cartão AMEX"/>
    <x v="0"/>
    <s v="N"/>
    <x v="61"/>
    <s v="Sao Pedro"/>
    <s v="-"/>
    <s v="Gol Linhas Aereas"/>
    <n v="2142011770"/>
    <x v="45"/>
    <s v="-"/>
    <x v="356"/>
    <n v="0"/>
    <n v="0"/>
    <n v="0"/>
    <n v="0"/>
    <n v="0"/>
    <n v="0"/>
    <s v="Reserva importada do Sistema TMS. OS: 21209"/>
    <s v="Verificação de bilhetes: Bilhete 2142011770 já sendo utilizado para este fornecedor."/>
    <x v="1"/>
    <x v="6"/>
    <s v="Bilhete Já Contabilizado"/>
    <x v="2"/>
    <s v="Qualidade dos dados"/>
    <s v="GRUPO KONTIK"/>
    <x v="5"/>
  </r>
  <r>
    <n v="22733949"/>
    <n v="23531233"/>
    <s v="ACC01"/>
    <x v="447"/>
    <d v="2025-08-13T00:36:26"/>
    <x v="0"/>
    <x v="0"/>
    <s v="5GUPSO"/>
    <s v="TMS"/>
    <s v="LUDMILLA LIMA COUTO LOUBACK"/>
    <s v="Tms"/>
    <s v="Tms"/>
    <d v="2025-08-12T18:18:00"/>
    <n v="22317"/>
    <s v="-"/>
    <s v="ON LINE"/>
    <s v="Cartão de crédito"/>
    <s v="Cartão de crédito"/>
    <x v="1"/>
    <s v="N"/>
    <x v="61"/>
    <s v="Taesa Matriz"/>
    <s v="-"/>
    <s v="-"/>
    <s v="-"/>
    <x v="45"/>
    <s v="-"/>
    <x v="357"/>
    <n v="0"/>
    <n v="0"/>
    <n v="0"/>
    <n v="0"/>
    <n v="0"/>
    <n v="0"/>
    <s v="Reserva importada do Sistema TMS. OS: 22317"/>
    <s v="Fornecedor não preenchido! (ACC01)"/>
    <x v="1"/>
    <x v="1"/>
    <s v="Campo Fornecedor"/>
    <x v="0"/>
    <s v="Sistêmico"/>
    <s v="GRUPO KONTIK"/>
    <x v="1"/>
  </r>
  <r>
    <n v="22726989"/>
    <n v="23525065"/>
    <s v="ACC01"/>
    <x v="448"/>
    <d v="2025-08-12T00:41:14"/>
    <x v="0"/>
    <x v="0"/>
    <s v="5G9PY7"/>
    <s v="TMS"/>
    <s v="SANDRO DA CRUZ"/>
    <s v="Tms"/>
    <s v="Tms"/>
    <d v="2025-08-11T20:27:00"/>
    <n v="22306"/>
    <s v="-"/>
    <s v="ON LINE"/>
    <s v="Cartão de crédito"/>
    <s v="Cartão de crédito"/>
    <x v="1"/>
    <s v="N"/>
    <x v="61"/>
    <s v="Taesa Matriz"/>
    <s v="-"/>
    <s v="-"/>
    <s v="-"/>
    <x v="45"/>
    <s v="-"/>
    <x v="358"/>
    <n v="0"/>
    <n v="0"/>
    <n v="0"/>
    <n v="0"/>
    <n v="208"/>
    <n v="0"/>
    <s v="Reserva importada do Sistema TMS. OS: 22306"/>
    <s v="Fornecedor não preenchido! (ACC01)"/>
    <x v="1"/>
    <x v="1"/>
    <s v="Campo Fornecedor"/>
    <x v="0"/>
    <s v="Sistêmico"/>
    <s v="GRUPO KONTIK"/>
    <x v="1"/>
  </r>
  <r>
    <n v="22726990"/>
    <n v="23525066"/>
    <s v="ACC01"/>
    <x v="449"/>
    <d v="2025-08-12T00:41:15"/>
    <x v="0"/>
    <x v="0"/>
    <s v="5GBZ6U"/>
    <s v="TMS"/>
    <s v="FREDERICO DA FONSECA"/>
    <s v="Tms"/>
    <s v="Tms"/>
    <d v="2025-08-11T20:12:00"/>
    <n v="22305"/>
    <s v="-"/>
    <s v="ON LINE"/>
    <s v="Cartão de crédito"/>
    <s v="Cartão de crédito"/>
    <x v="1"/>
    <s v="N"/>
    <x v="61"/>
    <s v="Taesa Matriz"/>
    <s v="-"/>
    <s v="-"/>
    <s v="-"/>
    <x v="45"/>
    <s v="-"/>
    <x v="358"/>
    <n v="0"/>
    <n v="0"/>
    <n v="0"/>
    <n v="0"/>
    <n v="208"/>
    <n v="0"/>
    <s v="Reserva importada do Sistema TMS. OS: 22305"/>
    <s v="Fornecedor não preenchido! (ACC01)"/>
    <x v="1"/>
    <x v="1"/>
    <s v="Campo Fornecedor"/>
    <x v="0"/>
    <s v="Sistêmico"/>
    <s v="GRUPO KONTIK"/>
    <x v="1"/>
  </r>
  <r>
    <n v="22726991"/>
    <n v="23525067"/>
    <s v="ACC01"/>
    <x v="450"/>
    <d v="2025-08-12T00:41:15"/>
    <x v="0"/>
    <x v="0"/>
    <s v="5GAQ6J"/>
    <s v="TMS"/>
    <s v="JORGE BRAGA JUNIOR"/>
    <s v="Tms"/>
    <s v="Tms"/>
    <d v="2025-08-11T20:27:00"/>
    <n v="22304"/>
    <s v="-"/>
    <s v="ON LINE"/>
    <s v="Cartão de crédito"/>
    <s v="Cartão de crédito"/>
    <x v="1"/>
    <s v="N"/>
    <x v="61"/>
    <s v="Taesa Matriz"/>
    <s v="-"/>
    <s v="-"/>
    <s v="-"/>
    <x v="45"/>
    <s v="-"/>
    <x v="358"/>
    <n v="0"/>
    <n v="0"/>
    <n v="0"/>
    <n v="0"/>
    <n v="208"/>
    <n v="0"/>
    <s v="Reserva importada do Sistema TMS. OS: 22304"/>
    <s v="Fornecedor não preenchido! (ACC01)"/>
    <x v="1"/>
    <x v="1"/>
    <s v="Campo Fornecedor"/>
    <x v="0"/>
    <s v="Sistêmico"/>
    <s v="GRUPO KONTIK"/>
    <x v="1"/>
  </r>
  <r>
    <n v="22726997"/>
    <n v="23525073"/>
    <s v="ACC01"/>
    <x v="451"/>
    <d v="2025-08-12T00:41:15"/>
    <x v="0"/>
    <x v="0"/>
    <s v="5GCAHU"/>
    <s v="TMS"/>
    <s v="ALESSANDRO MACEDO"/>
    <s v="Tms"/>
    <s v="Tms"/>
    <d v="2025-08-11T19:46:00"/>
    <n v="22271"/>
    <s v="-"/>
    <s v="ON LINE"/>
    <s v="Cartão de crédito"/>
    <s v="Cartão de crédito"/>
    <x v="1"/>
    <s v="N"/>
    <x v="61"/>
    <s v="Ananai"/>
    <s v="-"/>
    <s v="-"/>
    <s v="-"/>
    <x v="45"/>
    <s v="-"/>
    <x v="359"/>
    <n v="0"/>
    <n v="0"/>
    <n v="0"/>
    <n v="0"/>
    <n v="4.32"/>
    <n v="0"/>
    <s v="Reserva importada do Sistema TMS. OS: 22271"/>
    <s v="Fornecedor não preenchido! (ACC01)"/>
    <x v="1"/>
    <x v="1"/>
    <s v="Campo Fornecedor"/>
    <x v="0"/>
    <s v="Sistêmico"/>
    <s v="GRUPO KONTIK"/>
    <x v="1"/>
  </r>
  <r>
    <n v="22683082"/>
    <n v="23487429"/>
    <s v="ACC01"/>
    <x v="452"/>
    <d v="2025-08-05T00:40:30"/>
    <x v="1"/>
    <x v="1"/>
    <s v="5FH4I8"/>
    <s v="TMS"/>
    <s v="EDUARDO RODRIGUES"/>
    <s v="Tms"/>
    <s v="Tms"/>
    <d v="2025-08-04T18:53:00"/>
    <n v="4698"/>
    <s v="-"/>
    <s v="OFF LINE"/>
    <s v="Pagamento direto"/>
    <s v="Pagamento direto"/>
    <x v="1"/>
    <s v="N"/>
    <x v="62"/>
    <s v="Mattos Filho"/>
    <s v="-"/>
    <s v="-"/>
    <s v="-"/>
    <x v="46"/>
    <s v="-"/>
    <x v="360"/>
    <n v="0"/>
    <n v="0"/>
    <n v="0"/>
    <n v="0"/>
    <n v="81.44"/>
    <n v="0"/>
    <s v="Reserva importada do Sistema TMS. OS: 4698"/>
    <s v="Fornecedor não preenchido! (ACC01)"/>
    <x v="1"/>
    <x v="1"/>
    <s v="Campo Fornecedor"/>
    <x v="0"/>
    <s v="Qualidade dos dados"/>
    <s v="KONTIK BUSINESS TRAVEL"/>
    <x v="2"/>
  </r>
  <r>
    <n v="22690270"/>
    <n v="23493788"/>
    <s v="ACC01"/>
    <x v="453"/>
    <d v="2025-08-06T00:16:34"/>
    <x v="1"/>
    <x v="1"/>
    <s v="5G05F0"/>
    <s v="TMS"/>
    <s v="THIAGO LUIS SOMBRA"/>
    <s v="Jennifer dos Santos Guedes de Oliveira"/>
    <s v="Jennifer dos Santos Guedes de Oliveira"/>
    <d v="2025-08-05T18:39:00"/>
    <n v="4723"/>
    <s v="-"/>
    <s v="OFF LINE"/>
    <s v="Pagamento direto"/>
    <s v="Pagamento direto"/>
    <x v="1"/>
    <s v="N"/>
    <x v="62"/>
    <s v="Mattos Filho"/>
    <s v="-"/>
    <s v="-"/>
    <s v="-"/>
    <x v="46"/>
    <s v="-"/>
    <x v="361"/>
    <n v="0"/>
    <n v="0"/>
    <n v="0"/>
    <n v="0"/>
    <n v="81.7"/>
    <n v="0"/>
    <s v="Reserva importada do Sistema TMS. OS: 4723"/>
    <s v="Fornecedor não preenchido! (ACC01)"/>
    <x v="1"/>
    <x v="1"/>
    <s v="Campo Fornecedor"/>
    <x v="0"/>
    <s v="Qualidade dos dados"/>
    <s v="KONTIK BUSINESS TRAVEL"/>
    <x v="2"/>
  </r>
  <r>
    <n v="22695828"/>
    <n v="23498680"/>
    <s v="ACC01"/>
    <x v="454"/>
    <d v="2025-08-06T19:06:01"/>
    <x v="1"/>
    <x v="1"/>
    <s v="5G958Z"/>
    <s v="TMS"/>
    <s v="FERNANDO NEUSTEIN"/>
    <s v="Jennifer dos Santos Guedes de Oliveira"/>
    <s v="Jennifer dos Santos Guedes de Oliveira"/>
    <d v="2025-08-06T17:19:00"/>
    <n v="4744"/>
    <s v="-"/>
    <s v="OFF LINE"/>
    <s v="Pagamento direto"/>
    <s v="Pagamento direto"/>
    <x v="1"/>
    <s v="N"/>
    <x v="62"/>
    <s v="Mattos Filho"/>
    <s v="-"/>
    <s v="-"/>
    <s v="-"/>
    <x v="46"/>
    <s v="-"/>
    <x v="362"/>
    <n v="0"/>
    <n v="0"/>
    <n v="0"/>
    <n v="0"/>
    <n v="81.11"/>
    <n v="0"/>
    <s v="Reserva importada do Sistema TMS. OS: 4744"/>
    <s v="Fornecedor não preenchido! (ACC01)"/>
    <x v="1"/>
    <x v="1"/>
    <s v="Campo Fornecedor"/>
    <x v="0"/>
    <s v="Qualidade dos dados"/>
    <s v="KONTIK BUSINESS TRAVEL"/>
    <x v="2"/>
  </r>
  <r>
    <n v="22726907"/>
    <n v="23524993"/>
    <s v="ACC01"/>
    <x v="455"/>
    <d v="2025-08-12T00:35:22"/>
    <x v="0"/>
    <x v="0"/>
    <s v="5GF7G7"/>
    <s v="TMS"/>
    <s v="ALEXANDRO MARCELO FRANCISCO"/>
    <s v="Tms"/>
    <s v="Tms"/>
    <d v="2025-08-11T18:23:00"/>
    <n v="39486"/>
    <s v="-"/>
    <s v="ON LINE"/>
    <s v="Cartão de crédito"/>
    <s v="Cartão de crédito"/>
    <x v="1"/>
    <s v="N"/>
    <x v="63"/>
    <s v="Motiva Filial"/>
    <s v="-"/>
    <s v="-"/>
    <s v="-"/>
    <x v="47"/>
    <s v="-"/>
    <x v="7"/>
    <n v="0"/>
    <n v="0"/>
    <n v="0"/>
    <n v="0"/>
    <n v="65.150000000000006"/>
    <n v="0"/>
    <s v="Reserva importada do Sistema TMS. OS: 39486"/>
    <s v="Fornecedor não preenchido! (ACC01)"/>
    <x v="1"/>
    <x v="1"/>
    <s v="Campo Fornecedor"/>
    <x v="0"/>
    <s v="Sistêmico"/>
    <s v="GRUPO KONTIK"/>
    <x v="1"/>
  </r>
  <r>
    <n v="22729528"/>
    <n v="23527080"/>
    <s v="ACC01"/>
    <x v="456"/>
    <d v="2025-08-12T13:01:07"/>
    <x v="0"/>
    <x v="0"/>
    <s v="5GF6BK"/>
    <s v="TMS"/>
    <s v="LUCAS GABRIEL JULIAO"/>
    <s v="Tms"/>
    <s v="Tms"/>
    <d v="2025-08-12T10:07:00"/>
    <n v="39500"/>
    <s v="-"/>
    <s v="ON LINE"/>
    <s v="Cartão de crédito"/>
    <s v="Cartão de crédito"/>
    <x v="1"/>
    <s v="N"/>
    <x v="63"/>
    <s v="Prvias"/>
    <s v="-"/>
    <s v="-"/>
    <s v="-"/>
    <x v="47"/>
    <s v="-"/>
    <x v="363"/>
    <n v="0"/>
    <n v="0"/>
    <n v="0"/>
    <n v="0"/>
    <n v="5.34"/>
    <n v="0"/>
    <s v="Reserva importada do Sistema TMS. OS: 39500"/>
    <s v="Fornecedor não preenchido! (ACC01)"/>
    <x v="1"/>
    <x v="1"/>
    <s v="Campo Fornecedor"/>
    <x v="0"/>
    <s v="Sistêmico"/>
    <s v="GRUPO KONTIK"/>
    <x v="1"/>
  </r>
  <r>
    <n v="22729530"/>
    <n v="23527081"/>
    <s v="ACC01"/>
    <x v="457"/>
    <d v="2025-08-12T13:01:07"/>
    <x v="0"/>
    <x v="0"/>
    <s v="5GY60K"/>
    <s v="TMS"/>
    <s v="MATHEUS RAMOS"/>
    <s v="Tms"/>
    <s v="Tms"/>
    <d v="2025-08-12T10:07:00"/>
    <n v="39499"/>
    <s v="-"/>
    <s v="ON LINE"/>
    <s v="Cartão de crédito"/>
    <s v="Cartão de crédito"/>
    <x v="1"/>
    <s v="N"/>
    <x v="63"/>
    <s v="Prvias"/>
    <s v="-"/>
    <s v="-"/>
    <s v="-"/>
    <x v="47"/>
    <s v="-"/>
    <x v="363"/>
    <n v="0"/>
    <n v="0"/>
    <n v="0"/>
    <n v="0"/>
    <n v="5.34"/>
    <n v="0"/>
    <s v="Reserva importada do Sistema TMS. OS: 39499"/>
    <s v="Fornecedor não preenchido! (ACC01)"/>
    <x v="1"/>
    <x v="1"/>
    <s v="Campo Fornecedor"/>
    <x v="0"/>
    <s v="Sistêmico"/>
    <s v="GRUPO KONTIK"/>
    <x v="1"/>
  </r>
  <r>
    <n v="22729531"/>
    <n v="23527082"/>
    <s v="ACC01"/>
    <x v="458"/>
    <d v="2025-08-12T13:01:08"/>
    <x v="0"/>
    <x v="0"/>
    <s v="5GU6PK"/>
    <s v="TMS"/>
    <s v="ARIEL ANTUNES TEIXEIRA"/>
    <s v="Tms"/>
    <s v="Tms"/>
    <d v="2025-08-12T10:07:00"/>
    <n v="39498"/>
    <s v="-"/>
    <s v="ON LINE"/>
    <s v="Cartão de crédito"/>
    <s v="Cartão de crédito"/>
    <x v="1"/>
    <s v="N"/>
    <x v="63"/>
    <s v="Prvias"/>
    <s v="-"/>
    <s v="-"/>
    <s v="-"/>
    <x v="47"/>
    <s v="-"/>
    <x v="363"/>
    <n v="0"/>
    <n v="0"/>
    <n v="0"/>
    <n v="0"/>
    <n v="5.34"/>
    <n v="0"/>
    <s v="Reserva importada do Sistema TMS. OS: 39498"/>
    <s v="Fornecedor não preenchido! (ACC01)"/>
    <x v="1"/>
    <x v="1"/>
    <s v="Campo Fornecedor"/>
    <x v="0"/>
    <s v="Sistêmico"/>
    <s v="GRUPO KONTIK"/>
    <x v="1"/>
  </r>
  <r>
    <n v="22729532"/>
    <n v="23527084"/>
    <s v="ACC01"/>
    <x v="459"/>
    <d v="2025-08-12T13:01:09"/>
    <x v="0"/>
    <x v="0"/>
    <s v="5GNHPI"/>
    <s v="TMS"/>
    <s v="LEANDRO JUNIOR DA CRUZ NOBRE"/>
    <s v="Tms"/>
    <s v="Tms"/>
    <d v="2025-08-12T09:02:00"/>
    <n v="39497"/>
    <s v="Campinas / VCP"/>
    <s v="ON LINE"/>
    <s v="Invoice"/>
    <s v="Faturado"/>
    <x v="3"/>
    <s v="N"/>
    <x v="63"/>
    <s v="Motiva Filial"/>
    <s v="-"/>
    <s v="-"/>
    <s v="-"/>
    <x v="47"/>
    <s v="-"/>
    <x v="364"/>
    <n v="0"/>
    <n v="0"/>
    <n v="0"/>
    <n v="0"/>
    <n v="0"/>
    <n v="0"/>
    <s v="Reserva importada do Sistema TMS. OS: 39497"/>
    <s v="Fornecedor não preenchido! (ACC01)"/>
    <x v="1"/>
    <x v="1"/>
    <s v="Campo Fornecedor"/>
    <x v="0"/>
    <s v="Qualidade dos dados"/>
    <s v="KONTIK BUSINESS TRAVEL"/>
    <x v="2"/>
  </r>
  <r>
    <n v="22734744"/>
    <n v="23531713"/>
    <s v="ACC01"/>
    <x v="460"/>
    <d v="2025-08-13T06:05:27"/>
    <x v="0"/>
    <x v="0"/>
    <s v="5G87WN"/>
    <s v="TMS"/>
    <s v="ALEXANDRO MARCELO FRANCISCO"/>
    <s v="Tms"/>
    <s v="Tms"/>
    <d v="2025-08-12T18:41:00"/>
    <n v="39627"/>
    <s v="-"/>
    <s v="ON LINE"/>
    <s v="Cartão de crédito"/>
    <s v="Cartão de crédito"/>
    <x v="1"/>
    <s v="N"/>
    <x v="63"/>
    <s v="Motiva Filial"/>
    <s v="-"/>
    <s v="-"/>
    <s v="-"/>
    <x v="47"/>
    <s v="-"/>
    <x v="365"/>
    <n v="0"/>
    <n v="0"/>
    <n v="0"/>
    <n v="0"/>
    <n v="248.6"/>
    <n v="0"/>
    <s v="Reserva importada do Sistema TMS. OS: 39627"/>
    <s v="Fornecedor não preenchido! (ACC01)"/>
    <x v="1"/>
    <x v="1"/>
    <s v="Campo Fornecedor"/>
    <x v="0"/>
    <s v="Sistêmico"/>
    <s v="GRUPO KONTIK"/>
    <x v="1"/>
  </r>
  <r>
    <n v="22585270"/>
    <n v="23406972"/>
    <s v="ACC01"/>
    <x v="461"/>
    <d v="2025-08-04T13:10:19"/>
    <x v="2"/>
    <x v="6"/>
    <s v="5DY96L"/>
    <s v="TMS"/>
    <s v="LUIS ANTONIO GONCALVES"/>
    <s v="Tms"/>
    <s v="Tms"/>
    <d v="2025-07-18T12:05:00"/>
    <n v="37762"/>
    <s v="-"/>
    <s v="ON LINE"/>
    <s v="Invoice"/>
    <s v="Faturado"/>
    <x v="1"/>
    <s v="S"/>
    <x v="63"/>
    <s v="Motiva Filial"/>
    <s v="-"/>
    <s v="Mercure Curitiba Sete de Setembro Inativo"/>
    <s v="-"/>
    <x v="47"/>
    <s v="-"/>
    <x v="366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x v="1"/>
    <x v="5"/>
    <s v="Análise Cadastro"/>
    <x v="0"/>
    <s v="Qualidade dos dados"/>
    <s v="KONTIK BUSINESS TRAVEL"/>
    <x v="2"/>
  </r>
  <r>
    <n v="22543021"/>
    <n v="23369176"/>
    <s v="ACC01"/>
    <x v="462"/>
    <d v="2025-07-10T12:40:29"/>
    <x v="6"/>
    <x v="2"/>
    <s v="5C5569"/>
    <s v="TMS"/>
    <s v="FELIPE DELMIRO PEREIRA"/>
    <s v="Tms"/>
    <s v="Tms"/>
    <d v="2025-07-10T09:35:00"/>
    <n v="36965"/>
    <s v="Araucaria / CWB"/>
    <s v="ON LINE"/>
    <s v="Invoice"/>
    <s v="Faturado"/>
    <x v="3"/>
    <s v="N"/>
    <x v="63"/>
    <s v="Bloco Sul"/>
    <s v="-"/>
    <s v="-"/>
    <s v="-"/>
    <x v="47"/>
    <s v="-"/>
    <x v="367"/>
    <n v="0"/>
    <n v="0"/>
    <n v="0"/>
    <n v="0"/>
    <n v="0"/>
    <n v="0"/>
    <s v="Reserva importada do Sistema TMS. OS: 36965"/>
    <s v="Fornecedor não preenchido! (ACC01)"/>
    <x v="1"/>
    <x v="1"/>
    <s v="Campo Fornecedor"/>
    <x v="0"/>
    <s v="Qualidade dos dados"/>
    <s v="KONTIK BUSINESS TRAVEL"/>
    <x v="2"/>
  </r>
  <r>
    <n v="22730305"/>
    <n v="23527819"/>
    <s v="ACC01"/>
    <x v="463"/>
    <d v="2025-08-12T14:25:46"/>
    <x v="0"/>
    <x v="0"/>
    <s v="53S3O8.F2"/>
    <s v="MANUAL"/>
    <s v="FRANCIELE MARIA HOENIG QUADROS"/>
    <s v="Valeria Bottino da Silva"/>
    <s v="Valeria Bottino da Silva"/>
    <d v="2025-08-11T15:46:00"/>
    <n v="30855"/>
    <s v="Porto Alegre / RS, Brasil (POA)"/>
    <s v="OFF LINE"/>
    <s v="Invoice"/>
    <s v="Faturado"/>
    <x v="3"/>
    <s v="N"/>
    <x v="63"/>
    <s v="Viasul"/>
    <s v="-"/>
    <s v="Movida - Br - Rs - Porto Alegre - Sao Joao"/>
    <s v="-"/>
    <x v="47"/>
    <s v="-"/>
    <x v="368"/>
    <n v="0"/>
    <n v="0"/>
    <n v="0"/>
    <n v="0"/>
    <n v="0"/>
    <n v="0"/>
    <s v="Reserva importada do Sistema TMS. OS: 30855"/>
    <s v="Pnr já existente. A duplicidade de rloc é permitida apenas 6 meses após o último pnr emitido"/>
    <x v="2"/>
    <x v="3"/>
    <s v="Campo RLOC"/>
    <x v="2"/>
    <s v="Qualidade dos dados"/>
    <s v="KONTIK BUSINESS TRAVEL"/>
    <x v="0"/>
  </r>
  <r>
    <n v="22651123"/>
    <n v="23460705"/>
    <s v="ACC01"/>
    <x v="464"/>
    <d v="2025-07-30T13:06:39"/>
    <x v="2"/>
    <x v="4"/>
    <s v="5F2WCX"/>
    <s v="TMS"/>
    <s v="DIOGO ALVES RIOS"/>
    <s v="Catia Leite Oliveira"/>
    <s v="Catia Leite Oliveira"/>
    <d v="2025-07-29T18:11:00"/>
    <n v="38484"/>
    <s v="-"/>
    <s v="OFF LINE"/>
    <s v="Invoice"/>
    <s v="Faturado"/>
    <x v="2"/>
    <s v="N"/>
    <x v="63"/>
    <s v="Motiva Matriz"/>
    <s v="-"/>
    <s v="-"/>
    <s v="-"/>
    <x v="47"/>
    <s v="-"/>
    <x v="369"/>
    <n v="0"/>
    <n v="0"/>
    <n v="0"/>
    <n v="0"/>
    <n v="0"/>
    <n v="0"/>
    <s v="Reserva importada do Sistema TMS. OS: 38484"/>
    <s v="Fornecedor não preenchido! (ACC01)"/>
    <x v="1"/>
    <x v="1"/>
    <s v="Campo Fornecedor"/>
    <x v="0"/>
    <s v="Qualidade dos dados"/>
    <s v="KONTIK BUSINESS TRAVEL"/>
    <x v="2"/>
  </r>
  <r>
    <n v="22647132"/>
    <n v="23457207"/>
    <s v="ACC01"/>
    <x v="465"/>
    <d v="2025-07-29T23:41:24"/>
    <x v="2"/>
    <x v="4"/>
    <s v="5FTJTA"/>
    <s v="TMS"/>
    <s v="FERNAO CAMARGO"/>
    <s v="Flavio Roberto Ferreira"/>
    <s v="Flavio Roberto Ferreira"/>
    <d v="2025-07-29T15:02:00"/>
    <n v="38477"/>
    <s v="-"/>
    <s v="OFF LINE"/>
    <s v="Invoice"/>
    <s v="Faturado"/>
    <x v="2"/>
    <s v="N"/>
    <x v="63"/>
    <s v="Motiva Matriz"/>
    <s v="-"/>
    <s v="-"/>
    <s v="-"/>
    <x v="47"/>
    <s v="-"/>
    <x v="370"/>
    <n v="0"/>
    <n v="0"/>
    <n v="0"/>
    <n v="0"/>
    <n v="0"/>
    <n v="0"/>
    <s v="Reserva importada do Sistema TMS. OS: 38477"/>
    <s v="Fornecedor não preenchido! (ACC01)"/>
    <x v="1"/>
    <x v="1"/>
    <s v="Campo Fornecedor"/>
    <x v="0"/>
    <s v="Qualidade dos dados"/>
    <s v="KONTIK BUSINESS TRAVEL"/>
    <x v="2"/>
  </r>
  <r>
    <n v="22627061"/>
    <n v="23441593"/>
    <s v="ACC01"/>
    <x v="466"/>
    <d v="2025-07-25T19:06:04"/>
    <x v="4"/>
    <x v="5"/>
    <s v="5EJS4K"/>
    <s v="TMS"/>
    <s v="FERNAO CAMARGO"/>
    <s v="Flavio Roberto Ferreira"/>
    <s v="Flavio Roberto Ferreira"/>
    <d v="2025-07-25T17:51:00"/>
    <n v="38265"/>
    <s v="-"/>
    <s v="OFF LINE"/>
    <s v="Invoice"/>
    <s v="Faturado"/>
    <x v="2"/>
    <s v="N"/>
    <x v="63"/>
    <s v="Motiva Matriz"/>
    <s v="-"/>
    <s v="-"/>
    <s v="-"/>
    <x v="47"/>
    <s v="-"/>
    <x v="371"/>
    <n v="0"/>
    <n v="0"/>
    <n v="0"/>
    <n v="0"/>
    <n v="0"/>
    <n v="0"/>
    <s v="Reserva importada do Sistema TMS. OS: 38265"/>
    <s v="Fornecedor não preenchido! (ACC01)"/>
    <x v="1"/>
    <x v="1"/>
    <s v="Campo Fornecedor"/>
    <x v="0"/>
    <s v="Qualidade dos dados"/>
    <s v="KONTIK BUSINESS TRAVEL"/>
    <x v="2"/>
  </r>
  <r>
    <n v="22732667"/>
    <n v="23530095"/>
    <s v="ACC01"/>
    <x v="467"/>
    <d v="2025-08-12T20:31:56"/>
    <x v="0"/>
    <x v="0"/>
    <s v="5GGQBN"/>
    <s v="TMS"/>
    <s v="ARTHUR SILVA"/>
    <s v="Tms"/>
    <s v="Tms"/>
    <d v="2025-08-12T14:07:00"/>
    <n v="25782"/>
    <s v="Belo Horizonte / BHZ"/>
    <s v="ON LINE"/>
    <s v="Invoice"/>
    <s v="Faturado"/>
    <x v="3"/>
    <s v="N"/>
    <x v="64"/>
    <s v="Pagseguro Internet Instituicao de Pagamento S.a."/>
    <s v="-"/>
    <s v="-"/>
    <s v="-"/>
    <x v="48"/>
    <s v="-"/>
    <x v="372"/>
    <n v="0"/>
    <n v="0"/>
    <n v="0"/>
    <n v="0"/>
    <n v="0"/>
    <n v="0"/>
    <s v="Reserva importada do Sistema TMS. OS: 25782"/>
    <s v="Fornecedor não preenchido! (ACC01)"/>
    <x v="1"/>
    <x v="1"/>
    <s v="Campo Fornecedor"/>
    <x v="0"/>
    <s v="Qualidade dos dados"/>
    <s v="KONTIK BUSINESS TRAVEL"/>
    <x v="2"/>
  </r>
  <r>
    <n v="22708215"/>
    <n v="23509652"/>
    <s v="ACC01"/>
    <x v="468"/>
    <d v="2025-08-08T13:16:42"/>
    <x v="3"/>
    <x v="3"/>
    <s v="5GK6U4"/>
    <s v="TMS"/>
    <s v="ABNER FRANCISCO LAUXEN"/>
    <s v="Ana Paula Salgado de Oliveira"/>
    <s v="Ana Paula Salgado de Oliveira"/>
    <d v="2025-08-08T09:26:00"/>
    <n v="25308"/>
    <s v="-"/>
    <s v="OFF LINE"/>
    <s v="Invoice"/>
    <s v="Faturado"/>
    <x v="1"/>
    <s v="N"/>
    <x v="64"/>
    <s v="Colt - Compass. Uol Tecnologia"/>
    <s v="-"/>
    <s v="-"/>
    <s v="-"/>
    <x v="48"/>
    <s v="-"/>
    <x v="373"/>
    <n v="0"/>
    <n v="0"/>
    <n v="0"/>
    <n v="0"/>
    <n v="0"/>
    <n v="0"/>
    <s v="Reserva importada do Sistema TMS. OS: 25308"/>
    <s v="Fornecedor não preenchido! (ACC01)"/>
    <x v="1"/>
    <x v="1"/>
    <s v="Campo Fornecedor"/>
    <x v="0"/>
    <s v="Qualidade dos dados"/>
    <s v="KONTIK BUSINESS TRAVEL"/>
    <x v="2"/>
  </r>
  <r>
    <n v="22688920"/>
    <n v="23492546"/>
    <s v="ACC01"/>
    <x v="469"/>
    <d v="2025-08-05T20:25:45"/>
    <x v="1"/>
    <x v="1"/>
    <s v="5GZZCP"/>
    <s v="TMS"/>
    <s v="FRANCISCO BATISTA"/>
    <s v="NATALIA BARRAL DE OLIVEIRA"/>
    <s v="NATALIA BARRAL DE OLIVEIRA"/>
    <d v="2025-08-05T13:45:00"/>
    <n v="24266"/>
    <s v="-"/>
    <s v="OFF LINE"/>
    <s v="Cartão de crédito"/>
    <s v="Cartão de crédito"/>
    <x v="1"/>
    <s v="N"/>
    <x v="64"/>
    <s v="Pagseguro Internet Instituicao de Pagamento S.a."/>
    <s v="-"/>
    <s v="-"/>
    <s v="-"/>
    <x v="48"/>
    <s v="-"/>
    <x v="374"/>
    <n v="0"/>
    <n v="0"/>
    <n v="0"/>
    <n v="0"/>
    <n v="0"/>
    <n v="0"/>
    <s v="Reserva importada do Sistema TMS. OS: 24266"/>
    <s v="Fornecedor não preenchido! (ACC01)"/>
    <x v="1"/>
    <x v="1"/>
    <s v="Campo Fornecedor"/>
    <x v="0"/>
    <s v="Qualidade dos dados"/>
    <s v="KONTIK BUSINESS TRAVEL"/>
    <x v="2"/>
  </r>
  <r>
    <n v="22730512"/>
    <n v="23527997"/>
    <s v="ACC01"/>
    <x v="470"/>
    <d v="2025-08-13T03:33:40"/>
    <x v="0"/>
    <x v="0"/>
    <s v="H/4580264"/>
    <s v="GOVER"/>
    <s v="Saulo Pimentel dos Santos"/>
    <s v="Francisca Maria Mangueira"/>
    <s v="Francisca Maria Mangueira"/>
    <d v="2025-08-12T00:00:00"/>
    <n v="4580264"/>
    <s v="-"/>
    <s v="OFF LINE"/>
    <s v="Pagamento direto"/>
    <s v="Pagamento direto"/>
    <x v="1"/>
    <s v="N"/>
    <x v="7"/>
    <s v="Souza Cruz"/>
    <s v="-"/>
    <s v="-"/>
    <s v="-"/>
    <x v="49"/>
    <s v="-"/>
    <x v="221"/>
    <n v="0"/>
    <n v="0"/>
    <n v="0"/>
    <n v="0"/>
    <n v="0"/>
    <n v="0"/>
    <s v="Reserva importada do sistema Gover. Id: 4580264"/>
    <s v="Fornecedor não preenchido! (ACC01)"/>
    <x v="5"/>
    <x v="1"/>
    <s v="Campo Fornecedor"/>
    <x v="0"/>
    <s v="Sistêmico"/>
    <s v="GRUPO KONTIK"/>
    <x v="1"/>
  </r>
  <r>
    <n v="22625813"/>
    <n v="23440422"/>
    <s v="ACC01"/>
    <x v="471"/>
    <d v="2025-07-30T08:14:30"/>
    <x v="2"/>
    <x v="5"/>
    <n v="19314360"/>
    <s v="GOVER"/>
    <s v="Renata Vanni de Lima"/>
    <s v="Gover"/>
    <s v="Gover"/>
    <d v="2025-07-25T15:33:00"/>
    <n v="4572443"/>
    <s v="-"/>
    <s v="ON LINE"/>
    <s v="Cartão de crédito"/>
    <s v="Cartão de crédito"/>
    <x v="1"/>
    <s v="N"/>
    <x v="7"/>
    <s v="Fundacao Albino Souza Cruz"/>
    <s v="-"/>
    <s v="Radisson Oscar Freire"/>
    <s v="-"/>
    <x v="49"/>
    <s v="-"/>
    <x v="375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x v="5"/>
    <x v="0"/>
    <s v="Falta de informação Gerencial"/>
    <x v="0"/>
    <s v="Qualidade dos dados"/>
    <s v="KONTIK BUSINESS TRAVEL"/>
    <x v="2"/>
  </r>
  <r>
    <n v="22731856"/>
    <n v="23529305"/>
    <s v="ACC01"/>
    <x v="472"/>
    <d v="2025-08-13T03:55:53"/>
    <x v="0"/>
    <x v="0"/>
    <n v="19538938"/>
    <s v="GOVER"/>
    <s v="Thais Dayane Mueller"/>
    <s v="Gover"/>
    <s v="Gover"/>
    <d v="2025-08-12T13:25:00"/>
    <n v="4580799"/>
    <s v="-"/>
    <s v="ON LINE"/>
    <s v="Cartão de crédito"/>
    <s v="Cartão de crédito"/>
    <x v="1"/>
    <s v="N"/>
    <x v="7"/>
    <s v="Souza Cruz"/>
    <s v="-"/>
    <s v="-"/>
    <s v="-"/>
    <x v="49"/>
    <s v="-"/>
    <x v="269"/>
    <n v="0"/>
    <n v="0"/>
    <n v="0"/>
    <n v="0"/>
    <n v="0"/>
    <n v="0"/>
    <s v="Reserva importada do sistema Gover. Id: 4580799"/>
    <s v="Fornecedor não preenchido! (ACC01)"/>
    <x v="5"/>
    <x v="1"/>
    <s v="Campo Fornecedor"/>
    <x v="0"/>
    <s v="Sistêmico"/>
    <s v="GRUPO KONTIK"/>
    <x v="1"/>
  </r>
  <r>
    <n v="22724278"/>
    <n v="23522520"/>
    <s v="ACC01"/>
    <x v="473"/>
    <d v="2025-08-11T18:09:38"/>
    <x v="0"/>
    <x v="0"/>
    <s v="WNOEGST"/>
    <s v="SABRE"/>
    <s v="SILVA/CLEIDE"/>
    <s v="Ana Clara Brime"/>
    <s v="Ana Clara Brime"/>
    <d v="2025-08-11T15:59:00"/>
    <s v="L9PC"/>
    <s v="-"/>
    <s v="OFF LINE"/>
    <s v="Cartão de crédito"/>
    <s v="Cartão de crédito"/>
    <x v="1"/>
    <s v="N"/>
    <x v="65"/>
    <s v="Grupo Casas Bahia S.a."/>
    <s v="-"/>
    <s v="-"/>
    <s v="-"/>
    <x v="50"/>
    <s v="-"/>
    <x v="376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4571"/>
    <n v="23522816"/>
    <s v="ACC01"/>
    <x v="474"/>
    <d v="2025-08-11T18:27:51"/>
    <x v="0"/>
    <x v="0"/>
    <s v="WRWVCLT"/>
    <s v="SABRE"/>
    <s v="MAIOLI/ALDA"/>
    <s v="Ana Clara Brime"/>
    <s v="Ana Clara Brime"/>
    <d v="2025-08-11T16:10:00"/>
    <s v="L9PD"/>
    <s v="-"/>
    <s v="OFF LINE"/>
    <s v="Cartão de crédito"/>
    <s v="Cartão de crédito"/>
    <x v="1"/>
    <s v="N"/>
    <x v="65"/>
    <s v="Grupo Casas Bahia S.a."/>
    <s v="-"/>
    <s v="-"/>
    <s v="-"/>
    <x v="50"/>
    <s v="-"/>
    <x v="376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3585"/>
    <n v="23521868"/>
    <s v="ACC01"/>
    <x v="475"/>
    <d v="2025-08-11T16:30:39"/>
    <x v="0"/>
    <x v="0"/>
    <s v="UQINQUT"/>
    <s v="SABRE"/>
    <s v="NEVES/HENRIQUE"/>
    <s v="Ana Clara Brime"/>
    <s v="Ana Clara Brime"/>
    <d v="2025-08-11T14:14:00"/>
    <s v="LC39"/>
    <s v="-"/>
    <s v="OFF LINE"/>
    <s v="Cartão de crédito"/>
    <s v="Cartão de crédito"/>
    <x v="1"/>
    <s v="N"/>
    <x v="65"/>
    <s v="Grupo Casas Bahia S.a."/>
    <s v="-"/>
    <s v="-"/>
    <s v="-"/>
    <x v="50"/>
    <s v="-"/>
    <x v="75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3267"/>
    <n v="23521550"/>
    <s v="ACC01"/>
    <x v="476"/>
    <d v="2025-08-11T15:45:23"/>
    <x v="0"/>
    <x v="0"/>
    <s v="FJILYNT"/>
    <s v="SABRE"/>
    <s v="SILVA/MICHELE"/>
    <s v="Ana Clara Brime"/>
    <s v="Ana Clara Brime"/>
    <d v="2025-08-11T13:22:00"/>
    <s v="L9YR"/>
    <s v="-"/>
    <s v="OFF LINE"/>
    <s v="Cartão de crédito"/>
    <s v="Cartão de crédito"/>
    <x v="1"/>
    <s v="N"/>
    <x v="65"/>
    <s v="Grupo Casas Bahia S.a."/>
    <s v="-"/>
    <s v="-"/>
    <s v="-"/>
    <x v="50"/>
    <s v="-"/>
    <x v="377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9289"/>
    <n v="23510701"/>
    <s v="ACC01"/>
    <x v="477"/>
    <d v="2025-08-08T16:30:51"/>
    <x v="3"/>
    <x v="3"/>
    <s v="GUDHQPT"/>
    <s v="SABRE"/>
    <s v="SOUZA/FLAVIO"/>
    <s v="Ana Clara Brime"/>
    <s v="Ana Clara Brime"/>
    <d v="2025-08-08T14:07:00"/>
    <s v="L9RT"/>
    <s v="-"/>
    <s v="OFF LINE"/>
    <s v="Cartão de crédito"/>
    <s v="Cartão de crédito"/>
    <x v="1"/>
    <s v="N"/>
    <x v="65"/>
    <s v="Grupo Casas Bahia S.a."/>
    <s v="-"/>
    <s v="-"/>
    <s v="-"/>
    <x v="50"/>
    <s v="-"/>
    <x v="378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1672"/>
    <n v="23520035"/>
    <s v="ACC01"/>
    <x v="478"/>
    <d v="2025-08-11T11:51:10"/>
    <x v="0"/>
    <x v="0"/>
    <s v="AGKDXNT"/>
    <s v="SABRE"/>
    <s v="OLIVEIRA/FABRICIO"/>
    <s v="Ana Clara Brime"/>
    <s v="Ana Clara Brime"/>
    <d v="2025-08-08T11:52:00"/>
    <s v="L9T6"/>
    <s v="-"/>
    <s v="OFF LINE"/>
    <s v="Cartão de crédito"/>
    <s v="Cartão de crédito"/>
    <x v="1"/>
    <s v="N"/>
    <x v="65"/>
    <s v="Grupo Casas Bahia S.a."/>
    <s v="-"/>
    <s v="-"/>
    <s v="-"/>
    <x v="50"/>
    <s v="-"/>
    <x v="379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1672"/>
    <n v="23520036"/>
    <s v="ACC02"/>
    <x v="478"/>
    <d v="2025-08-11T11:51:10"/>
    <x v="0"/>
    <x v="0"/>
    <s v="AGKDXNT"/>
    <s v="SABRE"/>
    <s v="OLIVEIRA/FABRICIO"/>
    <s v="Ana Clara Brime"/>
    <s v="Ana Clara Brime"/>
    <d v="2025-08-08T11:52:00"/>
    <s v="L9T6"/>
    <s v="-"/>
    <s v="OFF LINE"/>
    <s v="Cartão de crédito"/>
    <s v="Cartão de crédito"/>
    <x v="1"/>
    <s v="N"/>
    <x v="65"/>
    <s v="Grupo Casas Bahia S.a."/>
    <s v="-"/>
    <s v="-"/>
    <s v="-"/>
    <x v="50"/>
    <s v="-"/>
    <x v="380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1672"/>
    <n v="23520037"/>
    <s v="ACC03"/>
    <x v="478"/>
    <d v="2025-08-11T11:51:10"/>
    <x v="0"/>
    <x v="0"/>
    <s v="AGKDXNT"/>
    <s v="SABRE"/>
    <s v="OLIVEIRA/FABRICIO"/>
    <s v="Ana Clara Brime"/>
    <s v="Ana Clara Brime"/>
    <d v="2025-08-08T11:52:00"/>
    <s v="L9T6"/>
    <s v="-"/>
    <s v="OFF LINE"/>
    <s v="Cartão de crédito"/>
    <s v="Cartão de crédito"/>
    <x v="1"/>
    <s v="N"/>
    <x v="65"/>
    <s v="Grupo Casas Bahia S.a."/>
    <s v="-"/>
    <s v="Hotel Brotas"/>
    <s v="-"/>
    <x v="50"/>
    <s v="-"/>
    <x v="381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1736"/>
    <n v="23520099"/>
    <s v="ACC01"/>
    <x v="479"/>
    <d v="2025-08-11T12:00:36"/>
    <x v="0"/>
    <x v="0"/>
    <s v="FOHKIPT"/>
    <s v="SABRE"/>
    <s v="SILVA/EDNEIA"/>
    <s v="Ana Clara Brime"/>
    <s v="Ana Clara Brime"/>
    <d v="2025-08-08T12:08:00"/>
    <s v="L9RV"/>
    <s v="-"/>
    <s v="OFF LINE"/>
    <s v="Cartão de crédito"/>
    <s v="Cartão de crédito"/>
    <x v="1"/>
    <s v="N"/>
    <x v="65"/>
    <s v="Grupo Casas Bahia S.a."/>
    <s v="-"/>
    <s v="Ibis Petrolina"/>
    <s v="-"/>
    <x v="50"/>
    <s v="-"/>
    <x v="382"/>
    <n v="0"/>
    <n v="0"/>
    <n v="0"/>
    <n v="0"/>
    <n v="0"/>
    <n v="0"/>
    <s v="Reserva importada por HubTravel"/>
    <s v="Fornecedor não preenchido! (ACC03)"/>
    <x v="0"/>
    <x v="1"/>
    <s v="Campo Fornecedor"/>
    <x v="0"/>
    <s v="Qualidade dos dados"/>
    <s v="KONTIK BUSINESS TRAVEL"/>
    <x v="2"/>
  </r>
  <r>
    <n v="22721736"/>
    <n v="23520100"/>
    <s v="ACC02"/>
    <x v="479"/>
    <d v="2025-08-11T12:00:36"/>
    <x v="0"/>
    <x v="0"/>
    <s v="FOHKIPT"/>
    <s v="SABRE"/>
    <s v="SILVA/EDNEIA"/>
    <s v="Ana Clara Brime"/>
    <s v="Ana Clara Brime"/>
    <d v="2025-08-08T12:08:00"/>
    <s v="L9RV"/>
    <s v="-"/>
    <s v="OFF LINE"/>
    <s v="Cartão de crédito"/>
    <s v="Cartão de crédito"/>
    <x v="1"/>
    <s v="N"/>
    <x v="65"/>
    <s v="Grupo Casas Bahia S.a."/>
    <s v="-"/>
    <s v="Novoleste Hotel"/>
    <s v="-"/>
    <x v="50"/>
    <s v="-"/>
    <x v="136"/>
    <n v="0"/>
    <n v="0"/>
    <n v="0"/>
    <n v="0"/>
    <n v="0"/>
    <n v="0"/>
    <s v="Reserva importada por HubTravel"/>
    <s v="Fornecedor não preenchido! (ACC03)"/>
    <x v="0"/>
    <x v="1"/>
    <s v="Campo Fornecedor"/>
    <x v="0"/>
    <s v="Qualidade dos dados"/>
    <s v="KONTIK BUSINESS TRAVEL"/>
    <x v="2"/>
  </r>
  <r>
    <n v="22721736"/>
    <n v="23520101"/>
    <s v="ACC03"/>
    <x v="479"/>
    <d v="2025-08-11T12:00:36"/>
    <x v="0"/>
    <x v="0"/>
    <s v="FOHKIPT"/>
    <s v="SABRE"/>
    <s v="SILVA/EDNEIA"/>
    <s v="Ana Clara Brime"/>
    <s v="Ana Clara Brime"/>
    <d v="2025-08-08T12:08:00"/>
    <s v="L9RV"/>
    <s v="-"/>
    <s v="OFF LINE"/>
    <s v="Cartão de crédito"/>
    <s v="Cartão de crédito"/>
    <x v="1"/>
    <s v="N"/>
    <x v="65"/>
    <s v="Grupo Casas Bahia S.a."/>
    <s v="-"/>
    <s v="-"/>
    <s v="-"/>
    <x v="50"/>
    <s v="-"/>
    <x v="383"/>
    <n v="0"/>
    <n v="0"/>
    <n v="0"/>
    <n v="0"/>
    <n v="0"/>
    <n v="0"/>
    <s v="Reserva importada por HubTravel"/>
    <s v="Fornecedor não preenchido! (ACC03)"/>
    <x v="0"/>
    <x v="1"/>
    <s v="Campo Fornecedor"/>
    <x v="0"/>
    <s v="Qualidade dos dados"/>
    <s v="KONTIK BUSINESS TRAVEL"/>
    <x v="2"/>
  </r>
  <r>
    <n v="22722591"/>
    <n v="23520938"/>
    <s v="ACC01"/>
    <x v="480"/>
    <d v="2025-08-11T13:30:25"/>
    <x v="0"/>
    <x v="0"/>
    <s v="YKTXOYT"/>
    <s v="SABRE"/>
    <s v="PIRES/FERNANDO"/>
    <s v="Ana Clara Brime"/>
    <s v="Ana Clara Brime"/>
    <d v="2025-08-11T11:19:00"/>
    <s v="L9TQ"/>
    <s v="-"/>
    <s v="OFF LINE"/>
    <s v="Cartão de crédito"/>
    <s v="Cartão de crédito"/>
    <x v="1"/>
    <s v="N"/>
    <x v="65"/>
    <s v="Grupo Casas Bahia S.a."/>
    <s v="-"/>
    <s v="-"/>
    <s v="-"/>
    <x v="50"/>
    <s v="-"/>
    <x v="384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2276"/>
    <n v="23504414"/>
    <s v="ACC01"/>
    <x v="481"/>
    <d v="2025-08-07T17:15:48"/>
    <x v="1"/>
    <x v="1"/>
    <s v="AJOJHOT"/>
    <s v="SABRE"/>
    <s v="FREITAS NETO/JOSE"/>
    <s v="Ana Clara Brime"/>
    <s v="Ana Clara Brime"/>
    <d v="2025-08-07T14:57:00"/>
    <s v="L9MK"/>
    <s v="-"/>
    <s v="OFF LINE"/>
    <s v="Cartão de crédito"/>
    <s v="Cartão de crédito"/>
    <x v="1"/>
    <s v="N"/>
    <x v="65"/>
    <s v="Grupo Casas Bahia S.a."/>
    <s v="-"/>
    <s v="-"/>
    <s v="-"/>
    <x v="50"/>
    <s v="-"/>
    <x v="385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9258"/>
    <n v="23501528"/>
    <s v="ACC01"/>
    <x v="482"/>
    <d v="2025-08-07T09:27:13"/>
    <x v="1"/>
    <x v="1"/>
    <s v="GFLVWET"/>
    <s v="SABRE"/>
    <s v="BERGELT/LISIA"/>
    <s v="Ana Clara Brime"/>
    <s v="Ana Clara Brime"/>
    <d v="2025-08-07T07:12:00"/>
    <s v="L9PG"/>
    <s v="-"/>
    <s v="OFF LINE"/>
    <s v="Cartão de crédito"/>
    <s v="Cartão de crédito"/>
    <x v="1"/>
    <s v="N"/>
    <x v="65"/>
    <s v="Grupo Casas Bahia S.a."/>
    <s v="-"/>
    <s v="-"/>
    <s v="-"/>
    <x v="50"/>
    <s v="-"/>
    <x v="386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00889"/>
    <n v="23503100"/>
    <s v="ACC01"/>
    <x v="483"/>
    <d v="2025-08-07T13:03:24"/>
    <x v="1"/>
    <x v="1"/>
    <s v="HHDBPMT"/>
    <s v="SABRE"/>
    <s v="PINHEIRO/ALANA"/>
    <s v="Ana Clara Brime"/>
    <s v="Ana Clara Brime"/>
    <d v="2025-08-07T10:41:00"/>
    <s v="L9P9"/>
    <s v="-"/>
    <s v="OFF LINE"/>
    <s v="Cartão de crédito"/>
    <s v="Cartão de crédito"/>
    <x v="1"/>
    <s v="N"/>
    <x v="65"/>
    <s v="Grupo Casas Bahia S.a."/>
    <s v="-"/>
    <s v="-"/>
    <s v="-"/>
    <x v="50"/>
    <s v="-"/>
    <x v="376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94343"/>
    <n v="23497197"/>
    <s v="ACC01"/>
    <x v="484"/>
    <d v="2025-08-06T15:46:09"/>
    <x v="1"/>
    <x v="1"/>
    <s v="MGOUWQT"/>
    <s v="SABRE"/>
    <s v="SILVA/WELLINGTON"/>
    <s v="Ana Clara Brime"/>
    <s v="Ana Clara Brime"/>
    <d v="2025-08-06T13:25:00"/>
    <s v="L9K3"/>
    <s v="-"/>
    <s v="OFF LINE"/>
    <s v="Invoice"/>
    <s v="Faturado"/>
    <x v="1"/>
    <s v="N"/>
    <x v="65"/>
    <s v="Grupo Casas Bahia S.a."/>
    <s v="-"/>
    <s v="-"/>
    <s v="-"/>
    <x v="50"/>
    <s v="-"/>
    <x v="387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51596"/>
    <n v="23461155"/>
    <s v="ACC01"/>
    <x v="485"/>
    <d v="2025-07-30T13:30:32"/>
    <x v="2"/>
    <x v="4"/>
    <s v="NINLCFT"/>
    <s v="SABRE"/>
    <s v="JACINTO/ALESSANDRA"/>
    <s v="Ana Clara Brime"/>
    <s v="Ana Clara Brime"/>
    <d v="2025-07-30T11:11:00"/>
    <s v="L969"/>
    <s v="-"/>
    <s v="OFF LINE"/>
    <s v="Cartão de crédito"/>
    <s v="Cartão de crédito"/>
    <x v="1"/>
    <s v="N"/>
    <x v="65"/>
    <s v="Grupo Casas Bahia S.a."/>
    <s v="-"/>
    <s v="-"/>
    <s v="-"/>
    <x v="50"/>
    <s v="-"/>
    <x v="388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644219"/>
    <n v="23454435"/>
    <s v="ACC01"/>
    <x v="486"/>
    <d v="2025-07-29T11:15:50"/>
    <x v="2"/>
    <x v="4"/>
    <s v="UATHIXT"/>
    <s v="SABRE"/>
    <s v="MADRUGA/ADENILSON"/>
    <s v="Ana Clara Brime"/>
    <s v="Ana Clara Brime"/>
    <d v="2025-07-29T08:53:00"/>
    <s v="L96C"/>
    <s v="-"/>
    <s v="OFF LINE"/>
    <s v="Cartão de crédito"/>
    <s v="Cartão de crédito"/>
    <x v="1"/>
    <s v="N"/>
    <x v="65"/>
    <s v="Grupo Casas Bahia S.a."/>
    <s v="-"/>
    <s v="-"/>
    <s v="-"/>
    <x v="50"/>
    <s v="-"/>
    <x v="388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1403"/>
    <n v="23528869"/>
    <s v="ACC01"/>
    <x v="487"/>
    <d v="2025-08-12T18:00:19"/>
    <x v="0"/>
    <x v="0"/>
    <s v="ARRLWAT"/>
    <s v="SABRE"/>
    <s v="AREIAS/RONALDO"/>
    <s v="Ana Clara Brime"/>
    <s v="Ana Clara Brime"/>
    <d v="2025-08-12T15:37:00"/>
    <s v="L9WP"/>
    <s v="-"/>
    <s v="OFF LINE"/>
    <s v="Cartão de crédito"/>
    <s v="Cartão de crédito"/>
    <x v="1"/>
    <s v="N"/>
    <x v="65"/>
    <s v="Grupo Casas Bahia S.a."/>
    <s v="-"/>
    <s v="-"/>
    <s v="-"/>
    <x v="50"/>
    <s v="-"/>
    <x v="389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1311"/>
    <n v="23528785"/>
    <s v="ACC01"/>
    <x v="488"/>
    <d v="2025-08-12T17:42:34"/>
    <x v="0"/>
    <x v="0"/>
    <s v="MBVIHBT"/>
    <s v="SABRE"/>
    <s v="BRITO/PRISCILA"/>
    <s v="Ana Clara Brime"/>
    <s v="Ana Clara Brime"/>
    <d v="2025-08-12T15:22:00"/>
    <s v="L9TR"/>
    <s v="-"/>
    <s v="OFF LINE"/>
    <s v="Cartão de crédito"/>
    <s v="Cartão de crédito"/>
    <x v="1"/>
    <s v="N"/>
    <x v="65"/>
    <s v="Grupo Casas Bahia S.a."/>
    <s v="-"/>
    <s v="-"/>
    <s v="-"/>
    <x v="50"/>
    <s v="-"/>
    <x v="390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1313"/>
    <n v="23528787"/>
    <s v="ACC01"/>
    <x v="489"/>
    <d v="2025-08-12T17:42:39"/>
    <x v="0"/>
    <x v="0"/>
    <s v="MCEIKNT"/>
    <s v="SABRE"/>
    <s v="SEGATTO/FERNANDO"/>
    <s v="Ana Clara Brime"/>
    <s v="Ana Clara Brime"/>
    <d v="2025-08-12T15:28:00"/>
    <s v="L9XN"/>
    <s v="-"/>
    <s v="OFF LINE"/>
    <s v="Cartão de crédito"/>
    <s v="Cartão de crédito"/>
    <x v="1"/>
    <s v="N"/>
    <x v="65"/>
    <s v="Grupo Casas Bahia S.a."/>
    <s v="-"/>
    <s v="-"/>
    <s v="-"/>
    <x v="50"/>
    <s v="-"/>
    <x v="389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1233"/>
    <n v="23528711"/>
    <s v="ACC01"/>
    <x v="490"/>
    <d v="2025-08-12T17:24:45"/>
    <x v="0"/>
    <x v="0"/>
    <s v="GZAWRRT"/>
    <s v="SABRE"/>
    <s v="SANTOS/ANDRE"/>
    <s v="Ana Clara Brime"/>
    <s v="Ana Clara Brime"/>
    <d v="2025-08-12T15:11:00"/>
    <s v="L9RX"/>
    <s v="-"/>
    <s v="OFF LINE"/>
    <s v="Cartão de crédito"/>
    <s v="Cartão de crédito"/>
    <x v="1"/>
    <s v="N"/>
    <x v="65"/>
    <s v="Grupo Casas Bahia S.a."/>
    <s v="-"/>
    <s v="Go Inn Aracaju"/>
    <s v="-"/>
    <x v="50"/>
    <s v="-"/>
    <x v="391"/>
    <n v="0"/>
    <n v="0"/>
    <n v="0"/>
    <n v="0"/>
    <n v="0"/>
    <n v="0"/>
    <s v="Reserva importada por HubTravel"/>
    <s v="Fornecedor não preenchido! (ACC02)"/>
    <x v="0"/>
    <x v="1"/>
    <s v="Campo Fornecedor"/>
    <x v="0"/>
    <s v="Qualidade dos dados"/>
    <s v="KONTIK BUSINESS TRAVEL"/>
    <x v="2"/>
  </r>
  <r>
    <n v="22731233"/>
    <n v="23528712"/>
    <s v="ACC02"/>
    <x v="490"/>
    <d v="2025-08-12T17:24:45"/>
    <x v="0"/>
    <x v="0"/>
    <s v="GZAWRRT"/>
    <s v="SABRE"/>
    <s v="SANTOS/ANDRE"/>
    <s v="Ana Clara Brime"/>
    <s v="Ana Clara Brime"/>
    <d v="2025-08-12T15:11:00"/>
    <s v="L9RX"/>
    <s v="-"/>
    <s v="OFF LINE"/>
    <s v="Cartão de crédito"/>
    <s v="Cartão de crédito"/>
    <x v="1"/>
    <s v="N"/>
    <x v="65"/>
    <s v="Grupo Casas Bahia S.a."/>
    <s v="-"/>
    <s v="-"/>
    <s v="-"/>
    <x v="50"/>
    <s v="-"/>
    <x v="200"/>
    <n v="0"/>
    <n v="0"/>
    <n v="0"/>
    <n v="0"/>
    <n v="0"/>
    <n v="0"/>
    <s v="Reserva importada por HubTravel"/>
    <s v="Fornecedor não preenchido! (ACC02)"/>
    <x v="0"/>
    <x v="1"/>
    <s v="Campo Fornecedor"/>
    <x v="0"/>
    <s v="Qualidade dos dados"/>
    <s v="KONTIK BUSINESS TRAVEL"/>
    <x v="2"/>
  </r>
  <r>
    <n v="22731233"/>
    <n v="23528713"/>
    <s v="ACC03"/>
    <x v="490"/>
    <d v="2025-08-12T17:24:45"/>
    <x v="0"/>
    <x v="0"/>
    <s v="GZAWRRT"/>
    <s v="SABRE"/>
    <s v="SANTOS/ANDRE"/>
    <s v="Ana Clara Brime"/>
    <s v="Ana Clara Brime"/>
    <d v="2025-08-12T15:11:00"/>
    <s v="L9RX"/>
    <s v="-"/>
    <s v="OFF LINE"/>
    <s v="Cartão de crédito"/>
    <s v="Cartão de crédito"/>
    <x v="1"/>
    <s v="N"/>
    <x v="65"/>
    <s v="Grupo Casas Bahia S.a."/>
    <s v="-"/>
    <s v="Go Inn Aracaju"/>
    <s v="-"/>
    <x v="50"/>
    <s v="-"/>
    <x v="392"/>
    <n v="0"/>
    <n v="0"/>
    <n v="0"/>
    <n v="0"/>
    <n v="0"/>
    <n v="0"/>
    <s v="Reserva importada por HubTravel"/>
    <s v="Fornecedor não preenchido! (ACC02)"/>
    <x v="0"/>
    <x v="1"/>
    <s v="Campo Fornecedor"/>
    <x v="0"/>
    <s v="Qualidade dos dados"/>
    <s v="KONTIK BUSINESS TRAVEL"/>
    <x v="2"/>
  </r>
  <r>
    <n v="22731234"/>
    <n v="23528714"/>
    <s v="ACC01"/>
    <x v="491"/>
    <d v="2025-08-12T17:24:48"/>
    <x v="0"/>
    <x v="0"/>
    <s v="OIENNQT"/>
    <s v="SABRE"/>
    <s v="SANTOS/ANTONIO"/>
    <s v="Ana Clara Brime"/>
    <s v="Ana Clara Brime"/>
    <d v="2025-08-11T10:57:00"/>
    <s v="L9TC"/>
    <s v="-"/>
    <s v="OFF LINE"/>
    <s v="Cartão de crédito"/>
    <s v="Cartão de crédito"/>
    <x v="1"/>
    <s v="N"/>
    <x v="65"/>
    <s v="Grupo Casas Bahia S.a."/>
    <s v="-"/>
    <s v="Jardins Plaza Hotel"/>
    <s v="-"/>
    <x v="50"/>
    <s v="-"/>
    <x v="271"/>
    <n v="0"/>
    <n v="0"/>
    <n v="0"/>
    <n v="0"/>
    <n v="0"/>
    <n v="0"/>
    <s v="Reserva importada por HubTravel"/>
    <s v="Fornecedor não preenchido! (ACC03)"/>
    <x v="0"/>
    <x v="1"/>
    <s v="Campo Fornecedor"/>
    <x v="0"/>
    <s v="Qualidade dos dados"/>
    <s v="KONTIK BUSINESS TRAVEL"/>
    <x v="2"/>
  </r>
  <r>
    <n v="22731234"/>
    <n v="23528715"/>
    <s v="ACC02"/>
    <x v="491"/>
    <d v="2025-08-12T17:24:48"/>
    <x v="0"/>
    <x v="0"/>
    <s v="OIENNQT"/>
    <s v="SABRE"/>
    <s v="SANTOS/ANTONIO"/>
    <s v="Ana Clara Brime"/>
    <s v="Ana Clara Brime"/>
    <d v="2025-08-11T10:57:00"/>
    <s v="L9TC"/>
    <s v="-"/>
    <s v="OFF LINE"/>
    <s v="Cartão de crédito"/>
    <s v="Cartão de crédito"/>
    <x v="1"/>
    <s v="N"/>
    <x v="65"/>
    <s v="Grupo Casas Bahia S.a."/>
    <s v="-"/>
    <s v="Nord Easy Patos"/>
    <s v="-"/>
    <x v="50"/>
    <s v="-"/>
    <x v="393"/>
    <n v="0"/>
    <n v="0"/>
    <n v="0"/>
    <n v="0"/>
    <n v="0"/>
    <n v="0"/>
    <s v="Reserva importada por HubTravel"/>
    <s v="Fornecedor não preenchido! (ACC03)"/>
    <x v="0"/>
    <x v="1"/>
    <s v="Campo Fornecedor"/>
    <x v="0"/>
    <s v="Qualidade dos dados"/>
    <s v="KONTIK BUSINESS TRAVEL"/>
    <x v="2"/>
  </r>
  <r>
    <n v="22731234"/>
    <n v="23528716"/>
    <s v="ACC03"/>
    <x v="491"/>
    <d v="2025-08-12T17:24:48"/>
    <x v="0"/>
    <x v="0"/>
    <s v="OIENNQT"/>
    <s v="SABRE"/>
    <s v="SANTOS/ANTONIO"/>
    <s v="Ana Clara Brime"/>
    <s v="Ana Clara Brime"/>
    <d v="2025-08-11T10:57:00"/>
    <s v="L9TC"/>
    <s v="-"/>
    <s v="OFF LINE"/>
    <s v="Cartão de crédito"/>
    <s v="Cartão de crédito"/>
    <x v="1"/>
    <s v="N"/>
    <x v="65"/>
    <s v="Grupo Casas Bahia S.a."/>
    <s v="-"/>
    <s v="-"/>
    <s v="-"/>
    <x v="50"/>
    <s v="-"/>
    <x v="394"/>
    <n v="0"/>
    <n v="0"/>
    <n v="0"/>
    <n v="0"/>
    <n v="0"/>
    <n v="0"/>
    <s v="Reserva importada por HubTravel"/>
    <s v="Fornecedor não preenchido! (ACC03)"/>
    <x v="0"/>
    <x v="1"/>
    <s v="Campo Fornecedor"/>
    <x v="0"/>
    <s v="Qualidade dos dados"/>
    <s v="KONTIK BUSINESS TRAVEL"/>
    <x v="2"/>
  </r>
  <r>
    <n v="22731713"/>
    <n v="23529169"/>
    <s v="ACC01"/>
    <x v="492"/>
    <d v="2025-08-12T18:19:46"/>
    <x v="0"/>
    <x v="0"/>
    <s v="ARKZTRT"/>
    <s v="SABRE"/>
    <s v="SILVA/WELLINGTON"/>
    <s v="Ana Clara Brime"/>
    <s v="Ana Clara Brime"/>
    <d v="2025-08-12T15:52:00"/>
    <s v="L9X4"/>
    <s v="-"/>
    <s v="OFF LINE"/>
    <s v="Cartão de crédito"/>
    <s v="Cartão de crédito"/>
    <x v="1"/>
    <s v="N"/>
    <x v="65"/>
    <s v="Grupo Casas Bahia S.a."/>
    <s v="-"/>
    <s v="-"/>
    <s v="-"/>
    <x v="50"/>
    <s v="-"/>
    <x v="395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30061"/>
    <n v="23527582"/>
    <s v="ACC01"/>
    <x v="493"/>
    <d v="2025-08-12T13:39:35"/>
    <x v="0"/>
    <x v="0"/>
    <s v="NQEZUST"/>
    <s v="SABRE"/>
    <s v="CORREA/FERNANDA"/>
    <s v="Ana Clara Brime"/>
    <s v="Ana Clara Brime"/>
    <d v="2025-08-12T11:31:00"/>
    <s v="L9VX"/>
    <s v="-"/>
    <s v="OFF LINE"/>
    <s v="Cartão de crédito"/>
    <s v="Cartão de crédito"/>
    <x v="1"/>
    <s v="N"/>
    <x v="65"/>
    <s v="Grupo Casas Bahia S.a."/>
    <s v="-"/>
    <s v="-"/>
    <s v="-"/>
    <x v="50"/>
    <s v="-"/>
    <x v="109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9928"/>
    <n v="23527461"/>
    <s v="ACC01"/>
    <x v="494"/>
    <d v="2025-08-12T13:12:19"/>
    <x v="0"/>
    <x v="0"/>
    <s v="KUUCHRT"/>
    <s v="SABRE"/>
    <s v="SANTANA/EDSON"/>
    <s v="Ana Clara Brime"/>
    <s v="Ana Clara Brime"/>
    <d v="2025-08-12T10:57:00"/>
    <s v="L9X6"/>
    <s v="-"/>
    <s v="OFF LINE"/>
    <s v="Cartão de crédito"/>
    <s v="Cartão de crédito"/>
    <x v="1"/>
    <s v="N"/>
    <x v="65"/>
    <s v="Grupo Casas Bahia S.a."/>
    <s v="-"/>
    <s v="-"/>
    <s v="-"/>
    <x v="50"/>
    <s v="-"/>
    <x v="396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8431"/>
    <n v="23526016"/>
    <s v="ACC01"/>
    <x v="495"/>
    <d v="2025-08-12T10:03:16"/>
    <x v="0"/>
    <x v="0"/>
    <s v="OSVKYLT"/>
    <s v="SABRE"/>
    <s v="BRITO/PRISCILA"/>
    <s v="Ana Clara Brime"/>
    <s v="Ana Clara Brime"/>
    <d v="2025-08-12T07:39:00"/>
    <s v="L9TW"/>
    <s v="-"/>
    <s v="OFF LINE"/>
    <s v="Cartão de crédito"/>
    <s v="Cartão de crédito"/>
    <x v="1"/>
    <s v="N"/>
    <x v="65"/>
    <s v="Grupo Casas Bahia S.a."/>
    <s v="-"/>
    <s v="-"/>
    <s v="-"/>
    <x v="50"/>
    <s v="-"/>
    <x v="397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8956"/>
    <n v="23526496"/>
    <s v="ACC01"/>
    <x v="496"/>
    <d v="2025-08-12T11:42:13"/>
    <x v="0"/>
    <x v="0"/>
    <s v="QZDHOPT"/>
    <s v="SABRE"/>
    <s v="LESSA/PAULO"/>
    <s v="Ana Clara Brime"/>
    <s v="Ana Clara Brime"/>
    <d v="2025-08-12T09:24:00"/>
    <s v="L9X9"/>
    <s v="-"/>
    <s v="OFF LINE"/>
    <s v="Cartão de crédito"/>
    <s v="Cartão de crédito"/>
    <x v="1"/>
    <s v="N"/>
    <x v="65"/>
    <s v="Grupo Casas Bahia S.a."/>
    <s v="-"/>
    <s v="-"/>
    <s v="-"/>
    <x v="50"/>
    <s v="-"/>
    <x v="398"/>
    <n v="0"/>
    <n v="0"/>
    <n v="0"/>
    <n v="0"/>
    <n v="0"/>
    <n v="0"/>
    <s v="Reserva importada por HubTravel"/>
    <s v="Fornecedor não preenchido! (ACC01)"/>
    <x v="0"/>
    <x v="1"/>
    <s v="Campo Fornecedor"/>
    <x v="0"/>
    <s v="Qualidade dos dados"/>
    <s v="KONTIK BUSINESS TRAVEL"/>
    <x v="2"/>
  </r>
  <r>
    <n v="22725117"/>
    <n v="23523343"/>
    <s v="ACC01"/>
    <x v="497"/>
    <d v="2025-08-11T19:03:53"/>
    <x v="0"/>
    <x v="0"/>
    <s v="FZITHV"/>
    <s v="SABRE"/>
    <s v="DA SILVA LEITE/JESSICA"/>
    <s v="Clayton Alves de Rezende"/>
    <s v="CORA TORLAI CIRINO"/>
    <d v="2025-08-11T11:03:00"/>
    <s v="FZITHV"/>
    <s v="-"/>
    <s v="ON LINE"/>
    <s v="Invoice"/>
    <s v="Faturado"/>
    <x v="0"/>
    <s v="N"/>
    <x v="66"/>
    <s v="Consulado Geral da Nova Zelandia"/>
    <s v="-"/>
    <s v="Latam Airlines Brasil"/>
    <n v="2952820362"/>
    <x v="51"/>
    <s v="-"/>
    <x v="399"/>
    <n v="59.54"/>
    <n v="403.67"/>
    <n v="0"/>
    <n v="59.54"/>
    <n v="0"/>
    <n v="0"/>
    <s v="Reserva importada por HubTravel"/>
    <s v="Empenho/departamento não preenchido! (ACC01)"/>
    <x v="0"/>
    <x v="8"/>
    <s v="Falta de informação Gerencial"/>
    <x v="0"/>
    <s v="Qualidade dos dados"/>
    <s v="KONTIK BUSINESS TRAVEL"/>
    <x v="6"/>
  </r>
  <r>
    <n v="22731533"/>
    <n v="23528997"/>
    <s v="ACC01"/>
    <x v="498"/>
    <d v="2025-08-12T18:05:11"/>
    <x v="0"/>
    <x v="0"/>
    <s v="CMMYPQ"/>
    <s v="SABRE"/>
    <s v="ROSARIO/ROSANA PEREIRA DO"/>
    <s v="Beatrys Ferreira Rocha"/>
    <s v="William da Cruz Canteiro"/>
    <d v="2025-08-12T13:40:00"/>
    <s v="3N74"/>
    <s v="-"/>
    <s v="OFF LINE"/>
    <s v="?"/>
    <s v="TKT"/>
    <x v="0"/>
    <s v="N"/>
    <x v="67"/>
    <s v="Atento Brasil S/a"/>
    <s v="-"/>
    <s v="Latam Airlines Brasil"/>
    <n v="2952834986"/>
    <x v="52"/>
    <s v="-"/>
    <x v="19"/>
    <n v="0"/>
    <n v="450"/>
    <n v="0"/>
    <n v="75.010000000000005"/>
    <n v="0"/>
    <n v="0"/>
    <s v="Reserva importada por HubTravel"/>
    <s v=" Módulo Operações    -&gt; Configurações      -&gt; Configurações do sistema turismo        -&gt; Importação das vendas          -&gt; Entradas/Saídas  Para o "/>
    <x v="0"/>
    <x v="9"/>
    <s v="Forma PG. e REC."/>
    <x v="0"/>
    <s v="Qualidade dos dados"/>
    <s v="KONTIK BUSINESS TRAVEL"/>
    <x v="6"/>
  </r>
  <r>
    <n v="22732502"/>
    <n v="23529938"/>
    <s v="ACC01"/>
    <x v="499"/>
    <d v="2025-08-12T18:54:23"/>
    <x v="0"/>
    <x v="0"/>
    <s v="WGVRHAT"/>
    <s v="SABRE"/>
    <s v="ROSARIO/ROSANA PEREIRA DO"/>
    <s v="WS"/>
    <s v="WS"/>
    <d v="2025-08-12T11:37:00"/>
    <s v="WGVRHA"/>
    <s v="-"/>
    <s v="ON LINE"/>
    <s v="Invoice"/>
    <s v="Faturado"/>
    <x v="1"/>
    <s v="N"/>
    <x v="67"/>
    <s v="Atento Brasil S/a"/>
    <s v="-"/>
    <s v="-"/>
    <s v="-"/>
    <x v="52"/>
    <s v="-"/>
    <x v="400"/>
    <n v="0"/>
    <n v="0"/>
    <n v="0"/>
    <n v="0"/>
    <n v="0"/>
    <n v="0"/>
    <s v="Reserva importada por HubTravel"/>
    <s v="Fornecedor não preenchido! (ACC01)"/>
    <x v="0"/>
    <x v="1"/>
    <s v="Campo Fornecedor"/>
    <x v="0"/>
    <s v="Sistêmico"/>
    <s v="GRUPO KONTIK"/>
    <x v="1"/>
  </r>
  <r>
    <n v="22700754"/>
    <n v="23502970"/>
    <s v="ACC01"/>
    <x v="500"/>
    <d v="2025-08-07T12:53:08"/>
    <x v="1"/>
    <x v="1"/>
    <s v="DOTTHU1"/>
    <s v="TMS"/>
    <s v="SUELMA ROSA DOS SANTOS"/>
    <s v="Tami Maron"/>
    <s v="Tami Maron"/>
    <d v="2025-08-07T10:19:00"/>
    <n v="1293"/>
    <s v="-"/>
    <s v="OFF LINE"/>
    <s v="Cartão de crédito"/>
    <s v="Cartão AMEX"/>
    <x v="0"/>
    <s v="N"/>
    <x v="68"/>
    <s v="Pepsico"/>
    <s v="-"/>
    <s v="Latam Airlines Brasil"/>
    <n v="2971585096"/>
    <x v="53"/>
    <s v="-"/>
    <x v="19"/>
    <n v="30.95"/>
    <n v="0"/>
    <n v="0"/>
    <n v="0"/>
    <n v="0"/>
    <n v="0"/>
    <s v="Reserva importada do Sistema TMS. OS: 1293"/>
    <s v="Verificação de bilhetes: Bilhete 2971585096 já sendo utilizado para este fornecedor."/>
    <x v="1"/>
    <x v="6"/>
    <s v="Bilhete Já Contabilizado"/>
    <x v="2"/>
    <s v="Qualidade dos dados"/>
    <s v="GRUPO KONTIK"/>
    <x v="5"/>
  </r>
  <r>
    <n v="22678475"/>
    <n v="23483048"/>
    <s v="ACC01"/>
    <x v="501"/>
    <d v="2025-08-04T12:58:59"/>
    <x v="2"/>
    <x v="4"/>
    <s v="5F6KG7"/>
    <s v="TMS"/>
    <s v="RAPHAEL WOREK CYJON"/>
    <s v="Thais Matte Andreis"/>
    <s v="Thais Matte Andreis"/>
    <d v="2025-08-04T11:07:00"/>
    <n v="1136"/>
    <s v="-"/>
    <s v="OFF LINE"/>
    <s v="Cartão de crédito"/>
    <s v="Cartão de crédito"/>
    <x v="1"/>
    <s v="N"/>
    <x v="68"/>
    <s v="Pepsico"/>
    <s v="-"/>
    <s v="-"/>
    <s v="-"/>
    <x v="53"/>
    <s v="-"/>
    <x v="77"/>
    <n v="0"/>
    <n v="0"/>
    <n v="0"/>
    <n v="0"/>
    <n v="0"/>
    <n v="0"/>
    <s v="Reserva importada do Sistema TMS. OS: 1136"/>
    <s v="Fornecedor não preenchido! (ACC01)"/>
    <x v="1"/>
    <x v="1"/>
    <s v="Campo Fornecedor"/>
    <x v="0"/>
    <s v="Qualidade dos dados"/>
    <s v="KONTIK BUSINESS TRAVEL"/>
    <x v="2"/>
  </r>
  <r>
    <n v="22693310"/>
    <n v="23496252"/>
    <s v="ACC01"/>
    <x v="502"/>
    <d v="2025-08-06T13:20:50"/>
    <x v="1"/>
    <x v="1"/>
    <s v="5GSKQQ"/>
    <s v="TMS"/>
    <s v="RAPHAEL WOREK CYJON"/>
    <s v="Thais Matte Andreis"/>
    <s v="Thais Matte Andreis"/>
    <d v="2025-08-06T09:45:00"/>
    <n v="1251"/>
    <s v="-"/>
    <s v="OFF LINE"/>
    <s v="Cartão de crédito"/>
    <s v="Cartão de crédito"/>
    <x v="1"/>
    <s v="N"/>
    <x v="68"/>
    <s v="Pepsico"/>
    <s v="-"/>
    <s v="-"/>
    <s v="-"/>
    <x v="53"/>
    <s v="-"/>
    <x v="401"/>
    <n v="0"/>
    <n v="0"/>
    <n v="0"/>
    <n v="0"/>
    <n v="0"/>
    <n v="0"/>
    <s v="Reserva importada do Sistema TMS. OS: 1251"/>
    <s v="Fornecedor não preenchido! (ACC01)"/>
    <x v="1"/>
    <x v="1"/>
    <s v="Campo Fornecedor"/>
    <x v="0"/>
    <s v="Qualidade dos dados"/>
    <s v="KONTIK BUSINESS TRAVEL"/>
    <x v="2"/>
  </r>
  <r>
    <n v="22729310"/>
    <n v="23526868"/>
    <s v="ACC01"/>
    <x v="503"/>
    <d v="2025-08-13T06:10:21"/>
    <x v="0"/>
    <x v="0"/>
    <s v="5GHTLJ"/>
    <s v="TMS"/>
    <s v="RITA MELO"/>
    <s v="Renata Claudia de Oliveira"/>
    <s v="Renata Claudia de Oliveira"/>
    <d v="2025-08-11T18:21:00"/>
    <n v="2786"/>
    <s v="-"/>
    <s v="OFF LINE"/>
    <s v="Invoice"/>
    <s v="Faturado"/>
    <x v="2"/>
    <s v="N"/>
    <x v="69"/>
    <s v="Colegio e Pre-vestibular Bernoulli - Un. Raja"/>
    <s v="-"/>
    <s v="-"/>
    <s v="-"/>
    <x v="54"/>
    <s v="-"/>
    <x v="402"/>
    <n v="9.9499999999999993"/>
    <n v="0"/>
    <n v="0"/>
    <n v="0"/>
    <n v="0"/>
    <n v="0"/>
    <s v="Reserva importada do Sistema TMS. OS: 2786"/>
    <s v="Fornecedor não preenchido! (ACC01)"/>
    <x v="1"/>
    <x v="1"/>
    <s v="Campo Fornecedor"/>
    <x v="0"/>
    <s v="Qualidade dos dados"/>
    <s v="KONTIK BUSINESS TRAVEL"/>
    <x v="2"/>
  </r>
  <r>
    <n v="22729311"/>
    <n v="23526869"/>
    <s v="ACC01"/>
    <x v="504"/>
    <d v="2025-08-13T06:10:21"/>
    <x v="0"/>
    <x v="0"/>
    <s v="5GUGNJ"/>
    <s v="TMS"/>
    <s v="RITA MELO"/>
    <s v="Renata Claudia de Oliveira"/>
    <s v="Renata Claudia de Oliveira"/>
    <d v="2025-08-11T18:29:00"/>
    <n v="2782"/>
    <s v="-"/>
    <s v="OFF LINE"/>
    <s v="Invoice"/>
    <s v="Faturado"/>
    <x v="2"/>
    <s v="N"/>
    <x v="69"/>
    <s v="Colegio e Pre-vestibular Bernoulli - Un. Raja"/>
    <s v="-"/>
    <s v="-"/>
    <s v="-"/>
    <x v="54"/>
    <s v="-"/>
    <x v="403"/>
    <n v="9.9499999999999993"/>
    <n v="0"/>
    <n v="0"/>
    <n v="0"/>
    <n v="0"/>
    <n v="0"/>
    <s v="Reserva importada do Sistema TMS. OS: 2782"/>
    <s v="Fornecedor não preenchido! (ACC01)"/>
    <x v="1"/>
    <x v="1"/>
    <s v="Campo Fornecedor"/>
    <x v="0"/>
    <s v="Qualidade dos dados"/>
    <s v="KONTIK BUSINESS TRAVEL"/>
    <x v="2"/>
  </r>
  <r>
    <n v="22731742"/>
    <n v="23529198"/>
    <s v="ACC01"/>
    <x v="505"/>
    <d v="2025-08-13T06:10:21"/>
    <x v="0"/>
    <x v="0"/>
    <s v="5GQK5K"/>
    <s v="TMS"/>
    <s v="LUIZ GUILHERME NOVAIS"/>
    <s v="Renata Claudia de Oliveira"/>
    <s v="Renata Claudia de Oliveira"/>
    <d v="2025-08-12T17:29:00"/>
    <n v="2920"/>
    <s v="-"/>
    <s v="OFF LINE"/>
    <s v="Invoice"/>
    <s v="Faturado"/>
    <x v="2"/>
    <s v="N"/>
    <x v="69"/>
    <s v="Bernoulli Sistema de Ensino - Belo Horizonte"/>
    <s v="-"/>
    <s v="-"/>
    <s v="-"/>
    <x v="54"/>
    <s v="-"/>
    <x v="404"/>
    <n v="9.9499999999999993"/>
    <n v="0"/>
    <n v="0"/>
    <n v="0"/>
    <n v="0"/>
    <n v="0"/>
    <s v="Reserva importada do Sistema TMS. OS: 2920"/>
    <s v="Fornecedor não preenchido! (ACC01)"/>
    <x v="1"/>
    <x v="1"/>
    <s v="Campo Fornecedor"/>
    <x v="0"/>
    <s v="Qualidade dos dados"/>
    <s v="KONTIK BUSINESS TRAVEL"/>
    <x v="2"/>
  </r>
  <r>
    <n v="22731743"/>
    <n v="23529199"/>
    <s v="ACC01"/>
    <x v="505"/>
    <d v="2025-08-13T06:10:22"/>
    <x v="0"/>
    <x v="0"/>
    <s v="5GXKTK"/>
    <s v="TMS"/>
    <s v="LUIZ GUILHERME NOVAIS"/>
    <s v="Renata Claudia de Oliveira"/>
    <s v="Renata Claudia de Oliveira"/>
    <d v="2025-08-12T17:29:00"/>
    <n v="2920"/>
    <s v="-"/>
    <s v="OFF LINE"/>
    <s v="Invoice"/>
    <s v="Faturado"/>
    <x v="2"/>
    <s v="N"/>
    <x v="69"/>
    <s v="Bernoulli Sistema de Ensino - Belo Horizonte"/>
    <s v="-"/>
    <s v="-"/>
    <s v="-"/>
    <x v="54"/>
    <s v="-"/>
    <x v="405"/>
    <n v="9.9499999999999993"/>
    <n v="0"/>
    <n v="0"/>
    <n v="0"/>
    <n v="0"/>
    <n v="0"/>
    <s v="Reserva importada do Sistema TMS. OS: 2920"/>
    <s v="Fornecedor não preenchido! (ACC01)"/>
    <x v="1"/>
    <x v="1"/>
    <s v="Campo Fornecedor"/>
    <x v="0"/>
    <s v="Qualidade dos dados"/>
    <s v="KONTIK BUSINESS TRAVEL"/>
    <x v="2"/>
  </r>
  <r>
    <n v="22733788"/>
    <n v="23531081"/>
    <s v="ACC01"/>
    <x v="506"/>
    <d v="2025-08-13T00:16:29"/>
    <x v="0"/>
    <x v="0"/>
    <s v="5G4XZO"/>
    <s v="TMS"/>
    <s v="LUCAS SILVA"/>
    <s v="Renata Claudia de Oliveira"/>
    <s v="Renata Claudia de Oliveira"/>
    <d v="2025-08-12T19:58:00"/>
    <n v="2849"/>
    <s v="Recife / REC"/>
    <s v="ON LINE"/>
    <s v="Invoice"/>
    <s v="Faturado"/>
    <x v="3"/>
    <s v="N"/>
    <x v="69"/>
    <s v="Bernoulli Sistema de Ensino - Belo Horizonte"/>
    <s v="-"/>
    <s v="-"/>
    <s v="-"/>
    <x v="54"/>
    <s v="-"/>
    <x v="406"/>
    <n v="0"/>
    <n v="0"/>
    <n v="0"/>
    <n v="0"/>
    <n v="0"/>
    <n v="0"/>
    <s v="Reserva importada do Sistema TMS. OS: 2849"/>
    <s v="Fornecedor não preenchido! (ACC01)"/>
    <x v="1"/>
    <x v="1"/>
    <s v="Campo Fornecedor"/>
    <x v="0"/>
    <s v="Qualidade dos dados"/>
    <s v="KONTIK BUSINESS TRAVEL"/>
    <x v="2"/>
  </r>
  <r>
    <n v="22733776"/>
    <n v="23531069"/>
    <s v="ACC01"/>
    <x v="507"/>
    <d v="2025-08-13T00:16:12"/>
    <x v="0"/>
    <x v="0"/>
    <s v="5G5AQN"/>
    <s v="TMS"/>
    <s v="JUNIO FERREIRA"/>
    <s v="Renata Claudia de Oliveira"/>
    <s v="Renata Claudia de Oliveira"/>
    <d v="2025-08-12T20:00:00"/>
    <n v="2909"/>
    <s v="Rio de Janeiro / RIO"/>
    <s v="ON LINE"/>
    <s v="Invoice"/>
    <s v="Faturado"/>
    <x v="3"/>
    <s v="N"/>
    <x v="69"/>
    <s v="Bernoulli Sistema de Ensino - Belo Horizonte"/>
    <s v="-"/>
    <s v="-"/>
    <s v="-"/>
    <x v="54"/>
    <s v="-"/>
    <x v="407"/>
    <n v="0"/>
    <n v="0"/>
    <n v="0"/>
    <n v="0"/>
    <n v="0"/>
    <n v="0"/>
    <s v="Reserva importada do Sistema TMS. OS: 2909"/>
    <s v="Fornecedor não preenchido! (ACC01)"/>
    <x v="1"/>
    <x v="1"/>
    <s v="Campo Fornecedor"/>
    <x v="0"/>
    <s v="Qualidade dos dados"/>
    <s v="KONTIK BUSINESS TRAVEL"/>
    <x v="2"/>
  </r>
  <r>
    <n v="22733781"/>
    <n v="23531074"/>
    <s v="ACC01"/>
    <x v="508"/>
    <d v="2025-08-13T00:16:21"/>
    <x v="0"/>
    <x v="0"/>
    <s v="5GKQAN"/>
    <s v="TMS"/>
    <s v="FERNANDA SANTOS"/>
    <s v="Renata Claudia de Oliveira"/>
    <s v="Renata Claudia de Oliveira"/>
    <d v="2025-08-12T19:59:00"/>
    <n v="2878"/>
    <s v="Belo Horizonte / BHZ"/>
    <s v="ON LINE"/>
    <s v="Invoice"/>
    <s v="Faturado"/>
    <x v="3"/>
    <s v="N"/>
    <x v="69"/>
    <s v="Colegio e Pre-vestibular Bernoulli - Un. Raja"/>
    <s v="-"/>
    <s v="-"/>
    <s v="-"/>
    <x v="54"/>
    <s v="-"/>
    <x v="408"/>
    <n v="0"/>
    <n v="0"/>
    <n v="0"/>
    <n v="0"/>
    <n v="0"/>
    <n v="0"/>
    <s v="Reserva importada do Sistema TMS. OS: 2878"/>
    <s v="Fornecedor não preenchido! (ACC01)"/>
    <x v="1"/>
    <x v="1"/>
    <s v="Campo Fornecedor"/>
    <x v="0"/>
    <s v="Qualidade dos dados"/>
    <s v="KONTIK BUSINESS TRAVEL"/>
    <x v="2"/>
  </r>
  <r>
    <n v="22733782"/>
    <n v="23531075"/>
    <s v="ACC01"/>
    <x v="509"/>
    <d v="2025-08-13T00:16:21"/>
    <x v="0"/>
    <x v="0"/>
    <s v="5GOAQO"/>
    <s v="TMS"/>
    <s v="FERNANDA SANTOS"/>
    <s v="Renata Claudia de Oliveira"/>
    <s v="Renata Claudia de Oliveira"/>
    <d v="2025-08-12T19:59:00"/>
    <n v="2877"/>
    <s v="Belo Horizonte / BHZ"/>
    <s v="ON LINE"/>
    <s v="Invoice"/>
    <s v="Faturado"/>
    <x v="3"/>
    <s v="N"/>
    <x v="69"/>
    <s v="Colegio e Pre-vestibular Bernoulli - Un. Raja"/>
    <s v="-"/>
    <s v="-"/>
    <s v="-"/>
    <x v="54"/>
    <s v="-"/>
    <x v="408"/>
    <n v="0"/>
    <n v="0"/>
    <n v="0"/>
    <n v="0"/>
    <n v="0"/>
    <n v="0"/>
    <s v="Reserva importada do Sistema TMS. OS: 2877"/>
    <s v="Fornecedor não preenchido! (ACC01)"/>
    <x v="1"/>
    <x v="1"/>
    <s v="Campo Fornecedor"/>
    <x v="0"/>
    <s v="Qualidade dos dados"/>
    <s v="KONTIK BUSINESS TRAVEL"/>
    <x v="2"/>
  </r>
  <r>
    <n v="22729308"/>
    <n v="23526866"/>
    <s v="ACC01"/>
    <x v="510"/>
    <d v="2025-08-12T12:41:12"/>
    <x v="0"/>
    <x v="0"/>
    <s v="5GRTO7"/>
    <s v="TMS"/>
    <s v="FERNANDO VIEIRA FILHO"/>
    <s v="Tms"/>
    <s v="Tms"/>
    <d v="2025-08-12T10:20:00"/>
    <n v="2857"/>
    <s v="Osasco / QOC"/>
    <s v="ON LINE"/>
    <s v="Invoice"/>
    <s v="Faturado"/>
    <x v="3"/>
    <s v="N"/>
    <x v="69"/>
    <s v="Bernoulli Sistema de Ensino - Belo Horizonte"/>
    <s v="-"/>
    <s v="-"/>
    <s v="-"/>
    <x v="54"/>
    <s v="-"/>
    <x v="409"/>
    <n v="0"/>
    <n v="0"/>
    <n v="0"/>
    <n v="0"/>
    <n v="0"/>
    <n v="0"/>
    <s v="Reserva importada do Sistema TMS. OS: 2857"/>
    <s v="Fornecedor não preenchido! (ACC01)"/>
    <x v="1"/>
    <x v="1"/>
    <s v="Campo Fornecedor"/>
    <x v="0"/>
    <s v="Qualidade dos dados"/>
    <s v="KONTIK BUSINESS TRAVEL"/>
    <x v="2"/>
  </r>
  <r>
    <n v="22692949"/>
    <n v="23495893"/>
    <s v="ACC01"/>
    <x v="511"/>
    <d v="2025-08-06T12:31:43"/>
    <x v="1"/>
    <x v="1"/>
    <s v="5GU8NM"/>
    <s v="TMS"/>
    <s v="BRAULIO UCHOA"/>
    <s v="Thais Peixoto de Melo"/>
    <s v="Thais Peixoto de Melo"/>
    <d v="2025-08-06T08:53:00"/>
    <n v="2186"/>
    <s v="-"/>
    <s v="OFF LINE"/>
    <s v="Invoice"/>
    <s v="Faturado"/>
    <x v="2"/>
    <s v="N"/>
    <x v="69"/>
    <s v="Bernoulli Sistema de Ensino - Belo Horizonte"/>
    <s v="-"/>
    <s v="-"/>
    <s v="-"/>
    <x v="54"/>
    <s v="-"/>
    <x v="410"/>
    <n v="0"/>
    <n v="0"/>
    <n v="0"/>
    <n v="0"/>
    <n v="0"/>
    <n v="0"/>
    <s v="Reserva importada do Sistema TMS. OS: 2186"/>
    <s v="Fornecedor não preenchido! (ACC01)"/>
    <x v="1"/>
    <x v="1"/>
    <s v="Campo Fornecedor"/>
    <x v="0"/>
    <s v="Qualidade dos dados"/>
    <s v="KONTIK BUSINESS TRAVEL"/>
    <x v="2"/>
  </r>
  <r>
    <n v="22692950"/>
    <n v="23495894"/>
    <s v="ACC01"/>
    <x v="511"/>
    <d v="2025-08-06T12:31:44"/>
    <x v="1"/>
    <x v="1"/>
    <s v="5GIK90"/>
    <s v="TMS"/>
    <s v="BRAULIO UCHOA"/>
    <s v="Thais Peixoto de Melo"/>
    <s v="Thais Peixoto de Melo"/>
    <d v="2025-08-06T08:53:00"/>
    <n v="2186"/>
    <s v="-"/>
    <s v="OFF LINE"/>
    <s v="Invoice"/>
    <s v="Faturado"/>
    <x v="2"/>
    <s v="N"/>
    <x v="69"/>
    <s v="Bernoulli Sistema de Ensino - Belo Horizonte"/>
    <s v="-"/>
    <s v="-"/>
    <s v="-"/>
    <x v="54"/>
    <s v="-"/>
    <x v="411"/>
    <n v="0"/>
    <n v="0"/>
    <n v="0"/>
    <n v="0"/>
    <n v="0"/>
    <n v="0"/>
    <s v="Reserva importada do Sistema TMS. OS: 2186"/>
    <s v="Fornecedor não preenchido! (ACC01)"/>
    <x v="1"/>
    <x v="1"/>
    <s v="Campo Fornecedor"/>
    <x v="0"/>
    <s v="Qualidade dos dados"/>
    <s v="KONTIK BUSINESS TRAVEL"/>
    <x v="2"/>
  </r>
  <r>
    <n v="22692951"/>
    <n v="23495895"/>
    <s v="ACC01"/>
    <x v="511"/>
    <d v="2025-08-06T12:31:45"/>
    <x v="1"/>
    <x v="1"/>
    <s v="5GNKNB"/>
    <s v="TMS"/>
    <s v="BRAULIO UCHOA"/>
    <s v="Thais Peixoto de Melo"/>
    <s v="Thais Peixoto de Melo"/>
    <d v="2025-08-06T08:53:00"/>
    <n v="2186"/>
    <s v="-"/>
    <s v="OFF LINE"/>
    <s v="Invoice"/>
    <s v="Faturado"/>
    <x v="2"/>
    <s v="N"/>
    <x v="69"/>
    <s v="Bernoulli Sistema de Ensino - Belo Horizonte"/>
    <s v="-"/>
    <s v="-"/>
    <s v="-"/>
    <x v="54"/>
    <s v="-"/>
    <x v="410"/>
    <n v="0"/>
    <n v="0"/>
    <n v="0"/>
    <n v="0"/>
    <n v="0"/>
    <n v="0"/>
    <s v="Reserva importada do Sistema TMS. OS: 2186"/>
    <s v="Fornecedor não preenchido! (ACC01)"/>
    <x v="1"/>
    <x v="1"/>
    <s v="Campo Fornecedor"/>
    <x v="0"/>
    <s v="Qualidade dos dados"/>
    <s v="KONTIK BUSINESS TRAVEL"/>
    <x v="2"/>
  </r>
  <r>
    <n v="22692952"/>
    <n v="23495896"/>
    <s v="ACC01"/>
    <x v="512"/>
    <d v="2025-08-06T12:31:45"/>
    <x v="1"/>
    <x v="1"/>
    <s v="5GMLOM"/>
    <s v="TMS"/>
    <s v="MOZART RAMOS"/>
    <s v="Thais Peixoto de Melo"/>
    <s v="Thais Peixoto de Melo"/>
    <d v="2025-08-06T08:51:00"/>
    <n v="2179"/>
    <s v="-"/>
    <s v="OFF LINE"/>
    <s v="Invoice"/>
    <s v="Faturado"/>
    <x v="2"/>
    <s v="N"/>
    <x v="69"/>
    <s v="Bernoulli Sistema de Ensino - Belo Horizonte"/>
    <s v="-"/>
    <s v="-"/>
    <s v="-"/>
    <x v="54"/>
    <s v="-"/>
    <x v="410"/>
    <n v="0"/>
    <n v="0"/>
    <n v="0"/>
    <n v="0"/>
    <n v="0"/>
    <n v="0"/>
    <s v="Reserva importada do Sistema TMS. OS: 2179"/>
    <s v="Fornecedor não preenchido! (ACC01)"/>
    <x v="1"/>
    <x v="1"/>
    <s v="Campo Fornecedor"/>
    <x v="0"/>
    <s v="Qualidade dos dados"/>
    <s v="KONTIK BUSINESS TRAVEL"/>
    <x v="2"/>
  </r>
  <r>
    <n v="22692953"/>
    <n v="23495897"/>
    <s v="ACC01"/>
    <x v="513"/>
    <d v="2025-08-06T12:31:46"/>
    <x v="1"/>
    <x v="1"/>
    <s v="5G1N9P"/>
    <s v="TMS"/>
    <s v="MOZART RAMOS"/>
    <s v="Thais Peixoto de Melo"/>
    <s v="Thais Peixoto de Melo"/>
    <d v="2025-08-06T08:51:00"/>
    <n v="2179"/>
    <s v="-"/>
    <s v="OFF LINE"/>
    <s v="Invoice"/>
    <s v="Faturado"/>
    <x v="2"/>
    <s v="N"/>
    <x v="69"/>
    <s v="Bernoulli Sistema de Ensino - Belo Horizonte"/>
    <s v="-"/>
    <s v="-"/>
    <s v="-"/>
    <x v="54"/>
    <s v="-"/>
    <x v="411"/>
    <n v="0"/>
    <n v="0"/>
    <n v="0"/>
    <n v="0"/>
    <n v="0"/>
    <n v="0"/>
    <s v="Reserva importada do Sistema TMS. OS: 2179"/>
    <s v="Fornecedor não preenchido! (ACC01)"/>
    <x v="1"/>
    <x v="1"/>
    <s v="Campo Fornecedor"/>
    <x v="0"/>
    <s v="Qualidade dos dados"/>
    <s v="KONTIK BUSINESS TRAVEL"/>
    <x v="2"/>
  </r>
  <r>
    <n v="22733785"/>
    <n v="23531078"/>
    <s v="ACC01"/>
    <x v="514"/>
    <d v="2025-08-13T00:16:25"/>
    <x v="0"/>
    <x v="0"/>
    <s v="5GAXAL"/>
    <s v="TMS"/>
    <s v="PATRICIA ROCHA"/>
    <s v="Tms"/>
    <s v="Tms"/>
    <d v="2025-08-12T19:59:00"/>
    <n v="2861"/>
    <s v="Belo Horizonte / BHZ"/>
    <s v="ON LINE"/>
    <s v="Invoice"/>
    <s v="Faturado"/>
    <x v="3"/>
    <s v="N"/>
    <x v="69"/>
    <s v="Bernoulli Sistema de Ensino - Belo Horizonte"/>
    <s v="-"/>
    <s v="-"/>
    <s v="-"/>
    <x v="54"/>
    <s v="-"/>
    <x v="412"/>
    <n v="0"/>
    <n v="0"/>
    <n v="0"/>
    <n v="0"/>
    <n v="0"/>
    <n v="0"/>
    <s v="Reserva importada do Sistema TMS. OS: 2861"/>
    <s v="Fornecedor não preenchido! (ACC01)"/>
    <x v="1"/>
    <x v="1"/>
    <s v="Campo Fornecedor"/>
    <x v="0"/>
    <s v="Qualidade dos dados"/>
    <s v="KONTIK BUSINESS TRAVEL"/>
    <x v="2"/>
  </r>
  <r>
    <n v="22733787"/>
    <n v="23531080"/>
    <s v="ACC01"/>
    <x v="515"/>
    <d v="2025-08-13T00:16:29"/>
    <x v="0"/>
    <x v="0"/>
    <s v="5GESZN"/>
    <s v="TMS"/>
    <s v="REBECA TEIXEIRA"/>
    <s v="Tms"/>
    <s v="Tms"/>
    <d v="2025-08-12T19:59:00"/>
    <n v="2854"/>
    <s v="-"/>
    <s v="ON LINE"/>
    <s v="Cartão de crédito"/>
    <s v="Faturado"/>
    <x v="1"/>
    <s v="N"/>
    <x v="69"/>
    <s v="Bernoulli Sistema de Ensino - Belo Horizonte"/>
    <s v="-"/>
    <s v="-"/>
    <s v="-"/>
    <x v="54"/>
    <s v="-"/>
    <x v="413"/>
    <n v="0"/>
    <n v="0"/>
    <n v="0"/>
    <n v="0"/>
    <n v="213.3"/>
    <n v="0"/>
    <s v="Reserva importada do Sistema TMS. OS: 2854"/>
    <s v="Fornecedor não preenchido! (ACC01)"/>
    <x v="1"/>
    <x v="1"/>
    <s v="Campo Fornecedor"/>
    <x v="0"/>
    <s v="Sistêmico"/>
    <s v="GRUPO KONTIK"/>
    <x v="1"/>
  </r>
  <r>
    <n v="22733789"/>
    <n v="23531082"/>
    <s v="ACC01"/>
    <x v="516"/>
    <d v="2025-08-13T00:16:30"/>
    <x v="0"/>
    <x v="0"/>
    <s v="5GT2AL"/>
    <s v="TMS"/>
    <s v="FLAVIA DIAS"/>
    <s v="Tms"/>
    <s v="Tms"/>
    <d v="2025-08-12T19:58:00"/>
    <n v="2846"/>
    <s v="Florianópolis / FLN"/>
    <s v="ON LINE"/>
    <s v="Invoice"/>
    <s v="Faturado"/>
    <x v="3"/>
    <s v="N"/>
    <x v="69"/>
    <s v="Bernoulli Sistema de Ensino - Belo Horizonte"/>
    <s v="-"/>
    <s v="-"/>
    <s v="-"/>
    <x v="54"/>
    <s v="-"/>
    <x v="414"/>
    <n v="0"/>
    <n v="0"/>
    <n v="0"/>
    <n v="0"/>
    <n v="0"/>
    <n v="0"/>
    <s v="Reserva importada do Sistema TMS. OS: 2846"/>
    <s v="Fornecedor não preenchido! (ACC01)"/>
    <x v="1"/>
    <x v="1"/>
    <s v="Campo Fornecedor"/>
    <x v="0"/>
    <s v="Qualidade dos dados"/>
    <s v="KONTIK BUSINESS TRAVEL"/>
    <x v="2"/>
  </r>
  <r>
    <n v="22733791"/>
    <n v="23531084"/>
    <s v="ACC01"/>
    <x v="517"/>
    <d v="2025-08-13T00:16:30"/>
    <x v="0"/>
    <x v="0"/>
    <s v="5G6SZO"/>
    <s v="TMS"/>
    <s v="FLAVIA DIAS"/>
    <s v="Tms"/>
    <s v="Tms"/>
    <d v="2025-08-12T19:58:00"/>
    <n v="2843"/>
    <s v="Salvador / SSA"/>
    <s v="ON LINE"/>
    <s v="Invoice"/>
    <s v="Faturado"/>
    <x v="3"/>
    <s v="N"/>
    <x v="69"/>
    <s v="Bernoulli Sistema de Ensino - Belo Horizonte"/>
    <s v="-"/>
    <s v="-"/>
    <s v="-"/>
    <x v="54"/>
    <s v="-"/>
    <x v="408"/>
    <n v="0"/>
    <n v="0"/>
    <n v="0"/>
    <n v="0"/>
    <n v="0"/>
    <n v="0"/>
    <s v="Reserva importada do Sistema TMS. OS: 2843"/>
    <s v="Fornecedor não preenchido! (ACC01)"/>
    <x v="1"/>
    <x v="1"/>
    <s v="Campo Fornecedor"/>
    <x v="0"/>
    <s v="Qualidade dos dados"/>
    <s v="KONTIK BUSINESS TRAVEL"/>
    <x v="2"/>
  </r>
  <r>
    <n v="22733795"/>
    <n v="23531088"/>
    <s v="ACC01"/>
    <x v="518"/>
    <d v="2025-08-13T00:20:31"/>
    <x v="0"/>
    <x v="0"/>
    <s v="5GPDZO"/>
    <s v="TMS"/>
    <s v="MARIA FABIANNE PAIXAO"/>
    <s v="Tms"/>
    <s v="Tms"/>
    <d v="2025-08-12T19:58:00"/>
    <n v="2818"/>
    <s v="Belém / BEL"/>
    <s v="ON LINE"/>
    <s v="Invoice"/>
    <s v="Faturado"/>
    <x v="3"/>
    <s v="N"/>
    <x v="69"/>
    <s v="Bernoulli Sistema de Ensino - Belo Horizonte"/>
    <s v="-"/>
    <s v="-"/>
    <s v="-"/>
    <x v="54"/>
    <s v="-"/>
    <x v="415"/>
    <n v="0"/>
    <n v="0"/>
    <n v="0"/>
    <n v="0"/>
    <n v="0"/>
    <n v="0"/>
    <s v="Reserva importada do Sistema TMS. OS: 2818"/>
    <s v="Fornecedor não preenchido! (ACC01)"/>
    <x v="1"/>
    <x v="1"/>
    <s v="Campo Fornecedor"/>
    <x v="0"/>
    <s v="Qualidade dos dados"/>
    <s v="KONTIK BUSINESS TRAVEL"/>
    <x v="2"/>
  </r>
  <r>
    <n v="22733796"/>
    <n v="23531089"/>
    <s v="ACC01"/>
    <x v="519"/>
    <d v="2025-08-13T00:20:31"/>
    <x v="0"/>
    <x v="0"/>
    <s v="5GAD1L"/>
    <s v="TMS"/>
    <s v="SANDRA NEGRINI"/>
    <s v="Tms"/>
    <s v="Tms"/>
    <d v="2025-08-12T19:58:00"/>
    <n v="2817"/>
    <s v="Belo Horizonte / BHZ"/>
    <s v="ON LINE"/>
    <s v="Invoice"/>
    <s v="Faturado"/>
    <x v="3"/>
    <s v="N"/>
    <x v="69"/>
    <s v="Bernoulli Sistema de Ensino - Belo Horizonte"/>
    <s v="-"/>
    <s v="-"/>
    <s v="-"/>
    <x v="54"/>
    <s v="-"/>
    <x v="416"/>
    <n v="0"/>
    <n v="0"/>
    <n v="0"/>
    <n v="0"/>
    <n v="0"/>
    <n v="0"/>
    <s v="Reserva importada do Sistema TMS. OS: 2817"/>
    <s v="Fornecedor não preenchido! (ACC01)"/>
    <x v="1"/>
    <x v="1"/>
    <s v="Campo Fornecedor"/>
    <x v="0"/>
    <s v="Qualidade dos dados"/>
    <s v="KONTIK BUSINESS TRAVEL"/>
    <x v="2"/>
  </r>
  <r>
    <n v="22731747"/>
    <n v="23529203"/>
    <s v="ACC01"/>
    <x v="520"/>
    <d v="2025-08-12T18:30:58"/>
    <x v="0"/>
    <x v="0"/>
    <s v="5G3I58"/>
    <s v="TMS"/>
    <s v="MAYSA SILVA"/>
    <s v="Tms"/>
    <s v="Tms"/>
    <d v="2025-08-12T12:14:00"/>
    <n v="2911"/>
    <s v="Campo Grande / CGR"/>
    <s v="ON LINE"/>
    <s v="Invoice"/>
    <s v="Faturado"/>
    <x v="3"/>
    <s v="N"/>
    <x v="69"/>
    <s v="Bernoulli Sistema de Ensino - Belo Horizonte"/>
    <s v="-"/>
    <s v="-"/>
    <s v="-"/>
    <x v="54"/>
    <s v="-"/>
    <x v="417"/>
    <n v="0"/>
    <n v="0"/>
    <n v="0"/>
    <n v="0"/>
    <n v="0"/>
    <n v="0"/>
    <s v="Reserva importada do Sistema TMS. OS: 2911"/>
    <s v="Fornecedor não preenchido! (ACC01)"/>
    <x v="1"/>
    <x v="1"/>
    <s v="Campo Fornecedor"/>
    <x v="0"/>
    <s v="Qualidade dos dados"/>
    <s v="KONTIK BUSINESS TRAVEL"/>
    <x v="2"/>
  </r>
  <r>
    <n v="22701250"/>
    <n v="23503436"/>
    <s v="ACC"/>
    <x v="521"/>
    <d v="2025-08-07T14:10:06"/>
    <x v="1"/>
    <x v="1"/>
    <s v="5GQDP3"/>
    <s v="MANUAL"/>
    <s v="DEBORA TUREK"/>
    <s v="Claudia Lucia Stella"/>
    <s v="Claudia Lucia Stella"/>
    <d v="2025-08-07T13:57:00"/>
    <s v="-"/>
    <s v="-"/>
    <s v="OFF LINE"/>
    <s v="Cartão de crédito"/>
    <s v="Cartão de crédito"/>
    <x v="0"/>
    <s v="N"/>
    <x v="29"/>
    <s v="Genial Investimentos Corretora"/>
    <s v="-"/>
    <s v="Latam Airlines Brasil"/>
    <n v="4453300183"/>
    <x v="55"/>
    <s v="-"/>
    <x v="200"/>
    <n v="0"/>
    <n v="0"/>
    <n v="0"/>
    <n v="0"/>
    <n v="0"/>
    <n v="0"/>
    <s v="-"/>
    <s v="Verificação de bilhetes: Bilhete 4453300183 já sendo utilizado para este fornecedor."/>
    <x v="2"/>
    <x v="6"/>
    <s v="Bilhete Já Contabilizado"/>
    <x v="2"/>
    <s v="Qualidade dos dados"/>
    <s v="GRUPO KONTIK"/>
    <x v="5"/>
  </r>
  <r>
    <m/>
    <m/>
    <m/>
    <x v="522"/>
    <m/>
    <x v="7"/>
    <x v="7"/>
    <m/>
    <m/>
    <m/>
    <m/>
    <m/>
    <m/>
    <m/>
    <m/>
    <m/>
    <m/>
    <m/>
    <x v="4"/>
    <m/>
    <x v="70"/>
    <m/>
    <m/>
    <m/>
    <m/>
    <x v="56"/>
    <m/>
    <x v="418"/>
    <m/>
    <m/>
    <m/>
    <m/>
    <m/>
    <m/>
    <m/>
    <m/>
    <x v="7"/>
    <x v="17"/>
    <m/>
    <x v="5"/>
    <m/>
    <m/>
    <x v="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2">
  <r>
    <n v="22730874"/>
    <n v="23528364"/>
    <s v="ACC01"/>
    <x v="0"/>
    <d v="2025-08-12T16:30:34"/>
    <s v="0 a 02 dias"/>
    <s v="0 a 02 dias"/>
    <s v="SHQLJQ"/>
    <s v="SABRE"/>
    <s v="OLIVEIRA FERNANDES/ANDRE LUIZ"/>
    <s v="Flavia Constanzi do Nascimento"/>
    <s v="Emilia Alejandra Pacheco Maraboli"/>
    <x v="0"/>
    <s v="SHQLJQ"/>
    <s v="-"/>
    <s v="ON LINE"/>
    <s v="Invoice"/>
    <s v="Faturado"/>
    <s v="Aéreo"/>
    <s v="N"/>
    <s v="Grupo Atos"/>
    <s v="Atos Brasil Ltda"/>
    <s v="-"/>
    <s v="Latam Airlines Brasil"/>
    <n v="2952815408"/>
    <s v="-"/>
    <s v="-"/>
    <x v="0"/>
    <n v="139.9"/>
    <n v="416.15"/>
    <n v="0"/>
    <n v="139.9"/>
    <n v="0"/>
    <n v="0"/>
    <s v="Reserva importada por HubTravel"/>
    <s v="Centro de custo não preenchido! (ACC01) Empenho/departamento não preenchido! (ACC01) Matrícula não preenchida! (ACC01) Canal de venda não "/>
    <s v="SABRE"/>
    <s v="Mais de um campo não preenchido"/>
    <s v="Falta de informação Gerencial"/>
    <s v="Dados do Fornecedor"/>
    <s v="Qualidade dos dados"/>
    <s v="KONTIK BUSINESS TRAVEL"/>
  </r>
  <r>
    <n v="22725410"/>
    <n v="23523637"/>
    <s v="ACC01"/>
    <x v="1"/>
    <d v="2025-08-11T20:11:09"/>
    <s v="0 a 02 dias"/>
    <s v="0 a 02 dias"/>
    <s v="5GO3DU"/>
    <s v="TMS"/>
    <s v="MARCELO CAMARGO LOPES"/>
    <s v="Tms"/>
    <s v="Tms"/>
    <x v="1"/>
    <n v="76405"/>
    <s v="-"/>
    <s v="ON LINE"/>
    <s v="Cartão de crédito"/>
    <s v="Cartão de crédito"/>
    <s v="Hotel"/>
    <s v="N"/>
    <s v="Grupo Ultra"/>
    <s v="Ultragaz Comercializadora de Energia"/>
    <s v="-"/>
    <s v="-"/>
    <s v="-"/>
    <s v="-"/>
    <s v="-"/>
    <x v="1"/>
    <n v="0"/>
    <n v="0"/>
    <n v="0"/>
    <n v="0"/>
    <n v="7.59"/>
    <n v="0"/>
    <s v="Reserva importada do Sistema TMS. OS: 76405"/>
    <s v="Fornecedor não preenchido! (ACC01)"/>
    <s v="ARGO(TMS)"/>
    <s v="Falta de Fornecedor"/>
    <s v="Campo Fornecedor"/>
    <s v="Dados do Fornecedor"/>
    <s v="Sistêmico"/>
    <s v="GRUPO KONTIK"/>
  </r>
  <r>
    <n v="22729732"/>
    <n v="23527275"/>
    <s v="ACC01"/>
    <x v="2"/>
    <d v="2025-08-12T13:25:30"/>
    <s v="0 a 02 dias"/>
    <s v="0 a 02 dias"/>
    <s v="5GY7A8"/>
    <s v="TMS"/>
    <s v="MARCOS SILVA OLIVEIRA"/>
    <s v="Tms"/>
    <s v="Tms"/>
    <x v="2"/>
    <n v="76929"/>
    <s v="-"/>
    <s v="ON LINE"/>
    <s v="Cartão de crédito"/>
    <s v="Cartão de crédito"/>
    <s v="Hotel"/>
    <s v="N"/>
    <s v="Grupo Ultra"/>
    <s v="Ultragaz Comercializadora de Energia"/>
    <s v="-"/>
    <s v="-"/>
    <s v="-"/>
    <s v="-"/>
    <s v="-"/>
    <x v="2"/>
    <n v="0"/>
    <n v="0"/>
    <n v="0"/>
    <n v="0"/>
    <n v="10.130000000000001"/>
    <n v="0"/>
    <s v="Reserva importada do Sistema TMS. OS: 76929"/>
    <s v="Fornecedor não preenchido! (ACC01)"/>
    <s v="ARGO(TMS)"/>
    <s v="Falta de Fornecedor"/>
    <s v="Campo Fornecedor"/>
    <s v="Dados do Fornecedor"/>
    <s v="Sistêmico"/>
    <s v="GRUPO KONTIK"/>
  </r>
  <r>
    <n v="22729737"/>
    <n v="23527279"/>
    <s v="ACC01"/>
    <x v="3"/>
    <d v="2025-08-12T13:25:30"/>
    <s v="0 a 02 dias"/>
    <s v="0 a 02 dias"/>
    <s v="5G7J18"/>
    <s v="TMS"/>
    <s v="ALEXANDRE TEIXEIRA PACHECO"/>
    <s v="Tms"/>
    <s v="Tms"/>
    <x v="3"/>
    <n v="76921"/>
    <s v="-"/>
    <s v="ON LINE"/>
    <s v="Cartão de crédito"/>
    <s v="Cartão de crédito"/>
    <s v="Hotel"/>
    <s v="N"/>
    <s v="Grupo Ultra"/>
    <s v="Ultragaz Comercializadora de Energia"/>
    <s v="-"/>
    <s v="-"/>
    <s v="-"/>
    <s v="-"/>
    <s v="-"/>
    <x v="3"/>
    <n v="0"/>
    <n v="0"/>
    <n v="0"/>
    <n v="0"/>
    <n v="9.1199999999999992"/>
    <n v="0"/>
    <s v="Reserva importada do Sistema TMS. OS: 76921"/>
    <s v="Fornecedor não preenchido! (ACC01)"/>
    <s v="ARGO(TMS)"/>
    <s v="Falta de Fornecedor"/>
    <s v="Campo Fornecedor"/>
    <s v="Dados do Fornecedor"/>
    <s v="Sistêmico"/>
    <s v="GRUPO KONTIK"/>
  </r>
  <r>
    <n v="22729635"/>
    <n v="23527179"/>
    <s v="ACC01"/>
    <x v="4"/>
    <d v="2025-08-13T06:10:21"/>
    <s v="0 a 02 dias"/>
    <s v="0 a 02 dias"/>
    <s v="5GYSZK"/>
    <s v="TMS"/>
    <s v="SERGIO SIMOES"/>
    <s v="Danielly Bronizio Lopes"/>
    <s v="Danielly Bronizio Lopes"/>
    <x v="4"/>
    <n v="75831"/>
    <s v="-"/>
    <s v="OFF LINE"/>
    <s v="Invoice"/>
    <s v="Faturado"/>
    <s v="Serviço"/>
    <s v="N"/>
    <s v="Grupo Ocean Pact"/>
    <s v="Aiuka"/>
    <s v="-"/>
    <s v="-"/>
    <s v="-"/>
    <s v="-"/>
    <s v="-"/>
    <x v="4"/>
    <n v="9.9499999999999993"/>
    <n v="0"/>
    <n v="0"/>
    <n v="0"/>
    <n v="0"/>
    <n v="0"/>
    <s v="Reserva importada do Sistema TMS. OS: 75831"/>
    <s v="Fornecedor não preenchido! (ACC01)"/>
    <s v="ARGO(TMS)"/>
    <s v="Falta de Fornecedor"/>
    <s v="Campo Fornecedor"/>
    <s v="Dados do Fornecedor"/>
    <s v="Qualidade dos dados"/>
    <s v="KONTIK BUSINESS TRAVEL"/>
  </r>
  <r>
    <n v="22734794"/>
    <n v="23531755"/>
    <s v="ACC01"/>
    <x v="5"/>
    <d v="2025-08-13T06:15:33"/>
    <s v="0 a 02 dias"/>
    <s v="0 a 02 dias"/>
    <s v="5GXMEO"/>
    <s v="TMS"/>
    <s v="SERGIO SIMOES"/>
    <s v="Tms"/>
    <s v="Tms"/>
    <x v="5"/>
    <n v="75902"/>
    <s v="-"/>
    <s v="OFF LINE"/>
    <s v="Invoice"/>
    <s v="Faturado"/>
    <s v="Serviço"/>
    <s v="N"/>
    <s v="Grupo Ocean Pact"/>
    <s v="Aiuka"/>
    <s v="-"/>
    <s v="-"/>
    <s v="-"/>
    <s v="-"/>
    <s v="-"/>
    <x v="5"/>
    <n v="7.1"/>
    <n v="0"/>
    <n v="0"/>
    <n v="0"/>
    <n v="0"/>
    <n v="0"/>
    <s v="Reserva importada do Sistema TMS. OS: 75902"/>
    <s v="Fornecedor não preenchido! (ACC01)"/>
    <s v="ARGO(TMS)"/>
    <s v="Falta de Fornecedor"/>
    <s v="Campo Fornecedor"/>
    <s v="Dados do Fornecedor"/>
    <s v="Qualidade dos dados"/>
    <s v="KONTIK BUSINESS TRAVEL"/>
  </r>
  <r>
    <n v="22730897"/>
    <n v="23528406"/>
    <s v="ACC01"/>
    <x v="6"/>
    <d v="2025-08-12T16:30:46"/>
    <s v="0 a 02 dias"/>
    <s v="0 a 02 dias"/>
    <s v="UYJNBN"/>
    <s v="SABRE"/>
    <s v="GONZALEZ/MARIA VERONICA"/>
    <s v="Clayton Alves de Rezende"/>
    <s v="Emilia Alejandra Pacheco Maraboli"/>
    <x v="0"/>
    <s v="UYJNBN"/>
    <s v="-"/>
    <s v="ON LINE"/>
    <s v="Cartão de crédito"/>
    <s v="Cartão de crédito"/>
    <s v="Aéreo"/>
    <s v="N"/>
    <s v="Grupo Arxada"/>
    <s v="Arxada"/>
    <s v="-"/>
    <s v="Aerolineas Argentinas"/>
    <n v="2952820366"/>
    <s v="-"/>
    <s v="-"/>
    <x v="6"/>
    <n v="59.54"/>
    <n v="527.49"/>
    <n v="0"/>
    <n v="59.54"/>
    <n v="0"/>
    <n v="0"/>
    <s v="Reserva importada por HubTravel"/>
    <s v="Centro de custo não preenchido! (ACC01) Empenho/departamento não preenchido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682882"/>
    <n v="23487228"/>
    <s v="ACC01"/>
    <x v="7"/>
    <d v="2025-08-05T00:15:23"/>
    <s v="06 a 08 dias"/>
    <s v="06 a 08 dias"/>
    <s v="5FKC78"/>
    <s v="TMS"/>
    <s v="TADEU FERNANDES"/>
    <s v="Ariane de Sousa Farias"/>
    <s v="Ariane de Sousa Farias"/>
    <x v="6"/>
    <n v="276"/>
    <s v="-"/>
    <s v="OFF LINE"/>
    <s v="Invoice"/>
    <s v="Faturado"/>
    <s v="Hotel"/>
    <s v="N"/>
    <s v="Grupo Ache"/>
    <s v="Biogaia Ab"/>
    <s v="-"/>
    <s v="-"/>
    <s v="-"/>
    <s v="-"/>
    <s v="-"/>
    <x v="7"/>
    <n v="0"/>
    <n v="0"/>
    <n v="0"/>
    <n v="0"/>
    <n v="0"/>
    <n v="0"/>
    <s v="Reserva importada do Sistema TMS. OS: 276"/>
    <s v="Fornecedor não preenchido! (ACC01)"/>
    <s v="ARGO(TMS)"/>
    <s v="Falta de Fornecedor"/>
    <s v="Campo Fornecedor"/>
    <s v="Dados do Fornecedor"/>
    <s v="Qualidade dos dados"/>
    <s v="KONTIK BUSINESS TRAVEL"/>
  </r>
  <r>
    <n v="22726978"/>
    <n v="23525054"/>
    <s v="ACC01"/>
    <x v="8"/>
    <d v="2025-08-13T06:10:21"/>
    <s v="0 a 02 dias"/>
    <s v="0 a 02 dias"/>
    <s v="5GCMY7"/>
    <s v="TMS"/>
    <s v="DRIELLIE DE MELO"/>
    <s v="Tms"/>
    <s v="Tms"/>
    <x v="7"/>
    <n v="75640"/>
    <s v="-"/>
    <s v="OFF LINE"/>
    <s v="Invoice"/>
    <s v="Faturado"/>
    <s v="Serviço"/>
    <s v="N"/>
    <s v="Grupo Ocean Pact"/>
    <s v="Aiuka"/>
    <s v="-"/>
    <s v="-"/>
    <s v="-"/>
    <s v="-"/>
    <s v="-"/>
    <x v="5"/>
    <n v="7.1"/>
    <n v="0"/>
    <n v="0"/>
    <n v="0"/>
    <n v="0"/>
    <n v="0"/>
    <s v="Reserva importada do Sistema TMS. OS: 75640"/>
    <s v="Fornecedor não preenchido! (ACC01)"/>
    <s v="ARGO(TMS)"/>
    <s v="Falta de Fornecedor"/>
    <s v="Campo Fornecedor"/>
    <s v="Dados do Fornecedor"/>
    <s v="Qualidade dos dados"/>
    <s v="KONTIK BUSINESS TRAVEL"/>
  </r>
  <r>
    <n v="22728403"/>
    <n v="23526021"/>
    <s v="ACC"/>
    <x v="9"/>
    <d v="2025-08-12T09:56:45"/>
    <s v="0 a 02 dias"/>
    <s v="0 a 02 dias"/>
    <s v="QDSYOF"/>
    <s v="MANUAL"/>
    <s v="LILIANE BARBOSA JESUS"/>
    <s v="Marcelo Soares de Azevedo"/>
    <s v="Marcelo Soares de Azevedo"/>
    <x v="8"/>
    <s v="-"/>
    <s v="-"/>
    <s v="OFF LINE"/>
    <s v="Cartão de crédito"/>
    <s v="Cartão de crédito"/>
    <s v="Aéreo"/>
    <s v="N"/>
    <s v="Grupo Vertex"/>
    <s v="Vertex Farmaceutica do Brasil"/>
    <s v="-"/>
    <s v="Latam Airlines Brasil"/>
    <n v="2952818682"/>
    <s v="INOVENTS"/>
    <n v="169348"/>
    <x v="8"/>
    <n v="81.08"/>
    <n v="0"/>
    <n v="347.2"/>
    <n v="0"/>
    <n v="0"/>
    <n v="54.72"/>
    <s v="-"/>
    <s v="Ocorreu a seguinte exceção ao gerar a ordem de venda para a accounting: Ocorreu a seguinte exceção ao inserir o item da ordem de venda:  Faltou "/>
    <s v="MANUAL"/>
    <s v="Falta de informação Gerencial"/>
    <s v="Rateio de centro de custo/projeto"/>
    <s v="Dados Gerenciais"/>
    <s v="Qualidade dos dados"/>
    <s v="INOVENTS"/>
  </r>
  <r>
    <n v="22730377"/>
    <n v="23527875"/>
    <s v="ACC01"/>
    <x v="10"/>
    <d v="2025-08-12T14:40:04"/>
    <s v="0 a 02 dias"/>
    <s v="0 a 02 dias"/>
    <s v="AYSZPQ"/>
    <s v="EBOOKING"/>
    <s v="Jaqueline Bonino"/>
    <s v="Zupper"/>
    <s v="Zupper"/>
    <x v="9"/>
    <n v="6807340"/>
    <s v="-"/>
    <s v="OFF LINE"/>
    <s v="Invoice"/>
    <s v="Cartão convênio"/>
    <s v="Aéreo"/>
    <s v="N"/>
    <s v="Grupo Zupper"/>
    <s v="Zupper Cartao"/>
    <s v="-"/>
    <s v="Gol Linhas Aereas"/>
    <n v="2143299117"/>
    <s v="ZUPPER"/>
    <s v="-"/>
    <x v="9"/>
    <n v="33.64"/>
    <n v="0"/>
    <n v="52.29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734093"/>
    <n v="23531368"/>
    <s v="ACC01"/>
    <x v="11"/>
    <d v="2025-08-13T00:45:41"/>
    <s v="0 a 02 dias"/>
    <s v="0 a 02 dias"/>
    <s v="QHEFPA"/>
    <s v="EBOOKING"/>
    <s v="Hannah Assayag"/>
    <s v="Zupper"/>
    <s v="Zupper"/>
    <x v="10"/>
    <n v="6808127"/>
    <s v="-"/>
    <s v="OFF LINE"/>
    <s v="Invoice"/>
    <s v="Cartão convênio"/>
    <s v="Aéreo"/>
    <s v="N"/>
    <s v="Grupo Zupper"/>
    <s v="Cristiani Oliveira"/>
    <s v="-"/>
    <s v="Latam Airlines Brasil"/>
    <n v="2245618947"/>
    <s v="ZUPPER"/>
    <s v="-"/>
    <x v="10"/>
    <n v="33.64"/>
    <n v="0"/>
    <n v="0"/>
    <n v="0"/>
    <n v="0"/>
    <n v="64.040000000000006"/>
    <s v="-"/>
    <s v="Não foi possível encontrar configuração válida para Administradora de código 2 e Data transação 13/08/2025"/>
    <s v="ZUPPER"/>
    <s v="Não identificado"/>
    <s v="Análise Benner"/>
    <s v="Sistema"/>
    <s v="Qualidade dos dados"/>
    <s v="ZUPPER VIAGENS"/>
  </r>
  <r>
    <n v="22734114"/>
    <n v="23531379"/>
    <s v="ACC01"/>
    <x v="12"/>
    <d v="2025-08-13T00:48:30"/>
    <s v="0 a 02 dias"/>
    <s v="0 a 02 dias"/>
    <s v="BNYPQA"/>
    <s v="EBOOKING"/>
    <s v="Nubia Silva"/>
    <s v="Zupper"/>
    <s v="Zupper"/>
    <x v="11"/>
    <n v="6808139"/>
    <s v="-"/>
    <s v="OFF LINE"/>
    <s v="Invoice"/>
    <s v="Cartão convênio"/>
    <s v="Aéreo"/>
    <s v="N"/>
    <s v="Grupo Zupper"/>
    <s v="Nubia Erica m da silva"/>
    <s v="-"/>
    <s v="Azul Linhas Aereas"/>
    <n v="183917540"/>
    <s v="ZUPPER"/>
    <s v="-"/>
    <x v="11"/>
    <n v="58.89"/>
    <n v="0"/>
    <n v="0"/>
    <n v="0"/>
    <n v="0"/>
    <n v="147.27000000000001"/>
    <s v="-"/>
    <s v="Não foi possível encontrar configuração válida para Administradora de código 1 e Data transação 13/08/2025"/>
    <s v="ZUPPER"/>
    <s v="Não identificado"/>
    <s v="Análise Benner"/>
    <s v="Sistema"/>
    <s v="Qualidade dos dados"/>
    <s v="ZUPPER VIAGENS"/>
  </r>
  <r>
    <n v="22733433"/>
    <n v="23530759"/>
    <s v="ACC01"/>
    <x v="13"/>
    <d v="2025-08-12T22:46:10"/>
    <s v="0 a 02 dias"/>
    <s v="0 a 02 dias"/>
    <s v="MKCKTB"/>
    <s v="EBOOKING"/>
    <s v="Luciene Oliveira"/>
    <s v="Zupper"/>
    <s v="Zupper"/>
    <x v="12"/>
    <n v="6807991"/>
    <s v="-"/>
    <s v="OFF LINE"/>
    <s v="Invoice"/>
    <s v="Cartão convênio"/>
    <s v="Aéreo"/>
    <s v="N"/>
    <s v="Grupo Zupper"/>
    <s v="Luciene Costa de Oliveira"/>
    <s v="-"/>
    <s v="Latam Airlines Brasil"/>
    <n v="2245603129"/>
    <s v="ZUPPER"/>
    <s v="-"/>
    <x v="12"/>
    <n v="92.53"/>
    <n v="0"/>
    <n v="0"/>
    <n v="0"/>
    <n v="0"/>
    <n v="122.2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462516"/>
    <n v="23302108"/>
    <s v="ACC01"/>
    <x v="14"/>
    <d v="2025-07-30T11:34:51"/>
    <s v="09 a 15 dias"/>
    <s v="31 dias ou +"/>
    <s v="5BOOFQ"/>
    <s v="MANUAL"/>
    <s v="SERGIO HARUO KAWAMATA"/>
    <s v="Patricia Pinato Ferreira Lima"/>
    <s v="Patricia Pinato Ferreira Lima"/>
    <x v="13"/>
    <s v="EMERGENCIAL TKT 563982"/>
    <s v="-"/>
    <s v="OFF LINE"/>
    <s v="Cartão de crédito"/>
    <s v="Cartão de crédito"/>
    <s v="Hotel"/>
    <s v="N"/>
    <s v="Grupo British American Tobacco"/>
    <s v="Bat Souza Cruz"/>
    <s v="-"/>
    <s v="Grande Hotel Paranavai"/>
    <s v="-"/>
    <s v="EMERGENCIAL"/>
    <s v="-"/>
    <x v="13"/>
    <n v="0"/>
    <n v="0"/>
    <n v="0"/>
    <n v="0"/>
    <n v="0"/>
    <n v="0"/>
    <s v="atendimento emergencial tkt 563982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89919"/>
    <n v="23493494"/>
    <s v="ACC01"/>
    <x v="15"/>
    <d v="2025-08-05T22:50:17"/>
    <s v="06 a 08 dias"/>
    <s v="06 a 08 dias"/>
    <s v="5GIAFM"/>
    <s v="MANUAL"/>
    <s v="EDER GALVAO"/>
    <s v="Alexandre Fernando Papa"/>
    <s v="Alexandre Fernando Papa"/>
    <x v="14"/>
    <s v="-"/>
    <s v="-"/>
    <s v="OFF LINE"/>
    <s v="Cartão de crédito"/>
    <s v="Cartão de crédito"/>
    <s v="Hotel"/>
    <s v="N"/>
    <s v="Grupo British American Tobacco"/>
    <s v="Bat Souza Cruz"/>
    <s v="-"/>
    <s v="Morangos Hotel"/>
    <s v="-"/>
    <s v="EMERGENCIAL"/>
    <s v="-"/>
    <x v="14"/>
    <n v="445.2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309387"/>
    <n v="23166592"/>
    <s v="ACC01"/>
    <x v="16"/>
    <d v="2025-08-11T18:48:21"/>
    <s v="0 a 02 dias"/>
    <s v="31 dias ou +"/>
    <s v="EHDRII"/>
    <s v="SABRE"/>
    <s v="PESSOA/MAURICIO"/>
    <s v="Wellington Ribeiro da Silva"/>
    <s v="Wellington Ribeiro da Silva"/>
    <x v="15"/>
    <s v="EHDRII"/>
    <s v="-"/>
    <s v="ON LINE"/>
    <s v="Invoice"/>
    <s v="TKT"/>
    <s v="Aéreo"/>
    <s v="N"/>
    <s v="Grupo Nyasa Empreendimentos"/>
    <s v="Nyasa Empreendimentos"/>
    <s v="-"/>
    <s v="Latam Airlines Brasil"/>
    <n v="2971216362"/>
    <s v="EMF DIRETORIA"/>
    <s v="-"/>
    <x v="15"/>
    <n v="0"/>
    <n v="1139.25"/>
    <n v="0"/>
    <n v="31.44"/>
    <n v="0"/>
    <n v="0"/>
    <s v="Reserva importada por HubTravel"/>
    <s v="Verificação de bilhetes: Bilhete 2971216362 já sendo utilizado para este fornecedor."/>
    <s v="SABRE"/>
    <s v="Bilhete duplicado"/>
    <s v="Bilhete Já Contabilizado"/>
    <s v="Duplicidade de Contabilização"/>
    <s v="Qualidade dos dados"/>
    <s v="GRUPO KONTIK"/>
  </r>
  <r>
    <n v="22728225"/>
    <n v="23525830"/>
    <s v="ACC01"/>
    <x v="17"/>
    <d v="2025-08-12T09:21:09"/>
    <s v="0 a 02 dias"/>
    <s v="0 a 02 dias"/>
    <s v="OTRTIB"/>
    <s v="SABRE"/>
    <s v="BORTOLOTTO/VANESSA REZENDE"/>
    <s v="Nathalia dos Santos Batista"/>
    <s v="Nathalia dos Santos Batista"/>
    <x v="16"/>
    <s v="UMBER-"/>
    <s v="-"/>
    <s v="OFF LINE"/>
    <s v="Cartão de crédito"/>
    <s v="Cartão de crédito"/>
    <s v="Aéreo"/>
    <s v="N"/>
    <s v="Grupo Parexel"/>
    <s v="Parexel International Pesquisas Clinicas Ltda"/>
    <s v="-"/>
    <s v="Azul Linhas Aereas"/>
    <n v="7700075295"/>
    <s v="FCM-OPE-SAO-PVI-BTC-CONCUR"/>
    <s v="-"/>
    <x v="16"/>
    <n v="102.74"/>
    <n v="0"/>
    <n v="0"/>
    <n v="0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2728294"/>
    <n v="23525888"/>
    <s v="ACC01"/>
    <x v="18"/>
    <d v="2025-08-13T04:46:13"/>
    <s v="0 a 02 dias"/>
    <s v="0 a 02 dias"/>
    <s v="NMHZMN"/>
    <s v="SABRE"/>
    <s v="RIZZO/VICTOR ARMANDO"/>
    <s v="Nathalia dos Santos Batista"/>
    <s v="Nathalia dos Santos Batista"/>
    <x v="17"/>
    <s v="UMBER-"/>
    <s v="-"/>
    <s v="OFF LINE"/>
    <s v="Cartão de crédito"/>
    <s v="Cartão de crédito"/>
    <s v="Aéreo"/>
    <s v="N"/>
    <s v="Grupo Stanley Black e Decker"/>
    <s v="Bdb Ferramentas do Brasil Ltda"/>
    <s v="Cliente FEE no POS"/>
    <s v="Azul Linhas Aereas"/>
    <n v="7700075296"/>
    <s v="FCM-OPE-SAO-PVI-BTC-CONCUR"/>
    <s v="-"/>
    <x v="17"/>
    <n v="10316"/>
    <n v="0"/>
    <n v="0"/>
    <n v="0"/>
    <n v="0"/>
    <n v="42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2728296"/>
    <n v="23525891"/>
    <s v="ACC01"/>
    <x v="19"/>
    <d v="2025-08-13T04:46:14"/>
    <s v="0 a 02 dias"/>
    <s v="0 a 02 dias"/>
    <s v="NKLKLB"/>
    <s v="SABRE"/>
    <s v="ZWIENER JUNIOR/CRISTIANO CARLOS"/>
    <s v="Nathalia dos Santos Batista"/>
    <s v="Nathalia dos Santos Batista"/>
    <x v="18"/>
    <s v="UMBER-"/>
    <s v="-"/>
    <s v="OFF LINE"/>
    <s v="Cartão de crédito"/>
    <s v="Cartão de crédito"/>
    <s v="Aéreo"/>
    <s v="N"/>
    <s v="Grupo Stanley Black e Decker"/>
    <s v="Bdb Ferramentas do Brasil Ltda"/>
    <s v="Cliente FEE no POS"/>
    <s v="Azul Linhas Aereas"/>
    <n v="7700075297"/>
    <s v="FCM-OPE-SAO-PVI-BTC-CONCUR"/>
    <s v="-"/>
    <x v="18"/>
    <n v="103.16"/>
    <n v="0"/>
    <n v="0"/>
    <n v="0"/>
    <n v="0"/>
    <n v="0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2730895"/>
    <n v="23528404"/>
    <s v="ACC01"/>
    <x v="20"/>
    <d v="2025-08-12T16:27:32"/>
    <s v="0 a 02 dias"/>
    <s v="0 a 02 dias"/>
    <s v="YMUWDY"/>
    <s v="SABRE"/>
    <s v="MEDEIROS/DANIELA"/>
    <s v="Beatrys Ferreira Rocha"/>
    <s v="WS"/>
    <x v="0"/>
    <s v="YMUWDY"/>
    <s v="-"/>
    <s v="ON LINE"/>
    <s v="?"/>
    <s v="TKT"/>
    <s v="Aéreo"/>
    <s v="N"/>
    <s v="Grupo Stanley Black e Decker"/>
    <s v="Bdb Ferramentas do Brasil Ltda"/>
    <s v="Cliente FEE no POS"/>
    <s v="Latam Airlines Brasil"/>
    <n v="2952834977"/>
    <s v="FCM-OPE-SAO-PVI-BTC-CONCUR"/>
    <s v="-"/>
    <x v="19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30898"/>
    <n v="23528407"/>
    <s v="ACC01"/>
    <x v="21"/>
    <d v="2025-08-12T16:27:34"/>
    <s v="0 a 02 dias"/>
    <s v="0 a 02 dias"/>
    <s v="EHFNHD"/>
    <s v="SABRE"/>
    <s v="DE CARVALHO/DEBORA"/>
    <s v="Itamar de Souza"/>
    <s v="Renata Rosenthal dos Santos"/>
    <x v="19"/>
    <s v="EHFNHD"/>
    <s v="-"/>
    <s v="ON LINE"/>
    <s v="?"/>
    <s v="TKT"/>
    <s v="Aéreo"/>
    <s v="N"/>
    <s v="Grupo Ihs"/>
    <s v="Ihs Brasil Cessao de Infraestruturas S a"/>
    <s v="-"/>
    <s v="Latam Airlines Brasil"/>
    <n v="2952834979"/>
    <s v="FCM-OPE-SAO-PVI-BTC-CONCUR"/>
    <s v="-"/>
    <x v="19"/>
    <n v="0"/>
    <n v="450"/>
    <n v="0"/>
    <n v="72.260000000000005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2708899"/>
    <n v="23510314"/>
    <s v="ACC01"/>
    <x v="22"/>
    <d v="2025-08-08T15:06:21"/>
    <s v="03 a 05 dias"/>
    <s v="03 a 05 dias"/>
    <s v="UMSDACT"/>
    <s v="SABRE"/>
    <s v="VIEIRA/TATIANA JUNQUEIRA MS"/>
    <s v="CT"/>
    <s v="CT"/>
    <x v="20"/>
    <n v="1935413581"/>
    <s v="-"/>
    <s v="ON LINE"/>
    <s v="Invoice"/>
    <s v="Faturado"/>
    <s v="Hotel"/>
    <s v="N"/>
    <s v="Grupo Ihs"/>
    <s v="I - Systems"/>
    <s v="-"/>
    <s v="-"/>
    <s v="-"/>
    <s v="FCM-OPE-SAO-PVI-BTC-CONCUR"/>
    <s v="-"/>
    <x v="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24073"/>
    <n v="23522327"/>
    <s v="ACC01"/>
    <x v="23"/>
    <d v="2025-08-11T17:48:30"/>
    <s v="0 a 02 dias"/>
    <s v="0 a 02 dias"/>
    <s v="FWLCNJT"/>
    <s v="SABRE"/>
    <s v="LIGEIRO/FELIPE BERTOLUCCI MR"/>
    <s v="CT"/>
    <s v="CT"/>
    <x v="21"/>
    <n v="1937624737"/>
    <s v="-"/>
    <s v="ON LINE"/>
    <s v="Cartão de crédito"/>
    <s v="Cartão de crédito"/>
    <s v="Hotel"/>
    <s v="N"/>
    <s v="Grupo Ihs"/>
    <s v="Ihs Brasil Cessao de Infraestruturas S a"/>
    <s v="-"/>
    <s v="Bay Park Hotel Resort"/>
    <s v="-"/>
    <s v="FCM-OPE-SAO-PVI-BTC-CONCUR"/>
    <s v="-"/>
    <x v="2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24073"/>
    <n v="23522328"/>
    <s v="ACC02"/>
    <x v="23"/>
    <d v="2025-08-11T17:48:30"/>
    <s v="0 a 02 dias"/>
    <s v="0 a 02 dias"/>
    <s v="FWLCNJT"/>
    <s v="SABRE"/>
    <s v="LIGEIRO/FELIPE BERTOLUCCI MR"/>
    <s v="CT"/>
    <s v="CT"/>
    <x v="21"/>
    <n v="1937624737"/>
    <s v="-"/>
    <s v="ON LINE"/>
    <s v="Cartão de crédito"/>
    <s v="Cartão de crédito"/>
    <s v="Hotel"/>
    <s v="N"/>
    <s v="Grupo Ihs"/>
    <s v="Ihs Brasil Cessao de Infraestruturas S a"/>
    <s v="-"/>
    <s v="-"/>
    <s v="-"/>
    <s v="FCM-OPE-SAO-PVI-BTC-CONCUR"/>
    <s v="-"/>
    <x v="22"/>
    <n v="9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31523"/>
    <n v="23528989"/>
    <s v="ACC01"/>
    <x v="24"/>
    <d v="2025-08-12T18:05:09"/>
    <s v="0 a 02 dias"/>
    <s v="0 a 02 dias"/>
    <s v="WLVFGC"/>
    <s v="SABRE"/>
    <s v="GUIMARAES RESENDE SANTOS/STEP"/>
    <s v="Itamar de Souza"/>
    <s v="CT"/>
    <x v="22"/>
    <n v="1939043609"/>
    <s v="-"/>
    <s v="ON LINE"/>
    <s v="?"/>
    <s v="TKT"/>
    <s v="Aéreo"/>
    <s v="N"/>
    <s v="Grupo Ihs"/>
    <s v="Ihs Brasil Cessao de Infraestruturas S a"/>
    <s v="-"/>
    <s v="Latam Airlines Brasil"/>
    <n v="2952834985"/>
    <s v="FCM-OPE-SAO-PVI-BTC-CONCUR"/>
    <s v="-"/>
    <x v="19"/>
    <n v="0"/>
    <n v="427.1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84720"/>
    <n v="23488563"/>
    <s v="ACC01"/>
    <x v="25"/>
    <d v="2025-08-05T10:21:39"/>
    <s v="06 a 08 dias"/>
    <s v="06 a 08 dias"/>
    <s v="UDXTET"/>
    <s v="SABRE"/>
    <s v="MARTINS/ISRAEL MAURICIO"/>
    <s v="WS"/>
    <s v="WS"/>
    <x v="23"/>
    <s v="FGFSIG"/>
    <s v="-"/>
    <s v="ON LINE"/>
    <s v="Cartão de crédito"/>
    <s v="Cartão de crédito"/>
    <s v="Aéreo"/>
    <s v="N"/>
    <s v="Grupo Glory"/>
    <s v="Glory"/>
    <s v="-"/>
    <s v="Gol Linhas Aereas"/>
    <n v="2142678674"/>
    <s v="FCM-OPE-SAO-PVI-BTC-CONCUR"/>
    <s v="-"/>
    <x v="23"/>
    <n v="85.3"/>
    <n v="0"/>
    <n v="0"/>
    <n v="0"/>
    <n v="0"/>
    <n v="0"/>
    <s v="Reserva importada por HubTravel"/>
    <s v="Centro de custo não preenchido! (ACC01) Matrícula não preenchida! (ACC01) Informação referencial 2 não preenchida! (ACC01) Projeto não preenchido! "/>
    <s v="SABRE"/>
    <s v="Mais de um campo não preenchido"/>
    <s v="Falta de informação Gerencial"/>
    <s v="Dados do Fornecedor"/>
    <s v="Qualidade dos dados"/>
    <s v="KONTIK BUSINESS TRAVEL"/>
  </r>
  <r>
    <n v="22667864"/>
    <n v="23475643"/>
    <s v="ACC01"/>
    <x v="26"/>
    <d v="2025-08-05T07:36:19"/>
    <s v="06 a 08 dias"/>
    <s v="09 a 15 dias"/>
    <s v="AJXNWQT"/>
    <s v="SABRE"/>
    <s v="LIMA/FABIO BARBOSA"/>
    <s v="WS"/>
    <s v="WS"/>
    <x v="24"/>
    <s v="AJXNWQ"/>
    <s v="-"/>
    <s v="ON LINE"/>
    <s v="Cartão de crédito"/>
    <s v="Cartão de crédito"/>
    <s v="Hotel"/>
    <s v="N"/>
    <s v="Grupo Glory"/>
    <s v="Glory"/>
    <s v="-"/>
    <s v="Grand Mercure Brasilia Eixo Monumental"/>
    <s v="-"/>
    <s v="FCM-OPE-SAO-PVI-BTC-CONCUR"/>
    <s v="-"/>
    <x v="24"/>
    <n v="27.03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692217"/>
    <n v="23495214"/>
    <s v="ACC01"/>
    <x v="27"/>
    <d v="2025-08-06T10:19:09"/>
    <s v="06 a 08 dias"/>
    <s v="06 a 08 dias"/>
    <s v="FQQARC"/>
    <s v="SABRE"/>
    <s v="KIEVITSBOSCH VIEIRA/THAIS KIEVITSBOSCH"/>
    <s v="WS"/>
    <s v="WS"/>
    <x v="25"/>
    <s v=" FQQARC"/>
    <s v="-"/>
    <s v="ON LINE"/>
    <s v="Cartão de crédito"/>
    <s v="Cartão de crédito"/>
    <s v="Aéreo"/>
    <s v="N"/>
    <s v="Grupo Elanco"/>
    <s v="Elanco - Morumbi"/>
    <s v="-"/>
    <s v="Gol Linhas Aereas"/>
    <n v="2142779681"/>
    <s v="FCM-OPE-SAO-PVI-BTC-CONCUR"/>
    <s v="-"/>
    <x v="25"/>
    <n v="60.62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724500"/>
    <n v="23522740"/>
    <s v="ACC01"/>
    <x v="28"/>
    <d v="2025-08-11T18:27:35"/>
    <s v="0 a 02 dias"/>
    <s v="0 a 02 dias"/>
    <s v="SHLYBVT"/>
    <s v="SABRE"/>
    <s v="ALENCAR/FABIO FRANCO COSTA DE MR"/>
    <s v="WS"/>
    <s v="WS"/>
    <x v="26"/>
    <s v="SHLYBV"/>
    <s v="-"/>
    <s v="ON LINE"/>
    <s v="Cartão de crédito"/>
    <s v="Cartão de crédito"/>
    <s v="Hotel"/>
    <s v="N"/>
    <s v="Grupo Ses"/>
    <s v="Ses Dth"/>
    <s v="-"/>
    <s v="Grand Mercure Brasilia Eixo Monumental"/>
    <s v="-"/>
    <s v="FCM-OPE-SAO-PVI-BTC-CONCUR"/>
    <s v="-"/>
    <x v="26"/>
    <n v="37.950000000000003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4505"/>
    <n v="23522745"/>
    <s v="ACC01"/>
    <x v="29"/>
    <d v="2025-08-11T18:27:36"/>
    <s v="0 a 02 dias"/>
    <s v="0 a 02 dias"/>
    <s v="WBKZLET"/>
    <s v="SABRE"/>
    <s v="ALENCAR/FABIO FRANCO COSTA DE MR"/>
    <s v="WS"/>
    <s v="WS"/>
    <x v="27"/>
    <s v="WBKZLE"/>
    <s v="-"/>
    <s v="ON LINE"/>
    <s v="Cartão de crédito"/>
    <s v="Cartão de crédito"/>
    <s v="Hotel"/>
    <s v="N"/>
    <s v="Grupo Ses"/>
    <s v="Ses Dth"/>
    <s v="-"/>
    <s v="Hotel Simons Plaza"/>
    <s v="-"/>
    <s v="FCM-OPE-SAO-PVI-BTC-CONCUR"/>
    <s v="-"/>
    <x v="27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4507"/>
    <n v="23522747"/>
    <s v="ACC01"/>
    <x v="30"/>
    <d v="2025-08-11T18:27:37"/>
    <s v="0 a 02 dias"/>
    <s v="0 a 02 dias"/>
    <s v="IFMRIBT"/>
    <s v="SABRE"/>
    <s v="ALENCAR/FABIO FRANCO COSTA DE MR"/>
    <s v="WS"/>
    <s v="WS"/>
    <x v="28"/>
    <s v="IFMRIB"/>
    <s v="-"/>
    <s v="ON LINE"/>
    <s v="Cartão de crédito"/>
    <s v="Cartão de crédito"/>
    <s v="Hotel"/>
    <s v="N"/>
    <s v="Grupo Ses"/>
    <s v="Ses Dth"/>
    <s v="-"/>
    <s v="Hotel Simons Plaza"/>
    <s v="-"/>
    <s v="FCM-OPE-SAO-PVI-BTC-CONCUR"/>
    <s v="-"/>
    <x v="28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699175"/>
    <n v="23501462"/>
    <s v="ACC01"/>
    <x v="31"/>
    <d v="2025-08-11T06:18:29"/>
    <s v="0 a 02 dias"/>
    <s v="06 a 08 dias"/>
    <s v="FAKDZZC"/>
    <s v="SABRE"/>
    <s v="DI SERIO/RICARDO MARTINI MR"/>
    <s v="WS"/>
    <s v="WS"/>
    <x v="29"/>
    <s v="FAKDZZ"/>
    <s v="CPT"/>
    <s v="ON LINE"/>
    <s v="Invoice"/>
    <s v="Faturado"/>
    <s v="Carro"/>
    <s v="N"/>
    <s v="Grupo Ses"/>
    <s v="Ses Dth"/>
    <s v="-"/>
    <s v="Hertz - Sa - Ex - Cape Town - Ex"/>
    <s v="-"/>
    <s v="FCM-OPE-SAO-PVI-BTC-CONCUR"/>
    <s v="-"/>
    <x v="29"/>
    <n v="1726.4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8482"/>
    <n v="23526063"/>
    <s v="ACC01"/>
    <x v="32"/>
    <d v="2025-08-12T10:21:08"/>
    <s v="0 a 02 dias"/>
    <s v="0 a 02 dias"/>
    <s v="QSZUNG"/>
    <s v="SABRE"/>
    <s v="ALENCAR/FABIO FRANCO COSTA DE"/>
    <s v="WS"/>
    <s v="WS"/>
    <x v="30"/>
    <s v="QTENXN"/>
    <s v="-"/>
    <s v="ON LINE"/>
    <s v="Cartão de crédito"/>
    <s v="Cartão de crédito"/>
    <s v="Aéreo"/>
    <s v="N"/>
    <s v="Grupo Ses"/>
    <s v="Ses Dth"/>
    <s v="-"/>
    <s v="Gol Linhas Aereas"/>
    <n v="2143233670"/>
    <s v="FCM-OPE-SAO-PVI-BTC-CONCUR"/>
    <s v="-"/>
    <x v="30"/>
    <n v="66.98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30899"/>
    <n v="23528408"/>
    <s v="ACC01"/>
    <x v="33"/>
    <d v="2025-08-12T16:27:35"/>
    <s v="0 a 02 dias"/>
    <s v="0 a 02 dias"/>
    <s v="GYIGBP"/>
    <s v="SABRE"/>
    <s v="SHIMIZU/FERNANDO NOMA"/>
    <s v="Flavia Constanzi do Nascimento"/>
    <s v="Marcia Pereira dos Santos Soares"/>
    <x v="31"/>
    <s v="AD2606251707"/>
    <s v="-"/>
    <s v="OFF LINE"/>
    <s v="Invoice"/>
    <s v="Faturado"/>
    <s v="Aéreo"/>
    <s v="N"/>
    <s v="Grupo Adidas"/>
    <s v="Adidas do Brasil Ltda"/>
    <s v="-"/>
    <s v="Latam Airlines Brasil"/>
    <n v="9785210000"/>
    <s v="FCM-OPE-SAO-PVI-BTC-CONCUR"/>
    <s v="-"/>
    <x v="31"/>
    <n v="55.65"/>
    <n v="228.16"/>
    <n v="0"/>
    <n v="55.65"/>
    <n v="0"/>
    <n v="0"/>
    <s v="Reserva importada por HubTravel"/>
    <s v="Falta informar o status no trecho da accounting aérea (Bilhete: 9785210000)"/>
    <s v="SABRE"/>
    <s v="Falta informação nos trechos"/>
    <s v="Atualização de Trechos"/>
    <s v="Dados do Fornecedor"/>
    <s v="Qualidade dos dados"/>
    <s v="KONTIK BUSINESS TRAVEL"/>
  </r>
  <r>
    <n v="22730899"/>
    <n v="23528409"/>
    <s v="ACC02"/>
    <x v="33"/>
    <d v="2025-08-12T16:27:35"/>
    <s v="0 a 02 dias"/>
    <s v="0 a 02 dias"/>
    <s v="GYIGBP"/>
    <s v="SABRE"/>
    <s v="SHIMIZU/FERNANDO NOMA"/>
    <s v="Flavia Constanzi do Nascimento"/>
    <s v="Marcia Pereira dos Santos Soares"/>
    <x v="31"/>
    <s v="AD2606251707"/>
    <s v="-"/>
    <s v="OFF LINE"/>
    <s v="?"/>
    <s v="TKT"/>
    <s v="Aéreo"/>
    <s v="N"/>
    <s v="Grupo Adidas"/>
    <s v="Adidas do Brasil Ltda"/>
    <s v="-"/>
    <s v="Latam Airlines Brasil"/>
    <n v="9785210000"/>
    <s v="FCM-OPE-SAO-PVI-BTC-CONCUR"/>
    <s v="-"/>
    <x v="19"/>
    <n v="3.89"/>
    <n v="0"/>
    <n v="0"/>
    <n v="3.89"/>
    <n v="0"/>
    <n v="0"/>
    <s v="Reserva importada por HubTravel"/>
    <s v="Falta informar o status no trecho da accounting aérea (Bilhete: 9785210000)"/>
    <s v="SABRE"/>
    <s v="Falta informação nos trechos"/>
    <s v="Atualização de Trechos"/>
    <s v="Dados do Fornecedor"/>
    <s v="Qualidade dos dados"/>
    <s v="KONTIK BUSINESS TRAVEL"/>
  </r>
  <r>
    <n v="22693671"/>
    <n v="23496581"/>
    <s v="ACC01"/>
    <x v="34"/>
    <d v="2025-08-06T13:38:19"/>
    <s v="06 a 08 dias"/>
    <s v="06 a 08 dias"/>
    <s v="MTEZKG"/>
    <s v="SABRE"/>
    <s v="SERPA/DANIELLE RODRIGUES CHIC"/>
    <s v="Flavia Constanzi do Nascimento"/>
    <s v="WS"/>
    <x v="32"/>
    <s v="MTEZKG"/>
    <s v="-"/>
    <s v="ON LINE"/>
    <s v="Cartão de crédito"/>
    <s v="Cartão AMEX"/>
    <s v="Aéreo"/>
    <s v="N"/>
    <s v="Grupo Adidas"/>
    <s v="Adidas do Brasil Ltda"/>
    <s v="-"/>
    <s v="Latam Airlines Brasil"/>
    <n v="2971270833"/>
    <s v="FCM-OPE-SAO-PVI-BTC-CONCUR"/>
    <s v="-"/>
    <x v="32"/>
    <n v="55.65"/>
    <n v="256.97000000000003"/>
    <n v="0"/>
    <n v="55.65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2"/>
    <s v="ACC02"/>
    <x v="34"/>
    <d v="2025-08-06T13:38:19"/>
    <s v="06 a 08 dias"/>
    <s v="06 a 08 dias"/>
    <s v="MTEZKG"/>
    <s v="SABRE"/>
    <s v="SERPA/DANIELLE RODRIGUES CHIC"/>
    <s v="Flavia Constanzi do Nascimento"/>
    <s v="WS"/>
    <x v="32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1"/>
    <s v="FCM-OPE-SAO-PVI-BTC-CONCUR"/>
    <s v="-"/>
    <x v="33"/>
    <n v="0"/>
    <n v="0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693671"/>
    <n v="23496583"/>
    <s v="ACC03"/>
    <x v="34"/>
    <d v="2025-08-06T13:38:19"/>
    <s v="06 a 08 dias"/>
    <s v="06 a 08 dias"/>
    <s v="MTEZKG"/>
    <s v="SABRE"/>
    <s v="SERPA/DANIELLE RODRIGUES CHIC"/>
    <s v="Flavia Constanzi do Nascimento"/>
    <s v="WS"/>
    <x v="32"/>
    <s v="MTEZKG"/>
    <s v="-"/>
    <s v="ON LINE"/>
    <s v="Cartão de crédito"/>
    <s v="Cartão AMEX"/>
    <s v="Aéreo"/>
    <s v="N"/>
    <s v="Grupo Adidas"/>
    <s v="Adidas do Brasil Ltda"/>
    <s v="-"/>
    <s v="Latam Airlines Brasil"/>
    <n v="1918239182"/>
    <s v="FCM-OPE-SAO-PVI-BTC-CONCUR"/>
    <s v="-"/>
    <x v="33"/>
    <n v="0"/>
    <n v="39.68"/>
    <n v="0"/>
    <n v="0"/>
    <n v="0"/>
    <n v="0"/>
    <s v="Reserva importada por HubTravel"/>
    <s v="Verificação de bilhetes: Bilhete 2971270833 já sendo utilizado para este fornecedor."/>
    <s v="SABRE"/>
    <s v="Bilhete duplicado"/>
    <s v="Bilhete Já Contabilizado"/>
    <s v="Duplicidade de Contabilização"/>
    <s v="Qualidade dos dados"/>
    <s v="GRUPO KONTIK"/>
  </r>
  <r>
    <n v="22732183"/>
    <n v="23529631"/>
    <s v="ACC01"/>
    <x v="35"/>
    <d v="2025-08-12T18:33:59"/>
    <s v="0 a 02 dias"/>
    <s v="0 a 02 dias"/>
    <s v="LA9579436TNIH"/>
    <s v="EBOOKING"/>
    <s v="Kamnitzer/Bernardo"/>
    <s v="Kontrip"/>
    <s v="Kontrip"/>
    <x v="33"/>
    <s v="-"/>
    <s v="-"/>
    <s v="OFF LINE"/>
    <s v="Cartão de crédito"/>
    <s v="Cartão de crédito"/>
    <s v="Aéreo"/>
    <s v="N"/>
    <s v="Grupo Kontrip"/>
    <s v="Orange 2006 Comunicacao Digital Ltda"/>
    <s v="-"/>
    <s v="Latam Airlines Brasil"/>
    <n v="2245553084"/>
    <s v="KONTRIP"/>
    <s v="-"/>
    <x v="34"/>
    <n v="60.62"/>
    <n v="0"/>
    <n v="0"/>
    <n v="0"/>
    <n v="0"/>
    <n v="40.81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2394"/>
    <n v="23529831"/>
    <s v="ACC01"/>
    <x v="36"/>
    <d v="2025-08-12T18:45:56"/>
    <s v="0 a 02 dias"/>
    <s v="0 a 02 dias"/>
    <s v="YOSDCQ"/>
    <s v="EBOOKING"/>
    <s v="POLTRONIERI/MARCELLO"/>
    <s v="Kontrip"/>
    <s v="Kontrip"/>
    <x v="34"/>
    <s v="-"/>
    <s v="-"/>
    <s v="OFF LINE"/>
    <s v="Cartão de crédito"/>
    <s v="Cartão de crédito"/>
    <s v="Aéreo"/>
    <s v="N"/>
    <s v="Grupo Kontrip"/>
    <s v="Cinesystem S.a."/>
    <s v="-"/>
    <s v="Gol Linhas Aereas"/>
    <n v="2143317777"/>
    <s v="KONTRIP"/>
    <s v="-"/>
    <x v="35"/>
    <n v="0"/>
    <n v="0"/>
    <n v="0"/>
    <n v="0"/>
    <n v="0"/>
    <n v="8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2394"/>
    <n v="23529832"/>
    <s v="ACC02"/>
    <x v="36"/>
    <d v="2025-08-12T18:45:56"/>
    <s v="0 a 02 dias"/>
    <s v="0 a 02 dias"/>
    <s v="YOSDCQ"/>
    <s v="EBOOKING"/>
    <s v="FALCÃO DA SILVA/TAMIRIS"/>
    <s v="Kontrip"/>
    <s v="Kontrip"/>
    <x v="34"/>
    <s v="-"/>
    <s v="-"/>
    <s v="OFF LINE"/>
    <s v="Cartão de crédito"/>
    <s v="Cartão de crédito"/>
    <s v="Aéreo"/>
    <s v="N"/>
    <s v="Grupo Kontrip"/>
    <s v="Cinesystem S.a."/>
    <s v="-"/>
    <s v="Gol Linhas Aereas"/>
    <n v="2143317787"/>
    <s v="KONTRIP"/>
    <s v="-"/>
    <x v="35"/>
    <n v="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1936"/>
    <n v="23529387"/>
    <s v="ACC01"/>
    <x v="37"/>
    <d v="2025-08-12T18:21:48"/>
    <s v="0 a 02 dias"/>
    <s v="0 a 02 dias"/>
    <s v="VHF26F"/>
    <s v="EBOOKING"/>
    <s v="PAULINO DA SILVA/MARCOS"/>
    <s v="Kontrip"/>
    <s v="Kontrip"/>
    <x v="35"/>
    <s v="-"/>
    <s v="-"/>
    <s v="OFF LINE"/>
    <s v="Cartão de crédito"/>
    <s v="Cartão de crédito"/>
    <s v="Aéreo"/>
    <s v="N"/>
    <s v="Grupo Kontrip"/>
    <s v="Pailon Comunicacao Visual Ltda"/>
    <s v="-"/>
    <s v="Azul Linhas Aereas"/>
    <n v="362621474"/>
    <s v="KONTRIP"/>
    <s v="-"/>
    <x v="36"/>
    <n v="48.16"/>
    <n v="0"/>
    <n v="0"/>
    <n v="0"/>
    <n v="0"/>
    <n v="224.36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2927"/>
    <n v="23530344"/>
    <s v="ACC01"/>
    <x v="38"/>
    <d v="2025-08-12T19:45:54"/>
    <s v="0 a 02 dias"/>
    <s v="0 a 02 dias"/>
    <s v="LA9578248RPER"/>
    <s v="EBOOKING"/>
    <s v="GUERRA/BRUNO"/>
    <s v="Kontrip"/>
    <s v="Kontrip"/>
    <x v="36"/>
    <s v="-"/>
    <s v="-"/>
    <s v="OFF LINE"/>
    <s v="Cartão de crédito"/>
    <s v="Cartão de crédito"/>
    <s v="Aéreo"/>
    <s v="N"/>
    <s v="Grupo Kontrip"/>
    <s v="Inteligencia de Negocios Sistemas e Informatica Ltda"/>
    <s v="-"/>
    <s v="Latam Airlines Brasil"/>
    <n v="2245572251"/>
    <s v="KONTRIP"/>
    <s v="-"/>
    <x v="37"/>
    <n v="245.88"/>
    <n v="0"/>
    <n v="154.43"/>
    <n v="0"/>
    <n v="0"/>
    <n v="141.63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3023"/>
    <n v="23530418"/>
    <s v="ACC01"/>
    <x v="39"/>
    <d v="2025-08-12T20:42:53"/>
    <s v="0 a 02 dias"/>
    <s v="0 a 02 dias"/>
    <s v="MODVSL"/>
    <s v="EBOOKING"/>
    <s v="Luiza Lima dos Santos/Bruna"/>
    <s v="Kontrip"/>
    <s v="Kontrip"/>
    <x v="37"/>
    <s v="-"/>
    <s v="-"/>
    <s v="OFF LINE"/>
    <s v="Cartão de crédito"/>
    <s v="Cartão de crédito"/>
    <s v="Aéreo"/>
    <s v="N"/>
    <s v="Grupo Kontrip"/>
    <s v="Rcs Tecnologia S/a"/>
    <s v="-"/>
    <s v="Latam Airlines Brasil"/>
    <n v="2245581911"/>
    <s v="KONTRIP"/>
    <s v="-"/>
    <x v="38"/>
    <n v="0"/>
    <n v="0"/>
    <n v="0"/>
    <n v="0"/>
    <n v="0"/>
    <n v="40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651101"/>
    <n v="23460675"/>
    <s v="ACC01"/>
    <x v="40"/>
    <d v="2025-07-31T09:54:58"/>
    <s v="09 a 15 dias"/>
    <s v="09 a 15 dias"/>
    <s v="MQU7YH01"/>
    <s v="EBOOKING"/>
    <s v="GONÇALVES/GUSTAVO"/>
    <s v="Kontrip"/>
    <s v="Kontrip"/>
    <x v="38"/>
    <s v="-"/>
    <s v="-"/>
    <s v="OFF LINE"/>
    <s v="?"/>
    <s v="?"/>
    <s v="Aéreo"/>
    <s v="S"/>
    <s v="Grupo Kontrip"/>
    <s v="Associacao Colo de Deus e Santissima Virgem (a.c.d.s.v)"/>
    <s v="-"/>
    <s v="Azul Linhas Aereas"/>
    <n v="980419988"/>
    <s v="KONTRIP"/>
    <s v="-"/>
    <x v="39"/>
    <n v="36.67"/>
    <n v="0"/>
    <n v="0"/>
    <n v="0"/>
    <n v="0"/>
    <n v="92.72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686963"/>
    <n v="23490647"/>
    <s v="ACC01"/>
    <x v="41"/>
    <d v="2025-08-06T18:28:02"/>
    <s v="06 a 08 dias"/>
    <s v="06 a 08 dias"/>
    <s v="YOVNRQ"/>
    <s v="EBOOKING"/>
    <s v="ALMEIDA/LUIZ"/>
    <s v="Kontrip"/>
    <s v="Kontrip"/>
    <x v="39"/>
    <s v="-"/>
    <s v="-"/>
    <s v="OFF LINE"/>
    <s v="Invoice"/>
    <s v="Cartão convênio"/>
    <s v="Aéreo"/>
    <s v="S"/>
    <s v="Grupo Kontrip"/>
    <s v="Araforros Ind e Comercio de Perfilados Ltda Em Recuperacao Judicial"/>
    <s v="-"/>
    <s v="Azul Linhas Aereas"/>
    <n v="3023498529"/>
    <s v="KONTRIP"/>
    <s v="-"/>
    <x v="40"/>
    <n v="0"/>
    <n v="0"/>
    <n v="0"/>
    <n v="0"/>
    <n v="0"/>
    <n v="0"/>
    <s v="obs"/>
    <s v="Validação do documento: Valor dever ser maior que zero !"/>
    <s v="KONTRIP"/>
    <s v="Não identificado"/>
    <s v="Análise Benner"/>
    <s v="Sistema"/>
    <s v="Qualidade dos dados"/>
    <s v="KONTRIP VIAGENS"/>
  </r>
  <r>
    <n v="22692401"/>
    <n v="23495383"/>
    <s v="ACC01"/>
    <x v="42"/>
    <d v="2025-08-06T10:55:59"/>
    <s v="06 a 08 dias"/>
    <s v="06 a 08 dias"/>
    <s v="NRFVAS"/>
    <s v="MANUAL"/>
    <s v="Cardoso/Felipe"/>
    <s v="Kontrip"/>
    <s v="Kontrip"/>
    <x v="40"/>
    <s v="-"/>
    <s v="-"/>
    <s v="OFF LINE"/>
    <s v="Cartão de crédito"/>
    <s v="Cartão de crédito"/>
    <s v="Aéreo"/>
    <s v="S"/>
    <s v="Grupo Kontrip"/>
    <s v="Kontrip - Vendas Cartao de Credito"/>
    <s v="-"/>
    <s v="Latam Airlines Brasil"/>
    <n v="2243683469"/>
    <s v="KONTRIP"/>
    <s v="-"/>
    <x v="41"/>
    <n v="30.95"/>
    <n v="0"/>
    <n v="59.03"/>
    <n v="0"/>
    <n v="0"/>
    <n v="0"/>
    <s v="obsCancelamento VOID do pax FELIPE CARDOSO"/>
    <s v="Verificação de bilhetes: Bilhete 2243683469 já sendo utilizado para este fornecedor."/>
    <s v="KONTRIP"/>
    <s v="Bilhete duplicado"/>
    <s v="Bilhete Já Contabilizado"/>
    <s v="Duplicidade de Contabilização"/>
    <s v="Qualidade dos dados"/>
    <s v="KONTRIP VIAGENS"/>
  </r>
  <r>
    <n v="22693812"/>
    <n v="23496718"/>
    <s v="ACC01"/>
    <x v="43"/>
    <d v="2025-08-06T13:50:13"/>
    <s v="06 a 08 dias"/>
    <s v="06 a 08 dias"/>
    <s v="II9WRC"/>
    <s v="EBOOKING"/>
    <s v="EMILIO BRANDAO DE ARAUJO/CARLOS"/>
    <s v="Kontrip"/>
    <s v="Kontrip"/>
    <x v="41"/>
    <s v="-"/>
    <s v="-"/>
    <s v="OFF LINE"/>
    <s v="Cartão de crédito"/>
    <s v="Cartão de crédito"/>
    <s v="Aéreo"/>
    <s v="N"/>
    <s v="Grupo Kontrip"/>
    <s v="Conorte Servicos Industriais Ltda"/>
    <s v="-"/>
    <s v="Azul Linhas Aereas"/>
    <n v="863078581"/>
    <s v="KONTRIP"/>
    <s v="-"/>
    <x v="42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693553"/>
    <n v="23496484"/>
    <s v="ACC01"/>
    <x v="44"/>
    <d v="2025-08-06T12:55:23"/>
    <s v="06 a 08 dias"/>
    <s v="06 a 08 dias"/>
    <s v="EFCSHY"/>
    <s v="EBOOKING"/>
    <s v="ROGERIO DE FRANÇA/PAULO"/>
    <s v="Kontrip"/>
    <s v="Kontrip"/>
    <x v="42"/>
    <s v="-"/>
    <s v="-"/>
    <s v="OFF LINE"/>
    <s v="Cartão de crédito"/>
    <s v="Cartão de crédito"/>
    <s v="Aéreo"/>
    <s v="N"/>
    <s v="Grupo Kontrip"/>
    <s v="Mei Instalacao Industrial Ltda"/>
    <s v="-"/>
    <s v="Azul Linhas Aereas"/>
    <n v="442777606"/>
    <s v="KONTRIP"/>
    <s v="-"/>
    <x v="43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0070"/>
    <n v="23502309"/>
    <s v="ACC01"/>
    <x v="45"/>
    <d v="2025-08-07T11:56:50"/>
    <s v="06 a 08 dias"/>
    <s v="06 a 08 dias"/>
    <s v="YM1U2G"/>
    <s v="EBOOKING"/>
    <s v="ESTEVAO PERDIGAO DE MIRANDA/LUIZ"/>
    <s v="Kontrip"/>
    <s v="Kontrip"/>
    <x v="43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743416547"/>
    <s v="KONTRIP"/>
    <s v="-"/>
    <x v="44"/>
    <n v="87.96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0473"/>
    <n v="23502703"/>
    <s v="ACC01"/>
    <x v="46"/>
    <d v="2025-08-07T12:28:19"/>
    <s v="06 a 08 dias"/>
    <s v="06 a 08 dias"/>
    <s v="WAQULI"/>
    <s v="EBOOKING"/>
    <s v="Santos Junior/Roberto"/>
    <s v="Kontrip"/>
    <s v="Kontrip"/>
    <x v="44"/>
    <s v="-"/>
    <s v="-"/>
    <s v="OFF LINE"/>
    <s v="Cartão de crédito"/>
    <s v="Cartão de crédito"/>
    <s v="Aéreo"/>
    <s v="N"/>
    <s v="Grupo Kontrip"/>
    <s v="Memora"/>
    <s v="-"/>
    <s v="Latam Airlines Brasil"/>
    <n v="2244411354"/>
    <s v="KONTRIP"/>
    <s v="-"/>
    <x v="45"/>
    <n v="80.69"/>
    <n v="0"/>
    <n v="0"/>
    <n v="0"/>
    <n v="0"/>
    <n v="88.19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00765"/>
    <n v="23502981"/>
    <s v="ACC01"/>
    <x v="47"/>
    <d v="2025-08-07T12:43:35"/>
    <s v="06 a 08 dias"/>
    <s v="06 a 08 dias"/>
    <s v="CME1UD"/>
    <s v="EBOOKING"/>
    <s v="MARIO MOUTINHO/LUIZ"/>
    <s v="Kontrip"/>
    <s v="Kontrip"/>
    <x v="45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781870213"/>
    <s v="KONTRIP"/>
    <s v="-"/>
    <x v="46"/>
    <n v="119.51"/>
    <n v="0"/>
    <n v="201.31"/>
    <n v="0"/>
    <n v="0"/>
    <n v="66.430000000000007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0623"/>
    <n v="23528103"/>
    <s v="ACC01"/>
    <x v="48"/>
    <d v="2025-08-12T15:37:02"/>
    <s v="0 a 02 dias"/>
    <s v="0 a 02 dias"/>
    <s v="FEORVQ"/>
    <s v="EBOOKING"/>
    <s v="CARVALHO/KAINAN"/>
    <s v="Kontrip"/>
    <s v="Kontrip"/>
    <x v="46"/>
    <s v="-"/>
    <s v="-"/>
    <s v="OFF LINE"/>
    <s v="Invoice"/>
    <s v="Cartão convênio"/>
    <s v="Aéreo"/>
    <s v="N"/>
    <s v="Grupo Kontrip"/>
    <s v="Kontrip - Vendas Cartao de Credito"/>
    <s v="-"/>
    <s v="Gol Linhas Aereas"/>
    <n v="2143293256"/>
    <s v="KONTRIP"/>
    <s v="-"/>
    <x v="19"/>
    <n v="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0623"/>
    <n v="23528104"/>
    <s v="ACC02"/>
    <x v="48"/>
    <d v="2025-08-12T15:37:02"/>
    <s v="0 a 02 dias"/>
    <s v="0 a 02 dias"/>
    <s v="FEORVQ"/>
    <s v="EBOOKING"/>
    <s v="Lindolfo Gomes/Luana"/>
    <s v="Kontrip"/>
    <s v="Kontrip"/>
    <x v="46"/>
    <s v="-"/>
    <s v="-"/>
    <s v="OFF LINE"/>
    <s v="Invoice"/>
    <s v="Cartão convênio"/>
    <s v="Aéreo"/>
    <s v="N"/>
    <s v="Grupo Kontrip"/>
    <s v="Kontrip - Vendas Cartao de Credito"/>
    <s v="-"/>
    <s v="Gol Linhas Aereas"/>
    <n v="2143293257"/>
    <s v="KONTRIP"/>
    <s v="-"/>
    <x v="40"/>
    <n v="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0693"/>
    <n v="23528171"/>
    <s v="ACC01"/>
    <x v="49"/>
    <d v="2025-08-12T15:51:41"/>
    <s v="0 a 02 dias"/>
    <s v="0 a 02 dias"/>
    <s v="LA9570032FKAY"/>
    <s v="EBOOKING"/>
    <s v="Eduardo Monteiro Miranda/José"/>
    <s v="Kontrip"/>
    <s v="Kontrip"/>
    <x v="47"/>
    <s v="-"/>
    <s v="-"/>
    <s v="OFF LINE"/>
    <s v="Cartão de crédito"/>
    <s v="Cartão de crédito"/>
    <s v="Aéreo"/>
    <s v="N"/>
    <s v="Grupo Kontrip"/>
    <s v="Associacao Renova Br"/>
    <s v="-"/>
    <s v="Latam Airlines Brasil"/>
    <n v="2245525503"/>
    <s v="KONTRIP"/>
    <s v="-"/>
    <x v="47"/>
    <n v="91.57"/>
    <n v="0"/>
    <n v="223.58"/>
    <n v="0"/>
    <n v="0"/>
    <n v="147.57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0737"/>
    <n v="23528229"/>
    <s v="ACC01"/>
    <x v="50"/>
    <d v="2025-08-12T16:04:59"/>
    <s v="0 a 02 dias"/>
    <s v="0 a 02 dias"/>
    <s v="YI8EMF"/>
    <s v="EBOOKING"/>
    <s v="RODRIGUES NETO/VASCO"/>
    <s v="Kontrip"/>
    <s v="Kontrip"/>
    <x v="48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217902719"/>
    <s v="KONTRIP"/>
    <s v="-"/>
    <x v="48"/>
    <n v="120.57"/>
    <n v="0"/>
    <n v="0"/>
    <n v="0"/>
    <n v="0"/>
    <n v="39.64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9862"/>
    <n v="23527394"/>
    <s v="ACC01"/>
    <x v="51"/>
    <d v="2025-08-12T12:49:03"/>
    <s v="0 a 02 dias"/>
    <s v="0 a 02 dias"/>
    <s v="AQLNTC"/>
    <s v="EBOOKING"/>
    <s v="CORREIA DOS SANTOS BORTOLUZZI/CAROLINA"/>
    <s v="Kontrip"/>
    <s v="Kontrip"/>
    <x v="49"/>
    <s v="-"/>
    <s v="-"/>
    <s v="OFF LINE"/>
    <s v="Cartão de crédito"/>
    <s v="Cartão de crédito"/>
    <s v="Aéreo"/>
    <s v="N"/>
    <s v="Grupo Kontrip"/>
    <s v="Mobiauto Edicao de Anuncios On Line Ltda"/>
    <s v="-"/>
    <s v="Gol Linhas Aereas"/>
    <n v="2143287635"/>
    <s v="KONTRIP"/>
    <s v="-"/>
    <x v="49"/>
    <n v="108.53"/>
    <n v="0"/>
    <n v="66.819999999999993"/>
    <n v="0"/>
    <n v="0"/>
    <n v="14.7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9862"/>
    <n v="23527395"/>
    <s v="ACC02"/>
    <x v="51"/>
    <d v="2025-08-12T12:49:03"/>
    <s v="0 a 02 dias"/>
    <s v="0 a 02 dias"/>
    <s v="AQLNTC"/>
    <s v="EBOOKING"/>
    <s v="Henrique Brugnago/Diogo"/>
    <s v="Kontrip"/>
    <s v="Kontrip"/>
    <x v="49"/>
    <s v="-"/>
    <s v="-"/>
    <s v="OFF LINE"/>
    <s v="Cartão de crédito"/>
    <s v="Cartão de crédito"/>
    <s v="Aéreo"/>
    <s v="N"/>
    <s v="Grupo Kontrip"/>
    <s v="Mobiauto Edicao de Anuncios On Line Ltda"/>
    <s v="-"/>
    <s v="Gol Linhas Aereas"/>
    <n v="2143287636"/>
    <s v="KONTRIP"/>
    <s v="-"/>
    <x v="49"/>
    <n v="108.53"/>
    <n v="0"/>
    <n v="66.819999999999993"/>
    <n v="0"/>
    <n v="0"/>
    <n v="0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9877"/>
    <n v="23527407"/>
    <s v="ACC01"/>
    <x v="52"/>
    <d v="2025-08-12T12:54:50"/>
    <s v="0 a 02 dias"/>
    <s v="0 a 02 dias"/>
    <s v="LLHTHY"/>
    <s v="EBOOKING"/>
    <s v="SAYER SAVOY/LAURA"/>
    <s v="Kontrip"/>
    <s v="Kontrip"/>
    <x v="50"/>
    <s v="-"/>
    <s v="-"/>
    <s v="OFF LINE"/>
    <s v="Cartão de crédito"/>
    <s v="Cartão de crédito"/>
    <s v="Aéreo"/>
    <s v="N"/>
    <s v="Grupo Kontrip"/>
    <s v="Kontrip - Vendas Cartao de Credito"/>
    <s v="-"/>
    <s v="Gol Linhas Aereas"/>
    <n v="2143291826"/>
    <s v="KONTRIP"/>
    <s v="-"/>
    <x v="50"/>
    <n v="50.92"/>
    <n v="0"/>
    <n v="44.48"/>
    <n v="0"/>
    <n v="0"/>
    <n v="4.8899999999999997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9677"/>
    <n v="23527222"/>
    <s v="ACC01"/>
    <x v="53"/>
    <d v="2025-08-12T12:39:47"/>
    <s v="0 a 02 dias"/>
    <s v="0 a 02 dias"/>
    <s v="HGDGXI"/>
    <s v="EBOOKING"/>
    <s v="Antonio Ferreira/Marco"/>
    <s v="Kontrip"/>
    <s v="Kontrip"/>
    <x v="51"/>
    <s v="-"/>
    <s v="-"/>
    <s v="OFF LINE"/>
    <s v="Cartão de crédito"/>
    <s v="Cartão de crédito"/>
    <s v="Aéreo"/>
    <s v="N"/>
    <s v="Grupo Kontrip"/>
    <s v="Service Engenharia"/>
    <s v="-"/>
    <s v="Azul Linhas Aereas"/>
    <n v="935698164"/>
    <s v="KONTRIP"/>
    <s v="-"/>
    <x v="51"/>
    <n v="46.72"/>
    <n v="0"/>
    <n v="0"/>
    <n v="0"/>
    <n v="0"/>
    <n v="56.15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9911"/>
    <n v="23527445"/>
    <s v="ACC01"/>
    <x v="54"/>
    <d v="2025-08-12T13:04:12"/>
    <s v="0 a 02 dias"/>
    <s v="0 a 02 dias"/>
    <s v="DLKJIP"/>
    <s v="EBOOKING"/>
    <s v="FRANCISCO DE CARVALHO/VINICIUS"/>
    <s v="Kontrip"/>
    <s v="Kontrip"/>
    <x v="52"/>
    <s v="-"/>
    <s v="-"/>
    <s v="OFF LINE"/>
    <s v="Cartão de crédito"/>
    <s v="Cartão de crédito"/>
    <s v="Aéreo"/>
    <s v="N"/>
    <s v="Grupo Kontrip"/>
    <s v="Porto, Miranda, Rocha Sociedade de Advogados"/>
    <s v="-"/>
    <s v="Latam Airlines Brasil"/>
    <n v="2245493659"/>
    <s v="KONTRIP"/>
    <s v="-"/>
    <x v="52"/>
    <n v="45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1320"/>
    <n v="23528797"/>
    <s v="ACC01"/>
    <x v="55"/>
    <d v="2025-08-12T17:42:30"/>
    <s v="0 a 02 dias"/>
    <s v="0 a 02 dias"/>
    <s v="CPBVLR"/>
    <s v="EBOOKING"/>
    <s v="RICARDO ALTERIO/JOAO"/>
    <s v="Kontrip"/>
    <s v="Kontrip"/>
    <x v="53"/>
    <s v="-"/>
    <s v="-"/>
    <s v="OFF LINE"/>
    <s v="Cartão de crédito"/>
    <s v="Cartão de crédito"/>
    <s v="Aéreo"/>
    <s v="N"/>
    <s v="Grupo Kontrip"/>
    <s v="Ind de Torrone Nossa Senhora de Montevergine Ltda"/>
    <s v="-"/>
    <s v="Gol Linhas Aereas"/>
    <n v="2143313351"/>
    <s v="KONTRIP"/>
    <s v="-"/>
    <x v="53"/>
    <n v="383.93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1393"/>
    <n v="23528859"/>
    <s v="ACC01"/>
    <x v="56"/>
    <d v="2025-08-12T17:51:49"/>
    <s v="0 a 02 dias"/>
    <s v="0 a 02 dias"/>
    <s v="MAZYOQ"/>
    <s v="EBOOKING"/>
    <s v="Flavia de Oliveira/Fernanda"/>
    <s v="Kontrip"/>
    <s v="Kontrip"/>
    <x v="54"/>
    <s v="-"/>
    <s v="-"/>
    <s v="OFF LINE"/>
    <s v="Cartão de crédito"/>
    <s v="Cartão de crédito"/>
    <s v="Aéreo"/>
    <s v="N"/>
    <s v="Grupo Kontrip"/>
    <s v="Nina Saude Vitoria Ltda"/>
    <s v="-"/>
    <s v="Gol Linhas Aereas"/>
    <n v="2143310536"/>
    <s v="KONTRIP"/>
    <s v="-"/>
    <x v="54"/>
    <n v="0"/>
    <n v="0"/>
    <n v="0"/>
    <n v="0"/>
    <n v="0"/>
    <n v="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1274"/>
    <n v="23528756"/>
    <s v="ACC01"/>
    <x v="57"/>
    <d v="2025-08-12T17:33:58"/>
    <s v="0 a 02 dias"/>
    <s v="0 a 02 dias"/>
    <s v="WMUJGC"/>
    <s v="EBOOKING"/>
    <s v="JARDIM/Fábio"/>
    <s v="Kontrip"/>
    <s v="Kontrip"/>
    <x v="55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45547443"/>
    <s v="KONTRIP"/>
    <s v="-"/>
    <x v="55"/>
    <n v="0"/>
    <n v="0"/>
    <n v="0"/>
    <n v="0"/>
    <n v="0"/>
    <n v="40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2767"/>
    <n v="23530192"/>
    <s v="ACC01"/>
    <x v="58"/>
    <d v="2025-08-12T19:11:27"/>
    <s v="0 a 02 dias"/>
    <s v="0 a 02 dias"/>
    <s v="XNLLXT"/>
    <s v="EBOOKING"/>
    <s v="Silva Machado/Joana"/>
    <s v="Kontrip"/>
    <s v="Kontrip"/>
    <x v="56"/>
    <s v="-"/>
    <s v="-"/>
    <s v="OFF LINE"/>
    <s v="Cartão de crédito"/>
    <s v="Cartão de crédito"/>
    <s v="Aéreo"/>
    <s v="N"/>
    <s v="Grupo Kontrip"/>
    <s v="Cinesystem S.a."/>
    <s v="-"/>
    <s v="Azul Linhas Aereas"/>
    <n v="817572019"/>
    <s v="KONTRIP"/>
    <s v="-"/>
    <x v="56"/>
    <n v="45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2582"/>
    <n v="23530008"/>
    <s v="ACC01"/>
    <x v="59"/>
    <d v="2025-08-12T18:57:48"/>
    <s v="0 a 02 dias"/>
    <s v="0 a 02 dias"/>
    <s v="WYLIJR"/>
    <s v="EBOOKING"/>
    <s v="Silva Bosser/André"/>
    <s v="Kontrip"/>
    <s v="Kontrip"/>
    <x v="57"/>
    <s v="-"/>
    <s v="-"/>
    <s v="OFF LINE"/>
    <s v="Invoice"/>
    <s v="Cartão convênio"/>
    <s v="Aéreo"/>
    <s v="N"/>
    <s v="Grupo Kontrip"/>
    <s v="Rought Promocoes e Eventos Eireli"/>
    <s v="-"/>
    <s v="Gol Linhas Aereas"/>
    <n v="2143298447"/>
    <s v="KONTRIP"/>
    <s v="-"/>
    <x v="57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2644"/>
    <n v="23530073"/>
    <s v="ACC01"/>
    <x v="60"/>
    <d v="2025-08-12T19:04:34"/>
    <s v="0 a 02 dias"/>
    <s v="0 a 02 dias"/>
    <s v="XNLLXT"/>
    <s v="EBOOKING"/>
    <s v="Silva Machado/Joana"/>
    <s v="Kontrip"/>
    <s v="Kontrip"/>
    <x v="58"/>
    <s v="-"/>
    <s v="-"/>
    <s v="OFF LINE"/>
    <s v="Cartão de crédito"/>
    <s v="Cartão de crédito"/>
    <s v="Aéreo"/>
    <s v="N"/>
    <s v="Grupo Kontrip"/>
    <s v="Cinesystem S.a."/>
    <s v="-"/>
    <s v="Azul Linhas Aereas"/>
    <n v="976145215"/>
    <s v="KONTRIP"/>
    <s v="-"/>
    <x v="56"/>
    <n v="45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730884"/>
    <n v="23528388"/>
    <s v="ACC01"/>
    <x v="61"/>
    <d v="2025-08-12T16:25:04"/>
    <s v="0 a 02 dias"/>
    <s v="0 a 02 dias"/>
    <s v="XIWE5P"/>
    <s v="EBOOKING"/>
    <s v="PYTERSON CAPELLETTI/IGOR"/>
    <s v="Kontrip"/>
    <s v="Kontrip"/>
    <x v="59"/>
    <s v="-"/>
    <s v="-"/>
    <s v="OFF LINE"/>
    <s v="Cartão de crédito"/>
    <s v="Cartão de crédito"/>
    <s v="Aéreo"/>
    <s v="N"/>
    <s v="Grupo Kontrip"/>
    <s v="Tecthane Industria e Comercio de Artefatos Em Poliuretano"/>
    <s v="-"/>
    <s v="Azul Linhas Aereas"/>
    <n v="309649679"/>
    <s v="KONTRIP"/>
    <s v="-"/>
    <x v="58"/>
    <n v="58.89"/>
    <n v="0"/>
    <n v="0"/>
    <n v="0"/>
    <n v="0"/>
    <n v="249.12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0884"/>
    <n v="23528389"/>
    <s v="ACC02"/>
    <x v="61"/>
    <d v="2025-08-12T16:25:04"/>
    <s v="0 a 02 dias"/>
    <s v="0 a 02 dias"/>
    <s v="XIWE5P"/>
    <s v="EBOOKING"/>
    <s v="Marziane Johann Capelletti/Deise"/>
    <s v="Kontrip"/>
    <s v="Kontrip"/>
    <x v="59"/>
    <s v="-"/>
    <s v="-"/>
    <s v="OFF LINE"/>
    <s v="Cartão de crédito"/>
    <s v="Cartão de crédito"/>
    <s v="Aéreo"/>
    <s v="N"/>
    <s v="Grupo Kontrip"/>
    <s v="Tecthane Industria e Comercio de Artefatos Em Poliuretano"/>
    <s v="-"/>
    <s v="Azul Linhas Aereas"/>
    <n v="462835615"/>
    <s v="KONTRIP"/>
    <s v="-"/>
    <x v="58"/>
    <n v="58.89"/>
    <n v="0"/>
    <n v="0"/>
    <n v="0"/>
    <n v="0"/>
    <n v="0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8064"/>
    <n v="23525707"/>
    <s v="ACC01"/>
    <x v="62"/>
    <d v="2025-08-12T08:12:41"/>
    <s v="0 a 02 dias"/>
    <s v="0 a 02 dias"/>
    <s v="LA9572863LTDJ"/>
    <s v="EBOOKING"/>
    <s v="Cardoso Ferreira/Walter"/>
    <s v="Kontrip"/>
    <s v="Kontrip"/>
    <x v="60"/>
    <s v="-"/>
    <s v="-"/>
    <s v="OFF LINE"/>
    <s v="Cartão de crédito"/>
    <s v="Cartão de crédito"/>
    <s v="Aéreo"/>
    <s v="N"/>
    <s v="Grupo Kontrip"/>
    <s v="Pessoa e Pessoa Advogados Associados"/>
    <s v="-"/>
    <s v="Latam Airlines Brasil"/>
    <n v="2245457846"/>
    <s v="KONTRIP"/>
    <s v="-"/>
    <x v="59"/>
    <n v="60.62"/>
    <n v="0"/>
    <n v="40"/>
    <n v="0"/>
    <n v="0"/>
    <n v="21.6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728612"/>
    <n v="23526178"/>
    <s v="ACC01"/>
    <x v="63"/>
    <d v="2025-08-12T10:18:45"/>
    <s v="0 a 02 dias"/>
    <s v="0 a 02 dias"/>
    <s v="BRSRMB"/>
    <s v="EBOOKING"/>
    <s v="Monteiro/André"/>
    <s v="Kontrip"/>
    <s v="Kontrip"/>
    <x v="61"/>
    <s v="-"/>
    <s v="-"/>
    <s v="OFF LINE"/>
    <s v="Cartão de crédito"/>
    <s v="Cartão de crédito"/>
    <s v="Aéreo"/>
    <s v="N"/>
    <s v="Grupo Kontrip"/>
    <s v="Medcentro To Distribuidora de Produtos Farmaceuticos"/>
    <s v="-"/>
    <s v="Azul Linhas Aereas"/>
    <n v="934956635"/>
    <s v="KONTRIP"/>
    <s v="-"/>
    <x v="60"/>
    <n v="36.67"/>
    <n v="0"/>
    <n v="0"/>
    <n v="0"/>
    <n v="0"/>
    <n v="46.45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8625"/>
    <n v="23526192"/>
    <s v="ACC01"/>
    <x v="64"/>
    <d v="2025-08-12T10:21:39"/>
    <s v="0 a 02 dias"/>
    <s v="0 a 02 dias"/>
    <s v="LA9579644LMFE"/>
    <s v="EBOOKING"/>
    <s v="Monteiro/André"/>
    <s v="Kontrip"/>
    <s v="Kontrip"/>
    <x v="61"/>
    <s v="-"/>
    <s v="-"/>
    <s v="OFF LINE"/>
    <s v="Cartão de crédito"/>
    <s v="Cartão de crédito"/>
    <s v="Aéreo"/>
    <s v="N"/>
    <s v="Grupo Kontrip"/>
    <s v="Medcentro To Distribuidora de Produtos Farmaceuticos"/>
    <s v="-"/>
    <s v="Latam Airlines Brasil"/>
    <n v="2245458856"/>
    <s v="KONTRIP"/>
    <s v="-"/>
    <x v="61"/>
    <n v="48.3"/>
    <n v="0"/>
    <n v="49.19"/>
    <n v="0"/>
    <n v="0"/>
    <n v="32.47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8626"/>
    <n v="23526193"/>
    <s v="ACC01"/>
    <x v="64"/>
    <d v="2025-08-12T10:21:53"/>
    <s v="0 a 02 dias"/>
    <s v="0 a 02 dias"/>
    <s v="CRFZ9B"/>
    <s v="EBOOKING"/>
    <s v="Monteiro/André"/>
    <s v="Kontrip"/>
    <s v="Kontrip"/>
    <x v="61"/>
    <s v="-"/>
    <s v="-"/>
    <s v="OFF LINE"/>
    <s v="Cartão de crédito"/>
    <s v="Cartão de crédito"/>
    <s v="Aéreo"/>
    <s v="N"/>
    <s v="Grupo Kontrip"/>
    <s v="Medcentro To Distribuidora de Produtos Farmaceuticos"/>
    <s v="-"/>
    <s v="Azul Linhas Aereas"/>
    <n v="593786344"/>
    <s v="KONTRIP"/>
    <s v="-"/>
    <x v="62"/>
    <n v="54.45"/>
    <n v="0"/>
    <n v="0"/>
    <n v="0"/>
    <n v="0"/>
    <n v="56.99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0463"/>
    <n v="23527953"/>
    <s v="ACC01"/>
    <x v="65"/>
    <d v="2025-08-12T15:01:32"/>
    <s v="0 a 02 dias"/>
    <s v="0 a 02 dias"/>
    <s v="QGMSXY"/>
    <s v="EBOOKING"/>
    <s v="LIMA SODRÉ/EDUARDO"/>
    <s v="Kontrip"/>
    <s v="Kontrip"/>
    <x v="62"/>
    <s v="-"/>
    <s v="-"/>
    <s v="OFF LINE"/>
    <s v="Cartão de crédito"/>
    <s v="Cartão de crédito"/>
    <s v="Aéreo"/>
    <s v="N"/>
    <s v="-"/>
    <s v="Didier, Sodre e Rosa Advocacia e Consultoria"/>
    <s v="-"/>
    <s v="Azul Linhas Aereas"/>
    <n v="862062498"/>
    <s v="KONTRIP"/>
    <s v="-"/>
    <x v="63"/>
    <n v="0"/>
    <n v="0"/>
    <n v="0"/>
    <n v="0"/>
    <n v="0"/>
    <n v="40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0220"/>
    <n v="23527745"/>
    <s v="ACC01"/>
    <x v="66"/>
    <d v="2025-08-12T14:08:28"/>
    <s v="0 a 02 dias"/>
    <s v="0 a 02 dias"/>
    <s v="CQ6HWH"/>
    <s v="EBOOKING"/>
    <s v="DOS SANTOS/RAUL"/>
    <s v="Kontrip"/>
    <s v="Kontrip"/>
    <x v="63"/>
    <s v="-"/>
    <s v="-"/>
    <s v="OFF LINE"/>
    <s v="Cartão de crédito"/>
    <s v="Cartão de crédito"/>
    <s v="Aéreo"/>
    <s v="N"/>
    <s v="Independente"/>
    <s v="Tap Air Portugal"/>
    <s v="-"/>
    <s v="Azul Linhas Aereas"/>
    <n v="402053694"/>
    <s v="KONTRIP"/>
    <s v="-"/>
    <x v="64"/>
    <n v="108.02"/>
    <n v="0"/>
    <n v="0"/>
    <n v="0"/>
    <n v="0"/>
    <n v="120.31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0293"/>
    <n v="23527806"/>
    <s v="ACC01"/>
    <x v="67"/>
    <d v="2025-08-12T14:19:07"/>
    <s v="0 a 02 dias"/>
    <s v="0 a 02 dias"/>
    <s v="WGCOWU"/>
    <s v="EBOOKING"/>
    <s v="OLIVEIRA/MIZAEL"/>
    <s v="Kontrip"/>
    <s v="Kontrip"/>
    <x v="64"/>
    <s v="-"/>
    <s v="-"/>
    <s v="OFF LINE"/>
    <s v="Cartão de crédito"/>
    <s v="Cartão de crédito"/>
    <s v="Aéreo"/>
    <s v="N"/>
    <s v="Independente"/>
    <s v="Tap Air Portugal"/>
    <s v="-"/>
    <s v="Gol Linhas Aereas"/>
    <n v="2143297236"/>
    <s v="KONTRIP"/>
    <s v="-"/>
    <x v="65"/>
    <n v="97.84"/>
    <n v="0"/>
    <n v="143.27000000000001"/>
    <n v="0"/>
    <n v="0"/>
    <n v="15.76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0805"/>
    <n v="23528293"/>
    <s v="ACC01"/>
    <x v="68"/>
    <d v="2025-08-12T16:14:00"/>
    <s v="0 a 02 dias"/>
    <s v="0 a 02 dias"/>
    <s v="IJUNUY"/>
    <s v="EBOOKING"/>
    <s v="OLIVEIRA/MIZAEL"/>
    <s v="Kontrip"/>
    <s v="Kontrip"/>
    <x v="65"/>
    <s v="-"/>
    <s v="-"/>
    <s v="OFF LINE"/>
    <s v="Cartão de crédito"/>
    <s v="Cartão de crédito"/>
    <s v="Aéreo"/>
    <s v="N"/>
    <s v="Independente"/>
    <s v="Tap Air Portugal"/>
    <s v="-"/>
    <s v="Gol Linhas Aereas"/>
    <n v="2143305823"/>
    <s v="KONTRIP"/>
    <s v="-"/>
    <x v="66"/>
    <n v="53.57"/>
    <n v="0"/>
    <n v="53.1"/>
    <n v="0"/>
    <n v="0"/>
    <n v="5.84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0806"/>
    <n v="23528294"/>
    <s v="ACC01"/>
    <x v="69"/>
    <d v="2025-08-12T16:16:16"/>
    <s v="0 a 02 dias"/>
    <s v="0 a 02 dias"/>
    <s v="LA9576369METC"/>
    <s v="EBOOKING"/>
    <s v="OLIVEIRA/MIZAEL"/>
    <s v="Kontrip"/>
    <s v="Kontrip"/>
    <x v="65"/>
    <s v="-"/>
    <s v="-"/>
    <s v="OFF LINE"/>
    <s v="Cartão de crédito"/>
    <s v="Cartão de crédito"/>
    <s v="Aéreo"/>
    <s v="N"/>
    <s v="Independente"/>
    <s v="Tap Air Portugal"/>
    <s v="-"/>
    <s v="Latam Airlines Brasil"/>
    <n v="2245530252"/>
    <s v="KONTRIP"/>
    <s v="-"/>
    <x v="67"/>
    <n v="44.27"/>
    <n v="0"/>
    <n v="46.71"/>
    <n v="0"/>
    <n v="0"/>
    <n v="30.83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8562"/>
    <n v="23526137"/>
    <s v="ACC01"/>
    <x v="70"/>
    <d v="2025-08-12T10:10:12"/>
    <s v="0 a 02 dias"/>
    <s v="0 a 02 dias"/>
    <s v="LA9576468SHXP"/>
    <s v="EBOOKING"/>
    <s v="de Sousa Correia/Renato"/>
    <s v="Kontrip"/>
    <s v="Kontrip"/>
    <x v="66"/>
    <s v="-"/>
    <s v="-"/>
    <s v="OFF LINE"/>
    <s v="Cartão de crédito"/>
    <s v="Cartão de crédito"/>
    <s v="Aéreo"/>
    <s v="N"/>
    <s v="Independente"/>
    <s v="Blood Comunicacao e Eventos Ltda"/>
    <s v="-"/>
    <s v="Latam Airlines Brasil"/>
    <n v="2245466812"/>
    <s v="KONTRIP"/>
    <s v="-"/>
    <x v="68"/>
    <n v="60.62"/>
    <n v="0"/>
    <n v="40"/>
    <n v="0"/>
    <n v="0"/>
    <n v="15.31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32327"/>
    <n v="23529769"/>
    <s v="ACC01"/>
    <x v="71"/>
    <d v="2025-08-12T18:42:52"/>
    <s v="0 a 02 dias"/>
    <s v="0 a 02 dias"/>
    <s v="XGJMGY"/>
    <s v="EBOOKING"/>
    <s v="MELO/Cláudia"/>
    <s v="Kontrip"/>
    <s v="Kontrip"/>
    <x v="67"/>
    <s v="-"/>
    <s v="-"/>
    <s v="OFF LINE"/>
    <s v="Cartão de crédito"/>
    <s v="Cartão de crédito"/>
    <s v="Aéreo"/>
    <s v="N"/>
    <s v="Grupo System Service"/>
    <s v="System Service"/>
    <s v="-"/>
    <s v="Azul Linhas Aereas"/>
    <n v="131492023"/>
    <s v="KONTRIP"/>
    <s v="-"/>
    <x v="69"/>
    <n v="58.89"/>
    <n v="0"/>
    <n v="0"/>
    <n v="0"/>
    <n v="0"/>
    <n v="43.19"/>
    <s v="obs"/>
    <s v="Não foi possível encontrar configuração válida para Administradora de código 1 e Data Emissão 11/08/2025"/>
    <s v="KONTRIP"/>
    <s v="Não identificado"/>
    <s v="Análise Benner"/>
    <s v="Sistema"/>
    <s v="Qualidade dos dados"/>
    <s v="KONTRIP VIAGENS"/>
  </r>
  <r>
    <n v="22732986"/>
    <n v="23530385"/>
    <s v="ACC01"/>
    <x v="72"/>
    <d v="2025-08-12T19:57:42"/>
    <s v="0 a 02 dias"/>
    <s v="0 a 02 dias"/>
    <s v="SWHZRA"/>
    <s v="EBOOKING"/>
    <s v="MELO/Cláudia"/>
    <s v="Kontrip"/>
    <s v="Kontrip"/>
    <x v="68"/>
    <s v="-"/>
    <s v="-"/>
    <s v="OFF LINE"/>
    <s v="Cartão de crédito"/>
    <s v="Cartão de crédito"/>
    <s v="Aéreo"/>
    <s v="N"/>
    <s v="Grupo System Service"/>
    <s v="System Service"/>
    <s v="-"/>
    <s v="Azul Linhas Aereas"/>
    <n v="240455122"/>
    <s v="KONTRIP"/>
    <s v="-"/>
    <x v="70"/>
    <n v="33.64"/>
    <n v="0"/>
    <n v="0"/>
    <n v="0"/>
    <n v="0"/>
    <n v="57.04"/>
    <s v="obs"/>
    <s v="Não foi possível encontrar configuração válida para Administradora de código 1 e Data Emissão 12/08/2025"/>
    <s v="KONTRIP"/>
    <s v="Não identificado"/>
    <s v="Análise Benner"/>
    <s v="Sistema"/>
    <s v="Qualidade dos dados"/>
    <s v="KONTRIP VIAGENS"/>
  </r>
  <r>
    <n v="22728131"/>
    <n v="23525761"/>
    <s v="ACC01"/>
    <x v="73"/>
    <d v="2025-08-13T05:21:09"/>
    <s v="0 a 02 dias"/>
    <s v="0 a 02 dias"/>
    <s v="QDOZKUT"/>
    <s v="SABRE"/>
    <s v="TABET/MARIANA"/>
    <s v="Nathalia dos Santos Batista"/>
    <s v="Nathalia dos Santos Batista"/>
    <x v="69"/>
    <s v="QDOZKU"/>
    <s v="-"/>
    <s v="ON LINE"/>
    <s v="Cartão de crédito"/>
    <s v="Cartão de crédito"/>
    <s v="Hotel"/>
    <s v="N"/>
    <s v="Grupo Avaya"/>
    <s v="Avaya Brasil Ltda"/>
    <s v="Cliente FEE no POS"/>
    <s v="Camino Real Polanco Mexico"/>
    <s v="-"/>
    <s v="FCM-OPE-SAO-PVI-BTC-CONCUR-AVAYA"/>
    <s v="-"/>
    <x v="71"/>
    <n v="1460"/>
    <n v="0"/>
    <n v="0"/>
    <n v="0"/>
    <n v="0"/>
    <n v="12.2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728037"/>
    <n v="23525690"/>
    <s v="ACC01"/>
    <x v="74"/>
    <d v="2025-08-12T08:24:51"/>
    <s v="0 a 02 dias"/>
    <s v="0 a 02 dias"/>
    <s v="YLWOQMC"/>
    <s v="SABRE"/>
    <s v="BUTTON/PAULO ALVARO NANTES MR"/>
    <s v="WS"/>
    <s v="WS"/>
    <x v="70"/>
    <s v="YLWOQM"/>
    <s v="REC"/>
    <s v="ON LINE"/>
    <s v="Invoice"/>
    <s v="Faturado"/>
    <s v="Carro"/>
    <s v="N"/>
    <s v="Grupo Axa"/>
    <s v="Axa Cs - Inativo"/>
    <s v="Cliente FEE no POS"/>
    <s v="Avis - Br - Pe - Recife - Ibura"/>
    <s v="-"/>
    <s v="FCM-OPE-SAO-PVI-BTC-CONCUR-AXA"/>
    <s v="-"/>
    <x v="72"/>
    <n v="155.28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2729991"/>
    <n v="23527516"/>
    <s v="ACC01"/>
    <x v="75"/>
    <d v="2025-08-13T05:21:10"/>
    <s v="0 a 02 dias"/>
    <s v="0 a 02 dias"/>
    <s v="HNSZFJT"/>
    <s v="SABRE"/>
    <s v="BUTTON/PAULO ALVARO NANTES MR"/>
    <s v="WS"/>
    <s v="WS"/>
    <x v="71"/>
    <s v="HNSZFJ"/>
    <s v="-"/>
    <s v="ON LINE"/>
    <s v="Cartão de crédito"/>
    <s v="Cartão de crédito"/>
    <s v="Hotel"/>
    <s v="N"/>
    <s v="Grupo Axa"/>
    <s v="Axa Cs - Inativo"/>
    <s v="Cliente FEE no POS"/>
    <s v="Mar Hotel Conventions"/>
    <s v="-"/>
    <s v="FCM-OPE-SAO-PVI-BTC-CONCUR-AXA"/>
    <s v="-"/>
    <x v="73"/>
    <n v="52"/>
    <n v="0"/>
    <n v="0"/>
    <n v="0"/>
    <n v="0"/>
    <n v="21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2729992"/>
    <n v="23527518"/>
    <s v="ACC01"/>
    <x v="76"/>
    <d v="2025-08-13T05:21:10"/>
    <s v="0 a 02 dias"/>
    <s v="0 a 02 dias"/>
    <s v="OSJXFKT"/>
    <s v="SABRE"/>
    <s v="BUTTON/PAULO ALVARO NANTES MR"/>
    <s v="WS"/>
    <s v="WS"/>
    <x v="72"/>
    <s v="OSJXFK"/>
    <s v="-"/>
    <s v="ON LINE"/>
    <s v="Cartão de crédito"/>
    <s v="Cartão de crédito"/>
    <s v="Hotel"/>
    <s v="N"/>
    <s v="Grupo Axa"/>
    <s v="Axa Cs - Inativo"/>
    <s v="Cliente FEE no POS"/>
    <s v="-"/>
    <s v="-"/>
    <s v="FCM-OPE-SAO-PVI-BTC-CONCUR-AXA"/>
    <s v="-"/>
    <x v="74"/>
    <n v="21.68"/>
    <n v="0"/>
    <n v="0"/>
    <n v="0"/>
    <n v="0"/>
    <n v="21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2729993"/>
    <n v="23527519"/>
    <s v="ACC01"/>
    <x v="77"/>
    <d v="2025-08-13T05:21:11"/>
    <s v="0 a 02 dias"/>
    <s v="0 a 02 dias"/>
    <s v="OTACEJT"/>
    <s v="SABRE"/>
    <s v="BUTTON/PAULO ALVARO NANTES MR"/>
    <s v="WS"/>
    <s v="WS"/>
    <x v="73"/>
    <s v="OTACEJ"/>
    <s v="-"/>
    <s v="ON LINE"/>
    <s v="Cartão de crédito"/>
    <s v="Cartão de crédito"/>
    <s v="Hotel"/>
    <s v="N"/>
    <s v="Grupo Axa"/>
    <s v="Axa Cs - Inativo"/>
    <s v="Cliente FEE no POS"/>
    <s v="Mar Hotel Conventions"/>
    <s v="-"/>
    <s v="FCM-OPE-SAO-PVI-BTC-CONCUR-AXA"/>
    <s v="-"/>
    <x v="75"/>
    <n v="12"/>
    <n v="0"/>
    <n v="0"/>
    <n v="0"/>
    <n v="0"/>
    <n v="21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2702991"/>
    <n v="23505110"/>
    <s v="ACC01"/>
    <x v="78"/>
    <d v="2025-08-07T18:28:30"/>
    <s v="06 a 08 dias"/>
    <s v="06 a 08 dias"/>
    <s v="QHUXOS"/>
    <s v="SABRE"/>
    <s v="GOMEZ JORDAN/MATEO"/>
    <s v="Itamar de Souza"/>
    <s v="Karen Aparecida Ferreira"/>
    <x v="74"/>
    <s v="QHUXOS"/>
    <s v="-"/>
    <s v="ON LINE"/>
    <s v="?"/>
    <s v="TKT"/>
    <s v="Aéreo"/>
    <s v="N"/>
    <s v="Grupo Honeywell"/>
    <s v="Honeywell"/>
    <s v="Cliente FEE no POS"/>
    <s v="Latam Airlines Brasil"/>
    <n v="2971622841"/>
    <s v="FCM-OPE-SAO-PVI-BTC-CONCUR-HONEYWELL"/>
    <s v="-"/>
    <x v="19"/>
    <n v="0"/>
    <n v="450"/>
    <n v="0"/>
    <n v="17.88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60650"/>
    <n v="23469373"/>
    <s v="ACC01"/>
    <x v="79"/>
    <d v="2025-08-01T05:26:09"/>
    <s v="09 a 15 dias"/>
    <s v="09 a 15 dias"/>
    <s v="KTWYDMT"/>
    <s v="SABRE"/>
    <s v="GUALBINO/DANILO EDSON MR"/>
    <s v="Karen Aparecida Ferreira"/>
    <s v="Karen Aparecida Ferreira"/>
    <x v="75"/>
    <s v="KTWYDM"/>
    <s v="-"/>
    <s v="OFF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76"/>
    <n v="60.36"/>
    <n v="0"/>
    <n v="0"/>
    <n v="0"/>
    <n v="0"/>
    <n v="55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2719"/>
    <n v="23530143"/>
    <s v="ACC01"/>
    <x v="80"/>
    <d v="2025-08-12T19:12:29"/>
    <s v="0 a 02 dias"/>
    <s v="0 a 02 dias"/>
    <s v="QLVOIKT"/>
    <s v="SABRE"/>
    <s v="SALLES SR/ELVIS CARLOS DE SOUSA MR"/>
    <s v="Eliane da Silva Souza Paula"/>
    <s v="Eliane da Silva Souza Paula"/>
    <x v="76"/>
    <s v="QLVOIK"/>
    <s v="-"/>
    <s v="ON LINE"/>
    <s v="Invoice"/>
    <s v="Faturado"/>
    <s v="Hotel"/>
    <s v="N"/>
    <s v="Grupo Honeywell"/>
    <s v="Essex Hornets Brazil Ltda."/>
    <s v="-"/>
    <s v="-"/>
    <s v="-"/>
    <s v="FCM-OPE-SAO-PVI-BTC-CONCUR-HONEYWELL"/>
    <s v="-"/>
    <x v="77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667753"/>
    <n v="23475551"/>
    <s v="ACC01"/>
    <x v="81"/>
    <d v="2025-08-01T19:30:17"/>
    <s v="09 a 15 dias"/>
    <s v="09 a 15 dias"/>
    <s v="IRMFBJC"/>
    <s v="SABRE"/>
    <s v="ROCHA/CLEBER DOS SANTOS SIR"/>
    <s v="WS"/>
    <s v="WS"/>
    <x v="77"/>
    <s v="IRMFBJ"/>
    <s v="FLN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78"/>
    <n v="92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0858"/>
    <n v="23528340"/>
    <s v="ACC01"/>
    <x v="82"/>
    <d v="2025-08-13T05:04:09"/>
    <s v="0 a 02 dias"/>
    <s v="0 a 02 dias"/>
    <s v="OOEHUN"/>
    <s v="SABRE"/>
    <s v="VIEIRA AGUIAR/LETICIA"/>
    <s v="Itamar de Souza"/>
    <s v="WS"/>
    <x v="78"/>
    <s v="OOEHUN"/>
    <s v="-"/>
    <s v="ON LINE"/>
    <s v="Cartão de crédito"/>
    <s v="Cartão de crédito"/>
    <s v="Aéreo"/>
    <s v="N"/>
    <s v="Grupo Honeywell"/>
    <s v="Honeywell"/>
    <s v="Cliente FEE no POS"/>
    <s v="Latam Airlines Brasil"/>
    <n v="2971612570"/>
    <s v="FCM-OPE-SAO-PVI-BTC-CONCUR-HONEYWELL"/>
    <s v="-"/>
    <x v="79"/>
    <n v="120.57"/>
    <n v="0"/>
    <n v="0"/>
    <n v="120.57"/>
    <n v="0"/>
    <n v="38"/>
    <s v="Reserva importada por HubTravel"/>
    <s v="Falta informar o status no trecho da accounting aérea (Bilhete: 2971612570)"/>
    <s v="SABRE"/>
    <s v="Falta informação nos trechos"/>
    <s v="Atualização de Trechos"/>
    <s v="Dados do Fornecedor"/>
    <s v="Qualidade dos dados"/>
    <s v="KONTIK BUSINESS TRAVEL"/>
  </r>
  <r>
    <n v="22730858"/>
    <n v="23528341"/>
    <s v="ACC02"/>
    <x v="82"/>
    <d v="2025-08-13T05:04:09"/>
    <s v="0 a 02 dias"/>
    <s v="0 a 02 dias"/>
    <s v="OOEHUN"/>
    <s v="SABRE"/>
    <s v="VIEIRA AGUIAR/LETICIA"/>
    <s v="Itamar de Souza"/>
    <s v="WS"/>
    <x v="78"/>
    <s v="OOEHUN"/>
    <s v="-"/>
    <s v="ON LINE"/>
    <s v="Cartão de crédito"/>
    <s v="Cartão de crédito"/>
    <s v="Aéreo"/>
    <s v="N"/>
    <s v="Grupo Honeywell"/>
    <s v="Honeywell"/>
    <s v="Cliente FEE no POS"/>
    <s v="Latam Airlines Brasil"/>
    <n v="2971612570"/>
    <s v="FCM-OPE-SAO-PVI-BTC-CONCUR-HONEYWELL"/>
    <s v="-"/>
    <x v="19"/>
    <n v="0"/>
    <n v="0"/>
    <n v="0"/>
    <n v="0"/>
    <n v="0"/>
    <n v="0"/>
    <s v="Reserva importada por HubTravel"/>
    <s v="Falta informar o status no trecho da accounting aérea (Bilhete: 2971612570)"/>
    <s v="SABRE"/>
    <s v="Falta informação nos trechos"/>
    <s v="Atualização de Trechos"/>
    <s v="Dados do Fornecedor"/>
    <s v="Qualidade dos dados"/>
    <s v="KONTIK BUSINESS TRAVEL"/>
  </r>
  <r>
    <n v="22730875"/>
    <n v="23528365"/>
    <s v="ACC01"/>
    <x v="83"/>
    <d v="2025-08-12T16:21:20"/>
    <s v="0 a 02 dias"/>
    <s v="0 a 02 dias"/>
    <s v="SIRVJQ"/>
    <s v="SABRE"/>
    <s v="LOUZAVIO/WILLIAN GUERRA"/>
    <s v="Beatrys Ferreira Rocha"/>
    <s v="WS"/>
    <x v="79"/>
    <s v="SIRVJQ"/>
    <s v="-"/>
    <s v="ON LINE"/>
    <s v="Invoice"/>
    <s v="Faturado"/>
    <s v="Aéreo"/>
    <s v="N"/>
    <s v="Grupo Honeywell"/>
    <s v="Honeywell"/>
    <s v="Cliente FEE no POS"/>
    <s v="Latam Airlines Brasil"/>
    <n v="9783240000"/>
    <s v="FCM-OPE-SAO-PVI-BTC-CONCUR-HONEYWELL"/>
    <s v="-"/>
    <x v="80"/>
    <n v="55.65"/>
    <n v="136.28"/>
    <n v="0"/>
    <n v="55.65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30875"/>
    <n v="23528366"/>
    <s v="ACC02"/>
    <x v="83"/>
    <d v="2025-08-12T16:21:20"/>
    <s v="0 a 02 dias"/>
    <s v="0 a 02 dias"/>
    <s v="SIRVJQ"/>
    <s v="SABRE"/>
    <s v="LOUZAVIO/WILLIAN GUERRA"/>
    <s v="Beatrys Ferreira Rocha"/>
    <s v="WS"/>
    <x v="79"/>
    <s v="SIRVJQ"/>
    <s v="-"/>
    <s v="ON LINE"/>
    <s v="?"/>
    <s v="TKT"/>
    <s v="Aéreo"/>
    <s v="N"/>
    <s v="Grupo Honeywell"/>
    <s v="Honeywell"/>
    <s v="Cliente FEE no POS"/>
    <s v="Latam Airlines Brasil"/>
    <n v="9783240000"/>
    <s v="FCM-OPE-SAO-PVI-BTC-CONCUR-HONEYWELL"/>
    <s v="-"/>
    <x v="19"/>
    <n v="3.89"/>
    <n v="0"/>
    <n v="0"/>
    <n v="3.89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63510"/>
    <n v="23471555"/>
    <s v="ACC01"/>
    <x v="84"/>
    <d v="2025-08-01T10:21:12"/>
    <s v="09 a 15 dias"/>
    <s v="09 a 15 dias"/>
    <s v="CKJQDBC"/>
    <s v="SABRE"/>
    <s v="FALASQUI/LUIS EDUARDO MR"/>
    <s v="WS"/>
    <s v="WS"/>
    <x v="80"/>
    <s v="CKJQDB"/>
    <s v="MAO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81"/>
    <n v="82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8099"/>
    <n v="23525736"/>
    <s v="ACC01"/>
    <x v="85"/>
    <d v="2025-08-13T05:03:52"/>
    <s v="0 a 02 dias"/>
    <s v="0 a 02 dias"/>
    <s v="OKPGEAT"/>
    <s v="SABRE"/>
    <s v="AGUIAR/DORIVALDO GONCALVES"/>
    <s v="WS"/>
    <s v="WS"/>
    <x v="81"/>
    <s v="OKPGEA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82"/>
    <n v="20.7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66098"/>
    <n v="23473958"/>
    <s v="ACC01"/>
    <x v="86"/>
    <d v="2025-08-01T17:16:01"/>
    <s v="09 a 15 dias"/>
    <s v="09 a 15 dias"/>
    <s v="YIHDQEC"/>
    <s v="SABRE"/>
    <s v="SANTOS/AILTON RIBEIRO DOS MR"/>
    <s v="WS"/>
    <s v="WS"/>
    <x v="82"/>
    <s v="YIHDQE"/>
    <s v="CWB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83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1544"/>
    <n v="23503697"/>
    <s v="ACC01"/>
    <x v="87"/>
    <d v="2025-08-07T15:18:17"/>
    <s v="06 a 08 dias"/>
    <s v="06 a 08 dias"/>
    <s v="KYNHEFC"/>
    <s v="SABRE"/>
    <s v="SANTOS I/PATRICIA MS"/>
    <s v="WS"/>
    <s v="WS"/>
    <x v="83"/>
    <s v="KYNHEF"/>
    <s v="GRU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83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6110"/>
    <n v="23489886"/>
    <s v="ACC01"/>
    <x v="88"/>
    <d v="2025-08-05T16:06:19"/>
    <s v="06 a 08 dias"/>
    <s v="06 a 08 dias"/>
    <s v="ISLQTUC"/>
    <s v="SABRE"/>
    <s v="ROCHA/CLEBER DOS SANTOS SIR"/>
    <s v="WS"/>
    <s v="WS"/>
    <x v="84"/>
    <s v="ISLQTU"/>
    <s v="FOR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84"/>
    <n v="100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0908"/>
    <n v="23519319"/>
    <s v="ACC01"/>
    <x v="89"/>
    <d v="2025-08-12T05:06:25"/>
    <s v="0 a 02 dias"/>
    <s v="0 a 02 dias"/>
    <s v="CURRLRT"/>
    <s v="SABRE"/>
    <s v="MONTEALEGRE/MATEO MR"/>
    <s v="WS"/>
    <s v="WS"/>
    <x v="85"/>
    <s v="CURRLR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85"/>
    <n v="1326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63266"/>
    <n v="23471354"/>
    <s v="ACC01"/>
    <x v="90"/>
    <d v="2025-08-02T04:18:35"/>
    <s v="09 a 15 dias"/>
    <s v="09 a 15 dias"/>
    <s v="YQFUMC"/>
    <s v="GOVER"/>
    <s v="GRACE CHINEN HIGA"/>
    <s v="Gover"/>
    <s v="Gover"/>
    <x v="86"/>
    <n v="4575595"/>
    <s v="-"/>
    <s v="ON LINE"/>
    <s v="Invoice"/>
    <s v="Cartão convênio"/>
    <s v="Aéreo"/>
    <s v="N"/>
    <s v="Grupo Icon"/>
    <s v="Rps"/>
    <s v="Cliente FEE no POS"/>
    <s v="Latam Airlines Brasil"/>
    <n v="2243830150"/>
    <s v="FCM-OPE-SAO-PVI-BTC-PRA/RPS"/>
    <s v="-"/>
    <x v="86"/>
    <n v="80.37"/>
    <n v="0"/>
    <n v="0"/>
    <n v="0"/>
    <n v="0"/>
    <n v="0"/>
    <s v="Reserva importada do sistema Gover. Id: 4575595"/>
    <s v="8914890/6016184&quot; possui uma transação de cartão efetivada"/>
    <s v="GOVER"/>
    <s v="Conciliação de Cartão"/>
    <s v="Financeiro Conciliado"/>
    <s v="Edição não Permitida"/>
    <s v="Processo Operacional"/>
    <s v="GRUPO KONTIK"/>
  </r>
  <r>
    <n v="22130785"/>
    <n v="23011274"/>
    <s v="ACC01"/>
    <x v="91"/>
    <d v="2025-08-06T11:55:28"/>
    <s v="06 a 08 dias"/>
    <s v="31 dias ou +"/>
    <n v="1545065602"/>
    <s v="MANUAL"/>
    <s v="ADRIANA BRENTANO"/>
    <s v="Gover"/>
    <s v="Gover"/>
    <x v="87"/>
    <n v="4401013"/>
    <s v="-"/>
    <s v="OFF LINE"/>
    <s v="Invoice"/>
    <s v="Faturado"/>
    <s v="Hotel"/>
    <s v="S"/>
    <s v="Grupo Icon"/>
    <s v="Pra"/>
    <s v="Cliente FEE no POS"/>
    <s v="Cozzy Suites Paraiso Hotel"/>
    <s v="-"/>
    <s v="FCM-OPE-SAO-PVI-BTC-PRA/RPS"/>
    <s v="-"/>
    <x v="87"/>
    <n v="0"/>
    <n v="0"/>
    <n v="0"/>
    <n v="0"/>
    <n v="0"/>
    <n v="57"/>
    <s v="Reserva importada do sistema Gover. Id: 4401013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2709862"/>
    <n v="23511217"/>
    <s v="ACC01"/>
    <x v="92"/>
    <d v="2025-08-08T18:15:44"/>
    <s v="03 a 05 dias"/>
    <s v="03 a 05 dias"/>
    <n v="19505224"/>
    <s v="GOVER"/>
    <s v="FLÁVIA VAZ DE SOUZA"/>
    <s v="Gover"/>
    <s v="Gover"/>
    <x v="88"/>
    <n v="4579588"/>
    <s v="-"/>
    <s v="ON LINE"/>
    <s v="Pagamento direto"/>
    <s v="Pagamento direto"/>
    <s v="Hotel"/>
    <s v="N"/>
    <s v="Grupo Icon"/>
    <s v="Rps"/>
    <s v="Cliente FEE no POS"/>
    <s v="Travel Inn Wise Indaiatuba"/>
    <s v="-"/>
    <s v="FCM-OPE-SAO-PVI-BTC-PRA/RPS"/>
    <s v="-"/>
    <x v="88"/>
    <n v="27"/>
    <n v="0"/>
    <n v="0"/>
    <n v="0"/>
    <n v="0"/>
    <n v="0"/>
    <s v="Reserva importada do sistema Gover. Id: 4579588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21365"/>
    <n v="23519727"/>
    <s v="ACC01"/>
    <x v="93"/>
    <d v="2025-08-11T10:52:02"/>
    <s v="0 a 02 dias"/>
    <s v="0 a 02 dias"/>
    <n v="19514619"/>
    <s v="GOVER"/>
    <s v="VIVIANE ANDRADE"/>
    <s v="Gover"/>
    <s v="Gover"/>
    <x v="89"/>
    <n v="4579900"/>
    <s v="-"/>
    <s v="ON LINE"/>
    <s v="Pagamento direto"/>
    <s v="Pagamento direto"/>
    <s v="Hotel"/>
    <s v="N"/>
    <s v="Grupo Icon"/>
    <s v="Rps"/>
    <s v="Cliente FEE no POS"/>
    <s v="Hilton Garden Inn Sao Jose do Rio Preto"/>
    <s v="-"/>
    <s v="FCM-OPE-SAO-PVI-BTC-PRA/RPS"/>
    <s v="-"/>
    <x v="89"/>
    <n v="14.04"/>
    <n v="0"/>
    <n v="0"/>
    <n v="0"/>
    <n v="0"/>
    <n v="0"/>
    <s v="Reserva importada do sistema Gover. Id: 4579900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30862"/>
    <n v="23528345"/>
    <s v="ACC01"/>
    <x v="94"/>
    <d v="2025-08-12T16:21:18"/>
    <s v="0 a 02 dias"/>
    <s v="0 a 02 dias"/>
    <s v="WMDZHS"/>
    <s v="SABRE"/>
    <s v="MENDONCA/FELIPE"/>
    <s v="Beatrys Ferreira Rocha"/>
    <s v="Karen Aparecida Ferreira"/>
    <x v="60"/>
    <s v="WMDZHS"/>
    <s v="-"/>
    <s v="ON LINE"/>
    <s v="Cartão de crédito"/>
    <s v="Cartão de crédito"/>
    <s v="Aéreo"/>
    <s v="N"/>
    <s v="Grupo Jti"/>
    <s v="Jti Distribuidora - Sao Paulo - Vila Nova Conceicao"/>
    <s v="-"/>
    <s v="Swiss"/>
    <n v="2971262605"/>
    <s v="FCM-OPE-SAO-PVI-JTI"/>
    <s v="-"/>
    <x v="90"/>
    <n v="59.54"/>
    <n v="778.51"/>
    <n v="0"/>
    <n v="59.54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29470"/>
    <n v="23527022"/>
    <s v="ACC01"/>
    <x v="95"/>
    <d v="2025-08-12T12:55:26"/>
    <s v="0 a 02 dias"/>
    <s v="0 a 02 dias"/>
    <s v="5GF308"/>
    <s v="TMS"/>
    <s v="CLAY REGAZZONNI TELES"/>
    <s v="Tms"/>
    <s v="Tms"/>
    <x v="90"/>
    <n v="8053"/>
    <s v="Salvador / SSA"/>
    <s v="ON LINE"/>
    <s v="Invoice"/>
    <s v="Faturado"/>
    <s v="Carro"/>
    <s v="N"/>
    <s v="Grupo Mars"/>
    <s v="Mars Brasil - Mogi Mirim"/>
    <s v="-"/>
    <s v="-"/>
    <s v="-"/>
    <s v="FCM-OPE-SAO-PVI-MARS"/>
    <s v="-"/>
    <x v="91"/>
    <n v="0"/>
    <n v="0"/>
    <n v="0"/>
    <n v="0"/>
    <n v="0"/>
    <n v="0"/>
    <s v="Reserva importada do Sistema TMS. OS: 8053"/>
    <s v="Fornecedor não preenchido! (ACC01)"/>
    <s v="ARGO(TMS)"/>
    <s v="Falta de Fornecedor"/>
    <s v="Campo Fornecedor"/>
    <s v="Dados do Fornecedor"/>
    <s v="Qualidade dos dados"/>
    <s v="KONTIK BUSINESS TRAVEL"/>
  </r>
  <r>
    <n v="22729471"/>
    <n v="23527023"/>
    <s v="ACC01"/>
    <x v="96"/>
    <d v="2025-08-12T12:55:26"/>
    <s v="0 a 02 dias"/>
    <s v="0 a 02 dias"/>
    <s v="5GT3MK"/>
    <s v="TMS"/>
    <s v="CLARA BARIN"/>
    <s v="Tms"/>
    <s v="Tms"/>
    <x v="91"/>
    <n v="8046"/>
    <s v="Joinville / JOI"/>
    <s v="ON LINE"/>
    <s v="Invoice"/>
    <s v="Faturado"/>
    <s v="Carro"/>
    <s v="N"/>
    <s v="Grupo Mars"/>
    <s v="Mars Brasil - Mogi Mirim"/>
    <s v="-"/>
    <s v="-"/>
    <s v="-"/>
    <s v="FCM-OPE-SAO-PVI-MARS"/>
    <s v="-"/>
    <x v="92"/>
    <n v="0"/>
    <n v="0"/>
    <n v="0"/>
    <n v="0"/>
    <n v="0"/>
    <n v="0"/>
    <s v="Reserva importada do Sistema TMS. OS: 8046"/>
    <s v="Fornecedor não preenchido! (ACC01)"/>
    <s v="ARGO(TMS)"/>
    <s v="Falta de Fornecedor"/>
    <s v="Campo Fornecedor"/>
    <s v="Dados do Fornecedor"/>
    <s v="Qualidade dos dados"/>
    <s v="KONTIK BUSINESS TRAVEL"/>
  </r>
  <r>
    <n v="22729475"/>
    <n v="23527026"/>
    <s v="ACC01"/>
    <x v="97"/>
    <d v="2025-08-12T12:55:26"/>
    <s v="0 a 02 dias"/>
    <s v="0 a 02 dias"/>
    <s v="5GUDBK"/>
    <s v="TMS"/>
    <s v="NATALIA FARIA"/>
    <s v="Tms"/>
    <s v="Tms"/>
    <x v="92"/>
    <n v="8030"/>
    <s v="Campinas / VCP"/>
    <s v="ON LINE"/>
    <s v="Invoice"/>
    <s v="Faturado"/>
    <s v="Carro"/>
    <s v="N"/>
    <s v="Grupo Mars"/>
    <s v="Mars Brasil - Guararema"/>
    <s v="-"/>
    <s v="-"/>
    <s v="-"/>
    <s v="FCM-OPE-SAO-PVI-MARS"/>
    <s v="-"/>
    <x v="93"/>
    <n v="0"/>
    <n v="0"/>
    <n v="0"/>
    <n v="0"/>
    <n v="0"/>
    <n v="0"/>
    <s v="Reserva importada do Sistema TMS. OS: 8030"/>
    <s v="Fornecedor não preenchido! (ACC01)"/>
    <s v="ARGO(TMS)"/>
    <s v="Falta de Fornecedor"/>
    <s v="Campo Fornecedor"/>
    <s v="Dados do Fornecedor"/>
    <s v="Qualidade dos dados"/>
    <s v="KONTIK BUSINESS TRAVEL"/>
  </r>
  <r>
    <n v="22731569"/>
    <n v="23529033"/>
    <s v="ACC01"/>
    <x v="98"/>
    <d v="2025-08-12T18:19:14"/>
    <s v="0 a 02 dias"/>
    <s v="0 a 02 dias"/>
    <s v="5G87VI"/>
    <s v="LEMONTECH"/>
    <s v="FERNANDA DOS SANTOS PISKE"/>
    <s v="Ana Cristina Neto de Almeida"/>
    <s v="Ana Cristina Neto de Almeida"/>
    <x v="93"/>
    <n v="17272386"/>
    <s v="-"/>
    <s v="OFF LINE"/>
    <s v="Invoice"/>
    <s v="Faturado"/>
    <s v="Serviço"/>
    <s v="N"/>
    <s v="Grupo Lojas Renner"/>
    <s v="Youcom"/>
    <s v="-"/>
    <s v="-"/>
    <s v="-"/>
    <s v="KON-OPE-RIO-PVI-RENNER"/>
    <s v="-"/>
    <x v="94"/>
    <n v="8.32"/>
    <n v="9.9499999999999993"/>
    <n v="0"/>
    <n v="0"/>
    <n v="0"/>
    <n v="0"/>
    <s v="Reserva importada do Sistema Lemontech. Solicitação: 17272386"/>
    <s v="Fornecedor não preenchido! (ACC01)"/>
    <s v="LEMONTECH"/>
    <s v="Falta de Fornecedor"/>
    <s v="Campo Fornecedor"/>
    <s v="Dados do Fornecedor"/>
    <s v="Qualidade dos dados"/>
    <s v="KONTIK BUSINESS TRAVEL"/>
  </r>
  <r>
    <n v="22731572"/>
    <n v="23529034"/>
    <s v="ACC01"/>
    <x v="99"/>
    <d v="2025-08-12T18:19:15"/>
    <s v="0 a 02 dias"/>
    <s v="0 a 02 dias"/>
    <s v="5GPI4I"/>
    <s v="LEMONTECH"/>
    <s v="FERNANDA DOS SANTOS PISKE"/>
    <s v="Ana Cristina Neto de Almeida"/>
    <s v="Ana Cristina Neto de Almeida"/>
    <x v="94"/>
    <n v="17272386"/>
    <s v="-"/>
    <s v="OFF LINE"/>
    <s v="Invoice"/>
    <s v="Faturado"/>
    <s v="Serviço"/>
    <s v="N"/>
    <s v="Grupo Lojas Renner"/>
    <s v="Youcom"/>
    <s v="-"/>
    <s v="-"/>
    <s v="-"/>
    <s v="KON-OPE-RIO-PVI-RENNER"/>
    <s v="-"/>
    <x v="95"/>
    <n v="9.08"/>
    <n v="9.9499999999999993"/>
    <n v="0"/>
    <n v="0"/>
    <n v="0"/>
    <n v="0"/>
    <s v="Reserva importada do Sistema Lemontech. Solicitação: 17272386"/>
    <s v="Fornecedor não preenchido! (ACC01)"/>
    <s v="LEMONTECH"/>
    <s v="Falta de Fornecedor"/>
    <s v="Campo Fornecedor"/>
    <s v="Dados do Fornecedor"/>
    <s v="Qualidade dos dados"/>
    <s v="KONTIK BUSINESS TRAVEL"/>
  </r>
  <r>
    <n v="22731108"/>
    <n v="23528597"/>
    <s v="ACC01"/>
    <x v="100"/>
    <d v="2025-08-12T17:07:03"/>
    <s v="0 a 02 dias"/>
    <s v="0 a 02 dias"/>
    <s v="5GP8CK"/>
    <s v="LEMONTECH"/>
    <s v="CAMPOS/LEANDRO"/>
    <s v="Vitoria Silva Lopes"/>
    <s v="Vitoria Silva Lopes"/>
    <x v="95"/>
    <n v="1726971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6"/>
    <n v="0"/>
    <n v="0"/>
    <n v="0"/>
    <n v="0"/>
    <n v="0"/>
    <n v="0"/>
    <s v="Reserva importada do Sistema Lemontech. Solicitação: 17269714"/>
    <s v="Fornecedor não preenchido! (ACC01)"/>
    <s v="LEMONTECH"/>
    <s v="Falta de Fornecedor"/>
    <s v="Campo Fornecedor"/>
    <s v="Dados do Fornecedor"/>
    <s v="Qualidade dos dados"/>
    <s v="KONTIK BUSINESS TRAVEL"/>
  </r>
  <r>
    <n v="22730195"/>
    <n v="23527713"/>
    <s v="ACC01"/>
    <x v="101"/>
    <d v="2025-08-12T14:06:46"/>
    <s v="0 a 02 dias"/>
    <s v="0 a 02 dias"/>
    <s v="5G4IWK"/>
    <s v="LEMONTECH"/>
    <s v="LUIS GUSTAVO MARQUES SERAFIM"/>
    <s v="Vitoria Silva Lopes"/>
    <s v="Vitoria Silva Lopes"/>
    <x v="96"/>
    <n v="17262512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7"/>
    <n v="29.15"/>
    <n v="10.95"/>
    <n v="0"/>
    <n v="0"/>
    <n v="0"/>
    <n v="0"/>
    <s v="Reserva importada do Sistema Lemontech. Solicitação: 17262512"/>
    <s v="Fornecedor não preenchido! (ACC01)"/>
    <s v="LEMONTECH"/>
    <s v="Falta de Fornecedor"/>
    <s v="Campo Fornecedor"/>
    <s v="Dados do Fornecedor"/>
    <s v="Qualidade dos dados"/>
    <s v="KONTIK BUSINESS TRAVEL"/>
  </r>
  <r>
    <n v="22730196"/>
    <n v="23527714"/>
    <s v="ACC01"/>
    <x v="102"/>
    <d v="2025-08-12T14:06:47"/>
    <s v="0 a 02 dias"/>
    <s v="0 a 02 dias"/>
    <s v="5GT828"/>
    <s v="LEMONTECH"/>
    <s v="LUIS GUSTAVO MARQUES SERAFIM"/>
    <s v="Vitoria Silva Lopes"/>
    <s v="Vitoria Silva Lopes"/>
    <x v="97"/>
    <n v="17262512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8"/>
    <n v="25.07"/>
    <n v="9.9499999999999993"/>
    <n v="0"/>
    <n v="0"/>
    <n v="0"/>
    <n v="0"/>
    <s v="Reserva importada do Sistema Lemontech. Solicitação: 17262512"/>
    <s v="Fornecedor não preenchido! (ACC01)"/>
    <s v="LEMONTECH"/>
    <s v="Falta de Fornecedor"/>
    <s v="Campo Fornecedor"/>
    <s v="Dados do Fornecedor"/>
    <s v="Qualidade dos dados"/>
    <s v="KONTIK BUSINESS TRAVEL"/>
  </r>
  <r>
    <n v="22729095"/>
    <n v="23526657"/>
    <s v="ACC01"/>
    <x v="103"/>
    <d v="2025-08-12T12:06:21"/>
    <s v="0 a 02 dias"/>
    <s v="0 a 02 dias"/>
    <s v="5G1W8U"/>
    <s v="LEMONTECH"/>
    <s v="HARUMI BARRANCO/ANA"/>
    <s v="Vitoria Silva Lopes"/>
    <s v="Vitoria Silva Lopes"/>
    <x v="0"/>
    <n v="1724412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99"/>
    <n v="0"/>
    <n v="0"/>
    <n v="0"/>
    <n v="0"/>
    <n v="0"/>
    <n v="0"/>
    <s v="Reserva importada do Sistema Lemontech. Solicitação: 17244126"/>
    <s v="Fornecedor não preenchido! (ACC01)"/>
    <s v="LEMONTECH"/>
    <s v="Falta de Fornecedor"/>
    <s v="Campo Fornecedor"/>
    <s v="Dados do Fornecedor"/>
    <s v="Qualidade dos dados"/>
    <s v="KONTIK BUSINESS TRAVEL"/>
  </r>
  <r>
    <n v="22724128"/>
    <n v="23522378"/>
    <s v="ACC01"/>
    <x v="104"/>
    <d v="2025-08-11T18:06:54"/>
    <s v="0 a 02 dias"/>
    <s v="0 a 02 dias"/>
    <s v="5GT5UY"/>
    <s v="LEMONTECH"/>
    <s v="STEIN/BRUNA"/>
    <s v="Vitoria Silva Lopes"/>
    <s v="Vitoria Silva Lopes"/>
    <x v="98"/>
    <n v="1722244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0"/>
    <n v="0"/>
    <n v="0"/>
    <n v="0"/>
    <n v="0"/>
    <n v="0"/>
    <n v="0"/>
    <s v="Reserva importada do Sistema Lemontech. Solicitação: 17222446"/>
    <s v="Fornecedor não preenchido! (ACC01)"/>
    <s v="LEMONTECH"/>
    <s v="Falta de Fornecedor"/>
    <s v="Campo Fornecedor"/>
    <s v="Dados do Fornecedor"/>
    <s v="Qualidade dos dados"/>
    <s v="KONTIK BUSINESS TRAVEL"/>
  </r>
  <r>
    <n v="22724136"/>
    <n v="23522388"/>
    <s v="ACC01"/>
    <x v="105"/>
    <d v="2025-08-11T18:07:08"/>
    <s v="0 a 02 dias"/>
    <s v="0 a 02 dias"/>
    <s v="5G0YJH"/>
    <s v="LEMONTECH"/>
    <s v="DE CARVALHO/DANIEL"/>
    <s v="Vitoria Silva Lopes"/>
    <s v="Vitoria Silva Lopes"/>
    <x v="98"/>
    <n v="17244115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99"/>
    <n v="0"/>
    <n v="0"/>
    <n v="0"/>
    <n v="0"/>
    <n v="0"/>
    <n v="0"/>
    <s v="Reserva importada do Sistema Lemontech. Solicitação: 17244115"/>
    <s v="Fornecedor não preenchido! (ACC01)"/>
    <s v="LEMONTECH"/>
    <s v="Falta de Fornecedor"/>
    <s v="Campo Fornecedor"/>
    <s v="Dados do Fornecedor"/>
    <s v="Qualidade dos dados"/>
    <s v="KONTIK BUSINESS TRAVEL"/>
  </r>
  <r>
    <n v="22724176"/>
    <n v="23522425"/>
    <s v="ACC01"/>
    <x v="106"/>
    <d v="2025-08-11T18:07:18"/>
    <s v="0 a 02 dias"/>
    <s v="0 a 02 dias"/>
    <s v="5GA7UH"/>
    <s v="LEMONTECH"/>
    <s v="MARTINS DOS SANTOS/DANIEL"/>
    <s v="Daniel Luis Soares"/>
    <s v="Daniel Luis Soares"/>
    <x v="98"/>
    <n v="17260897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1"/>
    <n v="0"/>
    <n v="0"/>
    <n v="0"/>
    <n v="0"/>
    <n v="0"/>
    <n v="0"/>
    <s v="Reserva importada do Sistema Lemontech. Solicitação: 17260897"/>
    <s v="Fornecedor não preenchido! (ACC01)"/>
    <s v="LEMONTECH"/>
    <s v="Falta de Fornecedor"/>
    <s v="Campo Fornecedor"/>
    <s v="Dados do Fornecedor"/>
    <s v="Qualidade dos dados"/>
    <s v="KONTIK BUSINESS TRAVEL"/>
  </r>
  <r>
    <n v="22731109"/>
    <n v="23528598"/>
    <s v="ACC01"/>
    <x v="107"/>
    <d v="2025-08-12T17:07:04"/>
    <s v="0 a 02 dias"/>
    <s v="0 a 02 dias"/>
    <s v="5GA8DK"/>
    <s v="LEMONTECH"/>
    <s v="CINTHIA HIDALGO MOLINA"/>
    <s v="Daniel Luis Soares"/>
    <s v="Daniel Luis Soares"/>
    <x v="99"/>
    <n v="1727068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2"/>
    <n v="40.67"/>
    <n v="9.9499999999999993"/>
    <n v="0"/>
    <n v="0"/>
    <n v="0"/>
    <n v="0"/>
    <s v="Reserva importada do Sistema Lemontech. Solicitação: 17270685"/>
    <s v="Fornecedor não preenchido! (ACC01)"/>
    <s v="LEMONTECH"/>
    <s v="Falta de Fornecedor"/>
    <s v="Campo Fornecedor"/>
    <s v="Dados do Fornecedor"/>
    <s v="Qualidade dos dados"/>
    <s v="KONTIK BUSINESS TRAVEL"/>
  </r>
  <r>
    <n v="22728498"/>
    <n v="23526077"/>
    <s v="ACC01"/>
    <x v="108"/>
    <d v="2025-08-12T10:07:24"/>
    <s v="0 a 02 dias"/>
    <s v="0 a 02 dias"/>
    <s v="5GKVJU"/>
    <s v="LEMONTECH"/>
    <s v="ELIDIANE WITKOSKI"/>
    <s v="Daniel Luis Soares"/>
    <s v="Daniel Luis Soares"/>
    <x v="100"/>
    <n v="1725882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2"/>
    <n v="40.67"/>
    <n v="9.9499999999999993"/>
    <n v="0"/>
    <n v="0"/>
    <n v="0"/>
    <n v="0"/>
    <s v="Reserva importada do Sistema Lemontech. Solicitação: 17258829"/>
    <s v="Fornecedor não preenchido! (ACC01)"/>
    <s v="LEMONTECH"/>
    <s v="Falta de Fornecedor"/>
    <s v="Campo Fornecedor"/>
    <s v="Dados do Fornecedor"/>
    <s v="Qualidade dos dados"/>
    <s v="KONTIK BUSINESS TRAVEL"/>
  </r>
  <r>
    <n v="22728499"/>
    <n v="23526078"/>
    <s v="ACC01"/>
    <x v="109"/>
    <d v="2025-08-12T10:07:24"/>
    <s v="0 a 02 dias"/>
    <s v="0 a 02 dias"/>
    <s v="5GLV77"/>
    <s v="LEMONTECH"/>
    <s v="ELIDIANE WITKOSKI"/>
    <s v="Daniel Luis Soares"/>
    <s v="Daniel Luis Soares"/>
    <x v="101"/>
    <n v="1725882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3"/>
    <n v="40.67"/>
    <n v="9.9499999999999993"/>
    <n v="0"/>
    <n v="0"/>
    <n v="0"/>
    <n v="0"/>
    <s v="Reserva importada do Sistema Lemontech. Solicitação: 17258829"/>
    <s v="Fornecedor não preenchido! (ACC01)"/>
    <s v="LEMONTECH"/>
    <s v="Falta de Fornecedor"/>
    <s v="Campo Fornecedor"/>
    <s v="Dados do Fornecedor"/>
    <s v="Qualidade dos dados"/>
    <s v="KONTIK BUSINESS TRAVEL"/>
  </r>
  <r>
    <n v="22728500"/>
    <n v="23526080"/>
    <s v="ACC01"/>
    <x v="110"/>
    <d v="2025-08-12T10:12:41"/>
    <s v="0 a 02 dias"/>
    <s v="0 a 02 dias"/>
    <s v="5G0TJ7"/>
    <s v="LEMONTECH"/>
    <s v="OLIVEIRA DUCHINI/HANNY"/>
    <s v="Hiran Ricardo da Silva Ramos"/>
    <s v="Hiran Ricardo da Silva Ramos"/>
    <x v="0"/>
    <n v="17259517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04"/>
    <n v="0"/>
    <n v="0"/>
    <n v="0"/>
    <n v="0"/>
    <n v="0"/>
    <n v="0"/>
    <s v="Reserva importada do Sistema Lemontech. Solicitação: 17259517"/>
    <s v="Fornecedor não preenchido! (ACC01)"/>
    <s v="LEMONTECH"/>
    <s v="Falta de Fornecedor"/>
    <s v="Campo Fornecedor"/>
    <s v="Dados do Fornecedor"/>
    <s v="Qualidade dos dados"/>
    <s v="KONTIK BUSINESS TRAVEL"/>
  </r>
  <r>
    <n v="22730740"/>
    <n v="23528232"/>
    <s v="ACC01"/>
    <x v="111"/>
    <d v="2025-08-12T16:00:59"/>
    <s v="0 a 02 dias"/>
    <s v="0 a 02 dias"/>
    <s v="5GNVCI"/>
    <s v="LEMONTECH"/>
    <s v="TIEZZI/LUIZA"/>
    <s v="Hiran Ricardo da Silva Ramos"/>
    <s v="Hiran Ricardo da Silva Ramos"/>
    <x v="0"/>
    <n v="17231468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5"/>
    <n v="0"/>
    <n v="0"/>
    <n v="0"/>
    <n v="0"/>
    <n v="0"/>
    <n v="0"/>
    <s v="Reserva importada do Sistema Lemontech. Solicitação: 17231468"/>
    <s v="Fornecedor não preenchido! (ACC01)"/>
    <s v="LEMONTECH"/>
    <s v="Falta de Fornecedor"/>
    <s v="Campo Fornecedor"/>
    <s v="Dados do Fornecedor"/>
    <s v="Qualidade dos dados"/>
    <s v="KONTIK BUSINESS TRAVEL"/>
  </r>
  <r>
    <n v="22731584"/>
    <n v="23529048"/>
    <s v="ACC01"/>
    <x v="112"/>
    <d v="2025-08-12T18:19:30"/>
    <s v="0 a 02 dias"/>
    <s v="0 a 02 dias"/>
    <s v="5G6IRI"/>
    <s v="LEMONTECH"/>
    <s v="DE MORAES/GABRIELA"/>
    <s v="Hiran Ricardo da Silva Ramos"/>
    <s v="Hiran Ricardo da Silva Ramos"/>
    <x v="102"/>
    <n v="17275152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6"/>
    <n v="0"/>
    <n v="0"/>
    <n v="0"/>
    <n v="0"/>
    <n v="0"/>
    <n v="0"/>
    <s v="Reserva importada do Sistema Lemontech. Solicitação: 17275152"/>
    <s v="Fornecedor não preenchido! (ACC01)"/>
    <s v="LEMONTECH"/>
    <s v="Falta de Fornecedor"/>
    <s v="Campo Fornecedor"/>
    <s v="Dados do Fornecedor"/>
    <s v="Qualidade dos dados"/>
    <s v="KONTIK BUSINESS TRAVEL"/>
  </r>
  <r>
    <n v="22731585"/>
    <n v="23529049"/>
    <s v="ACC01"/>
    <x v="113"/>
    <d v="2025-08-12T18:19:31"/>
    <s v="0 a 02 dias"/>
    <s v="0 a 02 dias"/>
    <s v="5G7KRK"/>
    <s v="LEMONTECH"/>
    <s v="GIMENEZ/ANDERSON"/>
    <s v="Hiran Ricardo da Silva Ramos"/>
    <s v="Hiran Ricardo da Silva Ramos"/>
    <x v="103"/>
    <n v="17275213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7"/>
    <n v="0"/>
    <n v="0"/>
    <n v="0"/>
    <n v="0"/>
    <n v="0"/>
    <n v="0"/>
    <s v="Reserva importada do Sistema Lemontech. Solicitação: 17275213"/>
    <s v="Fornecedor não preenchido! (ACC01)"/>
    <s v="LEMONTECH"/>
    <s v="Falta de Fornecedor"/>
    <s v="Campo Fornecedor"/>
    <s v="Dados do Fornecedor"/>
    <s v="Qualidade dos dados"/>
    <s v="KONTIK BUSINESS TRAVEL"/>
  </r>
  <r>
    <n v="22731587"/>
    <n v="23529051"/>
    <s v="ACC01"/>
    <x v="114"/>
    <d v="2025-08-12T18:19:32"/>
    <s v="0 a 02 dias"/>
    <s v="0 a 02 dias"/>
    <s v="5G8K4I"/>
    <s v="LEMONTECH"/>
    <s v="DE ARAUJO/GABRIELA"/>
    <s v="Hiran Ricardo da Silva Ramos"/>
    <s v="Hiran Ricardo da Silva Ramos"/>
    <x v="104"/>
    <n v="1727523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8"/>
    <n v="0"/>
    <n v="0"/>
    <n v="0"/>
    <n v="0"/>
    <n v="0"/>
    <n v="0"/>
    <s v="Reserva importada do Sistema Lemontech. Solicitação: 17275239"/>
    <s v="Fornecedor não preenchido! (ACC01)"/>
    <s v="LEMONTECH"/>
    <s v="Falta de Fornecedor"/>
    <s v="Campo Fornecedor"/>
    <s v="Dados do Fornecedor"/>
    <s v="Qualidade dos dados"/>
    <s v="KONTIK BUSINESS TRAVEL"/>
  </r>
  <r>
    <n v="22731588"/>
    <n v="23529052"/>
    <s v="ACC01"/>
    <x v="115"/>
    <d v="2025-08-12T18:24:31"/>
    <s v="0 a 02 dias"/>
    <s v="0 a 02 dias"/>
    <s v="5GNI4K"/>
    <s v="LEMONTECH"/>
    <s v="DE OLIVEIRA/THAIS"/>
    <s v="Hiran Ricardo da Silva Ramos"/>
    <s v="Hiran Ricardo da Silva Ramos"/>
    <x v="105"/>
    <n v="17275278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9"/>
    <n v="0"/>
    <n v="0"/>
    <n v="0"/>
    <n v="0"/>
    <n v="0"/>
    <n v="0"/>
    <s v="Reserva importada do Sistema Lemontech. Solicitação: 17275278"/>
    <s v="Fornecedor não preenchido! (ACC01)"/>
    <s v="LEMONTECH"/>
    <s v="Falta de Fornecedor"/>
    <s v="Campo Fornecedor"/>
    <s v="Dados do Fornecedor"/>
    <s v="Qualidade dos dados"/>
    <s v="KONTIK BUSINESS TRAVEL"/>
  </r>
  <r>
    <n v="22731589"/>
    <n v="23529053"/>
    <s v="ACC01"/>
    <x v="116"/>
    <d v="2025-08-12T18:24:32"/>
    <s v="0 a 02 dias"/>
    <s v="0 a 02 dias"/>
    <s v="5G0LVK"/>
    <s v="LEMONTECH"/>
    <s v="POKORSKI/LUCAS"/>
    <s v="Hiran Ricardo da Silva Ramos"/>
    <s v="Hiran Ricardo da Silva Ramos"/>
    <x v="106"/>
    <n v="1727531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10"/>
    <n v="0"/>
    <n v="0"/>
    <n v="0"/>
    <n v="0"/>
    <n v="0"/>
    <n v="0"/>
    <s v="Reserva importada do Sistema Lemontech. Solicitação: 17275319"/>
    <s v="Fornecedor não preenchido! (ACC01)"/>
    <s v="LEMONTECH"/>
    <s v="Falta de Fornecedor"/>
    <s v="Campo Fornecedor"/>
    <s v="Dados do Fornecedor"/>
    <s v="Qualidade dos dados"/>
    <s v="KONTIK BUSINESS TRAVEL"/>
  </r>
  <r>
    <n v="22724161"/>
    <n v="23522412"/>
    <s v="ACC01"/>
    <x v="117"/>
    <d v="2025-08-11T18:07:12"/>
    <s v="0 a 02 dias"/>
    <s v="0 a 02 dias"/>
    <s v="5GG6U6"/>
    <s v="LEMONTECH"/>
    <s v="DE OLIVEIRA/ANA"/>
    <s v="Hiran Ricardo da Silva Ramos"/>
    <s v="Hiran Ricardo da Silva Ramos"/>
    <x v="98"/>
    <n v="17259081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1"/>
    <n v="0"/>
    <n v="0"/>
    <n v="0"/>
    <n v="0"/>
    <n v="0"/>
    <n v="0"/>
    <s v="Reserva importada do Sistema Lemontech. Solicitação: 17259081"/>
    <s v="Fornecedor não preenchido! (ACC01)"/>
    <s v="LEMONTECH"/>
    <s v="Falta de Fornecedor"/>
    <s v="Campo Fornecedor"/>
    <s v="Dados do Fornecedor"/>
    <s v="Qualidade dos dados"/>
    <s v="KONTIK BUSINESS TRAVEL"/>
  </r>
  <r>
    <n v="22720861"/>
    <n v="23519280"/>
    <s v="ACC01"/>
    <x v="118"/>
    <d v="2025-08-11T09:06:04"/>
    <s v="0 a 02 dias"/>
    <s v="0 a 02 dias"/>
    <s v="5GVQMH"/>
    <s v="LEMONTECH"/>
    <s v="SCHULTZ RODRIGUES/CAROLINE"/>
    <s v="Hiran Ricardo da Silva Ramos"/>
    <s v="Hiran Ricardo da Silva Ramos"/>
    <x v="98"/>
    <n v="1722153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2"/>
    <n v="0"/>
    <n v="0"/>
    <n v="0"/>
    <n v="0"/>
    <n v="0"/>
    <n v="0"/>
    <s v="Reserva importada do Sistema Lemontech. Solicitação: 17221532"/>
    <s v="Fornecedor não preenchido! (ACC01)"/>
    <s v="LEMONTECH"/>
    <s v="Falta de Fornecedor"/>
    <s v="Campo Fornecedor"/>
    <s v="Dados do Fornecedor"/>
    <s v="Qualidade dos dados"/>
    <s v="KONTIK BUSINESS TRAVEL"/>
  </r>
  <r>
    <n v="22720868"/>
    <n v="23519287"/>
    <s v="ACC01"/>
    <x v="119"/>
    <d v="2025-08-11T09:06:25"/>
    <s v="0 a 02 dias"/>
    <s v="0 a 02 dias"/>
    <s v="5GIA0H"/>
    <s v="LEMONTECH"/>
    <s v="DA SILVA/MARCIA"/>
    <s v="Hiran Ricardo da Silva Ramos"/>
    <s v="Hiran Ricardo da Silva Ramos"/>
    <x v="98"/>
    <n v="1724871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3"/>
    <n v="0"/>
    <n v="0"/>
    <n v="0"/>
    <n v="0"/>
    <n v="0"/>
    <n v="0"/>
    <s v="Reserva importada do Sistema Lemontech. Solicitação: 17248713"/>
    <s v="Fornecedor não preenchido! (ACC01)"/>
    <s v="LEMONTECH"/>
    <s v="Falta de Fornecedor"/>
    <s v="Campo Fornecedor"/>
    <s v="Dados do Fornecedor"/>
    <s v="Qualidade dos dados"/>
    <s v="KONTIK BUSINESS TRAVEL"/>
  </r>
  <r>
    <n v="22709980"/>
    <n v="23511337"/>
    <s v="ACC01"/>
    <x v="120"/>
    <d v="2025-08-08T18:07:36"/>
    <s v="03 a 05 dias"/>
    <s v="03 a 05 dias"/>
    <s v="5G9Z0G"/>
    <s v="LEMONTECH"/>
    <s v="SUKIENNIK/ALICE"/>
    <s v="Hiran Ricardo da Silva Ramos"/>
    <s v="Hiran Ricardo da Silva Ramos"/>
    <x v="107"/>
    <n v="1724812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4"/>
    <n v="0"/>
    <n v="0"/>
    <n v="0"/>
    <n v="0"/>
    <n v="0"/>
    <n v="0"/>
    <s v="Reserva importada do Sistema Lemontech. Solicitação: 17248123"/>
    <s v="Fornecedor não preenchido! (ACC01)"/>
    <s v="LEMONTECH"/>
    <s v="Falta de Fornecedor"/>
    <s v="Campo Fornecedor"/>
    <s v="Dados do Fornecedor"/>
    <s v="Qualidade dos dados"/>
    <s v="KONTIK BUSINESS TRAVEL"/>
  </r>
  <r>
    <n v="22721448"/>
    <n v="23519808"/>
    <s v="ACC01"/>
    <x v="121"/>
    <d v="2025-08-11T11:12:30"/>
    <s v="0 a 02 dias"/>
    <s v="0 a 02 dias"/>
    <s v="5GFMZH"/>
    <s v="LEMONTECH"/>
    <s v="DE OLIVEIRA/JANETE"/>
    <s v="Hiran Ricardo da Silva Ramos"/>
    <s v="Hiran Ricardo da Silva Ramos"/>
    <x v="98"/>
    <n v="17255625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5"/>
    <n v="0"/>
    <n v="0"/>
    <n v="0"/>
    <n v="0"/>
    <n v="0"/>
    <n v="0"/>
    <s v="Reserva importada do Sistema Lemontech. Solicitação: 17255625"/>
    <s v="Fornecedor não preenchido! (ACC01)"/>
    <s v="LEMONTECH"/>
    <s v="Falta de Fornecedor"/>
    <s v="Campo Fornecedor"/>
    <s v="Dados do Fornecedor"/>
    <s v="Qualidade dos dados"/>
    <s v="KONTIK BUSINESS TRAVEL"/>
  </r>
  <r>
    <n v="22706945"/>
    <n v="23508393"/>
    <s v="ACC01"/>
    <x v="122"/>
    <d v="2025-08-08T10:00:37"/>
    <s v="03 a 05 dias"/>
    <s v="03 a 05 dias"/>
    <s v="5G0KWV"/>
    <s v="LEMONTECH"/>
    <s v="MELLO DAMBROS/KAREN"/>
    <s v="Hiran Ricardo da Silva Ramos"/>
    <s v="Hiran Ricardo da Silva Ramos"/>
    <x v="108"/>
    <n v="1713092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16"/>
    <n v="0"/>
    <n v="0"/>
    <n v="0"/>
    <n v="0"/>
    <n v="0"/>
    <n v="0"/>
    <s v="Reserva importada do Sistema Lemontech. Solicitação: 17130921"/>
    <s v="Fornecedor não preenchido! (ACC01)"/>
    <s v="LEMONTECH"/>
    <s v="Falta de Fornecedor"/>
    <s v="Campo Fornecedor"/>
    <s v="Dados do Fornecedor"/>
    <s v="Qualidade dos dados"/>
    <s v="KONTIK BUSINESS TRAVEL"/>
  </r>
  <r>
    <n v="22653035"/>
    <n v="23462600"/>
    <s v="ACC01"/>
    <x v="123"/>
    <d v="2025-07-30T18:00:44"/>
    <s v="09 a 15 dias"/>
    <s v="09 a 15 dias"/>
    <s v="5FNFJX"/>
    <s v="LEMONTECH"/>
    <s v="MORASTONI/SHARI"/>
    <s v="Hiran Ricardo da Silva Ramos"/>
    <s v="Hiran Ricardo da Silva Ramos"/>
    <x v="109"/>
    <n v="1708827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7"/>
    <n v="0"/>
    <n v="0"/>
    <n v="0"/>
    <n v="0"/>
    <n v="0"/>
    <n v="0"/>
    <s v="Reserva importada do Sistema Lemontech. Solicitação: 17088272"/>
    <s v="Fornecedor não preenchido! (ACC01)"/>
    <s v="LEMONTECH"/>
    <s v="Falta de Fornecedor"/>
    <s v="Campo Fornecedor"/>
    <s v="Dados do Fornecedor"/>
    <s v="Qualidade dos dados"/>
    <s v="KONTIK BUSINESS TRAVEL"/>
  </r>
  <r>
    <n v="22677964"/>
    <n v="23482555"/>
    <s v="ACC01"/>
    <x v="124"/>
    <d v="2025-08-04T12:00:46"/>
    <s v="09 a 15 dias"/>
    <s v="09 a 15 dias"/>
    <s v="5F11EU"/>
    <s v="LEMONTECH"/>
    <s v="PEDOT/RENAN"/>
    <s v="Hiran Ricardo da Silva Ramos"/>
    <s v="Hiran Ricardo da Silva Ramos"/>
    <x v="110"/>
    <n v="17072029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7"/>
    <n v="0"/>
    <n v="0"/>
    <n v="0"/>
    <n v="0"/>
    <n v="0"/>
    <n v="0"/>
    <s v="Reserva importada do Sistema Lemontech. Solicitação: 17072029"/>
    <s v="Fornecedor não preenchido! (ACC01)"/>
    <s v="LEMONTECH"/>
    <s v="Falta de Fornecedor"/>
    <s v="Campo Fornecedor"/>
    <s v="Dados do Fornecedor"/>
    <s v="Qualidade dos dados"/>
    <s v="KONTIK BUSINESS TRAVEL"/>
  </r>
  <r>
    <n v="22677965"/>
    <n v="23482556"/>
    <s v="ACC01"/>
    <x v="125"/>
    <d v="2025-08-04T12:00:46"/>
    <s v="09 a 15 dias"/>
    <s v="09 a 15 dias"/>
    <s v="5FXADU"/>
    <s v="LEMONTECH"/>
    <s v="MELLO DAMBROS/KAREN"/>
    <s v="Hiran Ricardo da Silva Ramos"/>
    <s v="Hiran Ricardo da Silva Ramos"/>
    <x v="110"/>
    <n v="17072037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18"/>
    <n v="0"/>
    <n v="0"/>
    <n v="0"/>
    <n v="0"/>
    <n v="0"/>
    <n v="0"/>
    <s v="Reserva importada do Sistema Lemontech. Solicitação: 17072037"/>
    <s v="Fornecedor não preenchido! (ACC01)"/>
    <s v="LEMONTECH"/>
    <s v="Falta de Fornecedor"/>
    <s v="Campo Fornecedor"/>
    <s v="Dados do Fornecedor"/>
    <s v="Qualidade dos dados"/>
    <s v="KONTIK BUSINESS TRAVEL"/>
  </r>
  <r>
    <n v="22705301"/>
    <n v="23507217"/>
    <s v="ACC01"/>
    <x v="126"/>
    <d v="2025-08-08T01:06:04"/>
    <s v="03 a 05 dias"/>
    <s v="03 a 05 dias"/>
    <s v="5GETBV"/>
    <s v="LEMONTECH"/>
    <s v="VIEIRA FERNANDES/LILIAM"/>
    <s v="Ronaldo Pereira Muzel"/>
    <s v="Ronaldo Pereira Muzel"/>
    <x v="111"/>
    <n v="17240154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19"/>
    <n v="0"/>
    <n v="0"/>
    <n v="0"/>
    <n v="0"/>
    <n v="24.4"/>
    <n v="0"/>
    <s v="Reserva importada do Sistema Lemontech. Solicitação: 17240154"/>
    <s v="Fornecedor não preenchido! (ACC01)"/>
    <s v="LEMONTECH"/>
    <s v="Falta de Fornecedor"/>
    <s v="Campo Fornecedor"/>
    <s v="Dados do Fornecedor"/>
    <s v="Qualidade dos dados"/>
    <s v="KONTIK BUSINESS TRAVEL"/>
  </r>
  <r>
    <n v="22727011"/>
    <n v="23525087"/>
    <s v="ACC01"/>
    <x v="127"/>
    <d v="2025-08-12T00:46:19"/>
    <s v="0 a 02 dias"/>
    <s v="0 a 02 dias"/>
    <s v="5G4X67"/>
    <s v="TMS"/>
    <s v="PAULO HENRIQUE RIBEIRO"/>
    <s v="Tms"/>
    <s v="Tms"/>
    <x v="112"/>
    <n v="5010"/>
    <s v="-"/>
    <s v="ON LINE"/>
    <s v="Invoice"/>
    <s v="Faturado"/>
    <s v="Hotel"/>
    <s v="N"/>
    <s v="Grupo Track e Field"/>
    <s v="Track e Field Co Sa Matriz"/>
    <s v="-"/>
    <s v="-"/>
    <s v="-"/>
    <s v="KON-OPE-SAO-PVI-BTC-ARGO"/>
    <s v="-"/>
    <x v="120"/>
    <n v="0"/>
    <n v="0"/>
    <n v="0"/>
    <n v="0"/>
    <n v="13.54"/>
    <n v="0"/>
    <s v="Reserva importada do Sistema TMS. OS: 5010"/>
    <s v="Fornecedor não preenchido! (ACC01)"/>
    <s v="ARGO(TMS)"/>
    <s v="Falta de Fornecedor"/>
    <s v="Campo Fornecedor"/>
    <s v="Dados do Fornecedor"/>
    <s v="Sistêmico"/>
    <s v="GRUPO KONTIK"/>
  </r>
  <r>
    <n v="22679969"/>
    <n v="23484417"/>
    <s v="ACC01"/>
    <x v="128"/>
    <d v="2025-08-04T17:05:15"/>
    <s v="09 a 15 dias"/>
    <s v="09 a 15 dias"/>
    <s v="5FTDL7"/>
    <s v="MANUAL"/>
    <s v="RAFAEL YANES SOARES"/>
    <s v="Tms"/>
    <s v="Tms"/>
    <x v="113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121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79983"/>
    <n v="23484427"/>
    <s v="ACC01"/>
    <x v="129"/>
    <d v="2025-08-04T17:06:27"/>
    <s v="09 a 15 dias"/>
    <s v="09 a 15 dias"/>
    <s v="4U61T7.F"/>
    <s v="MANUAL"/>
    <s v="RAFAEL YANES SOARES"/>
    <s v="Tms"/>
    <s v="Tms"/>
    <x v="113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121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732464"/>
    <n v="23529899"/>
    <s v="ACC01"/>
    <x v="130"/>
    <d v="2025-08-12T19:36:49"/>
    <s v="0 a 02 dias"/>
    <s v="0 a 02 dias"/>
    <s v="5GJB9K"/>
    <s v="TMS"/>
    <s v="THIAGO LARA"/>
    <s v="Tms"/>
    <s v="Tms"/>
    <x v="102"/>
    <n v="586"/>
    <s v="-"/>
    <s v="ON LINE"/>
    <s v="Invoice"/>
    <s v="Faturado"/>
    <s v="Hotel"/>
    <s v="N"/>
    <s v="Grupo Track e Field"/>
    <s v="Tfsports Eventos Esportivos Ltda"/>
    <s v="-"/>
    <s v="-"/>
    <s v="-"/>
    <s v="KON-OPE-SAO-PVI-BTC-ARGO"/>
    <s v="-"/>
    <x v="122"/>
    <n v="0"/>
    <n v="0"/>
    <n v="0"/>
    <n v="0"/>
    <n v="9.35"/>
    <n v="0"/>
    <s v="Reserva importada do Sistema TMS. OS: 586"/>
    <s v="Fornecedor não preenchido! (ACC01)"/>
    <s v="ARGO(TMS)"/>
    <s v="Falta de Fornecedor"/>
    <s v="Campo Fornecedor"/>
    <s v="Dados do Fornecedor"/>
    <s v="Sistêmico"/>
    <s v="GRUPO KONTIK"/>
  </r>
  <r>
    <n v="22732465"/>
    <n v="23529900"/>
    <s v="ACC01"/>
    <x v="131"/>
    <d v="2025-08-12T19:36:49"/>
    <s v="0 a 02 dias"/>
    <s v="0 a 02 dias"/>
    <s v="5GKMLI"/>
    <s v="TMS"/>
    <s v="FLAVIA MORGADO"/>
    <s v="Tms"/>
    <s v="Tms"/>
    <x v="114"/>
    <n v="585"/>
    <s v="-"/>
    <s v="ON LINE"/>
    <s v="Invoice"/>
    <s v="Faturado"/>
    <s v="Hotel"/>
    <s v="N"/>
    <s v="Grupo Track e Field"/>
    <s v="Tfsports Eventos Esportivos Ltda"/>
    <s v="-"/>
    <s v="-"/>
    <s v="-"/>
    <s v="KON-OPE-SAO-PVI-BTC-ARGO"/>
    <s v="-"/>
    <x v="122"/>
    <n v="0"/>
    <n v="0"/>
    <n v="0"/>
    <n v="0"/>
    <n v="9.35"/>
    <n v="0"/>
    <s v="Reserva importada do Sistema TMS. OS: 585"/>
    <s v="Fornecedor não preenchido! (ACC01)"/>
    <s v="ARGO(TMS)"/>
    <s v="Falta de Fornecedor"/>
    <s v="Campo Fornecedor"/>
    <s v="Dados do Fornecedor"/>
    <s v="Sistêmico"/>
    <s v="GRUPO KONTIK"/>
  </r>
  <r>
    <n v="22680829"/>
    <n v="23485310"/>
    <s v="ACC01"/>
    <x v="132"/>
    <d v="2025-08-04T18:52:25"/>
    <s v="09 a 15 dias"/>
    <s v="09 a 15 dias"/>
    <s v="5FBVWK"/>
    <s v="TMS"/>
    <s v="CATIA BAZARIN"/>
    <s v="Claudia Lucia Stella"/>
    <s v="Claudia Lucia Stella"/>
    <x v="115"/>
    <n v="3457"/>
    <s v="-"/>
    <s v="OFF LINE"/>
    <s v="Cartão de crédito"/>
    <s v="Cartão de crédito"/>
    <s v="Hotel"/>
    <s v="N"/>
    <s v="Grupo Epson"/>
    <s v="Epson"/>
    <s v="-"/>
    <s v="-"/>
    <s v="-"/>
    <s v="KON-OPE-SAO-PVI-BTC-ARGO"/>
    <s v="-"/>
    <x v="123"/>
    <n v="0"/>
    <n v="0"/>
    <n v="0"/>
    <n v="0"/>
    <n v="9.7799999999999994"/>
    <n v="0"/>
    <s v="Reserva importada do Sistema TMS. OS: 3457"/>
    <s v="Fornecedor não preenchido! (ACC01)"/>
    <s v="ARGO(TMS)"/>
    <s v="Falta de Fornecedor"/>
    <s v="Campo Fornecedor"/>
    <s v="Dados do Fornecedor"/>
    <s v="Qualidade dos dados"/>
    <s v="KONTIK BUSINESS TRAVEL"/>
  </r>
  <r>
    <n v="22724679"/>
    <n v="23522920"/>
    <s v="ACC01"/>
    <x v="133"/>
    <d v="2025-08-11T19:03:08"/>
    <s v="0 a 02 dias"/>
    <s v="0 a 02 dias"/>
    <s v="5G6S0U"/>
    <s v="TMS"/>
    <s v="MILENA CRISTINA"/>
    <s v="Tms"/>
    <s v="Tms"/>
    <x v="116"/>
    <n v="3513"/>
    <s v="-"/>
    <s v="ON LINE"/>
    <s v="Cartão de crédito"/>
    <s v="Cartão de crédito"/>
    <s v="Hotel"/>
    <s v="N"/>
    <s v="Grupo Epson"/>
    <s v="Epson"/>
    <s v="-"/>
    <s v="-"/>
    <s v="-"/>
    <s v="KON-OPE-SAO-PVI-BTC-ARGO"/>
    <s v="-"/>
    <x v="124"/>
    <n v="0"/>
    <n v="0"/>
    <n v="0"/>
    <n v="0"/>
    <n v="0"/>
    <n v="0"/>
    <s v="Reserva importada do Sistema TMS. OS: 3513"/>
    <s v="Fornecedor não preenchido! (ACC01)"/>
    <s v="ARGO(TMS)"/>
    <s v="Falta de Fornecedor"/>
    <s v="Campo Fornecedor"/>
    <s v="Dados do Fornecedor"/>
    <s v="Sistêmico"/>
    <s v="GRUPO KONTIK"/>
  </r>
  <r>
    <n v="22729436"/>
    <n v="23526987"/>
    <s v="ACC01"/>
    <x v="134"/>
    <d v="2025-08-12T12:50:58"/>
    <s v="0 a 02 dias"/>
    <s v="0 a 02 dias"/>
    <s v="5GQWPK"/>
    <s v="TMS"/>
    <s v="RICARDO COLLAZO"/>
    <s v="Tms"/>
    <s v="Tms"/>
    <x v="117"/>
    <n v="3526"/>
    <s v="Confins / CNF"/>
    <s v="ON LINE"/>
    <s v="Invoice"/>
    <s v="Faturado"/>
    <s v="Carro"/>
    <s v="N"/>
    <s v="Grupo Epson"/>
    <s v="Epson"/>
    <s v="-"/>
    <s v="-"/>
    <s v="-"/>
    <s v="KON-OPE-SAO-PVI-BTC-ARGO"/>
    <s v="-"/>
    <x v="125"/>
    <n v="0"/>
    <n v="0"/>
    <n v="0"/>
    <n v="0"/>
    <n v="0"/>
    <n v="0"/>
    <s v="Reserva importada do Sistema TMS. OS: 3526"/>
    <s v="Fornecedor não preenchido! (ACC01)"/>
    <s v="ARGO(TMS)"/>
    <s v="Falta de Fornecedor"/>
    <s v="Campo Fornecedor"/>
    <s v="Dados do Fornecedor"/>
    <s v="Qualidade dos dados"/>
    <s v="KONTIK BUSINESS TRAVEL"/>
  </r>
  <r>
    <n v="22733911"/>
    <n v="23531194"/>
    <s v="ACC01"/>
    <x v="135"/>
    <d v="2025-08-13T00:20:54"/>
    <s v="0 a 02 dias"/>
    <s v="0 a 02 dias"/>
    <s v="5G1LAL"/>
    <s v="TMS"/>
    <s v="Rocha/Bernardo"/>
    <s v="Henrique Batista Tolentino"/>
    <s v="Henrique Batista Tolentino"/>
    <x v="118"/>
    <n v="915"/>
    <s v="-"/>
    <s v="OFF LINE"/>
    <s v="Invoice"/>
    <s v="Faturado"/>
    <s v="Aéreo"/>
    <s v="N"/>
    <s v="Grupo Banco Genial Investimentos"/>
    <s v="Banco Genial"/>
    <s v="-"/>
    <s v="Gol Linhas Aereas"/>
    <n v="4432056194"/>
    <s v="KON-OPE-SAO-PVI-BTC-ARGO"/>
    <s v="-"/>
    <x v="19"/>
    <n v="85"/>
    <n v="0"/>
    <n v="0"/>
    <n v="0"/>
    <n v="0"/>
    <n v="0"/>
    <s v="Reserva importada do Sistema TMS. OS: 915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688330"/>
    <n v="23491973"/>
    <s v="ACC01"/>
    <x v="136"/>
    <d v="2025-08-05T19:15:33"/>
    <s v="06 a 08 dias"/>
    <s v="06 a 08 dias"/>
    <s v="5GPZPM"/>
    <s v="TMS"/>
    <s v="FILIPE LEMOS"/>
    <s v="Mariane Goncalves dos Santos"/>
    <s v="Mariane Goncalves dos Santos"/>
    <x v="119"/>
    <n v="3425"/>
    <s v="-"/>
    <s v="OFF LINE"/>
    <s v="Invoice"/>
    <s v="Faturado"/>
    <s v="Hotel"/>
    <s v="N"/>
    <s v="Grupo Airbus/helibras"/>
    <s v="Airbus"/>
    <s v="-"/>
    <s v="-"/>
    <s v="-"/>
    <s v="KON-OPE-SAO-PVI-BTC-ARGO"/>
    <s v="-"/>
    <x v="126"/>
    <n v="0"/>
    <n v="0"/>
    <n v="0"/>
    <n v="0"/>
    <n v="0"/>
    <n v="0"/>
    <s v="Reserva importada do Sistema TMS. OS: 3425"/>
    <s v="Fornecedor não preenchido! (ACC01)"/>
    <s v="ARGO(TMS)"/>
    <s v="Falta de Fornecedor"/>
    <s v="Campo Fornecedor"/>
    <s v="Dados do Fornecedor"/>
    <s v="Qualidade dos dados"/>
    <s v="KONTIK BUSINESS TRAVEL"/>
  </r>
  <r>
    <n v="22733983"/>
    <n v="23531267"/>
    <s v="ACC01"/>
    <x v="137"/>
    <d v="2025-08-13T00:43:28"/>
    <s v="0 a 02 dias"/>
    <s v="0 a 02 dias"/>
    <s v="FPQBCM"/>
    <s v="TMS"/>
    <s v="SARYANE PALLADINO ABREU"/>
    <s v="Raissa Iorio Cestari"/>
    <s v="Tms"/>
    <x v="120"/>
    <n v="74525"/>
    <s v="-"/>
    <s v="ON LINE"/>
    <s v="Cartão de crédito"/>
    <s v="Cartão AMEX"/>
    <s v="Aéreo"/>
    <s v="N"/>
    <s v="Grupo Ultra"/>
    <s v="Ultragaz-matriz"/>
    <s v="-"/>
    <s v="Latam Airlines Brasil"/>
    <n v="2971498996"/>
    <s v="KON-OPE-SAO-PVI-BTC-ARGO"/>
    <s v="-"/>
    <x v="127"/>
    <n v="48.75"/>
    <n v="0"/>
    <n v="0"/>
    <n v="0"/>
    <n v="0"/>
    <n v="0"/>
    <s v="Reserva importada do Sistema TMS. OS: 74525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27041"/>
    <n v="23525117"/>
    <s v="ACC01"/>
    <x v="138"/>
    <d v="2025-08-12T00:51:42"/>
    <s v="0 a 02 dias"/>
    <s v="0 a 02 dias"/>
    <s v="5GQ5HU"/>
    <s v="TMS"/>
    <s v="CLEUTON DA SILVA"/>
    <s v="Tms"/>
    <s v="Tms"/>
    <x v="121"/>
    <n v="76695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28"/>
    <n v="0"/>
    <n v="0"/>
    <n v="0"/>
    <n v="0"/>
    <n v="0"/>
    <n v="0"/>
    <s v="Reserva importada do Sistema TMS. OS: 76695"/>
    <s v="Fornecedor não preenchido! (ACC01)"/>
    <s v="ARGO(TMS)"/>
    <s v="Falta de Fornecedor"/>
    <s v="Campo Fornecedor"/>
    <s v="Dados do Fornecedor"/>
    <s v="Sistêmico"/>
    <s v="GRUPO KONTIK"/>
  </r>
  <r>
    <n v="22732581"/>
    <n v="23530007"/>
    <s v="ACC01"/>
    <x v="139"/>
    <d v="2025-08-12T19:50:49"/>
    <s v="0 a 02 dias"/>
    <s v="0 a 02 dias"/>
    <s v="5G5HOI"/>
    <s v="TMS"/>
    <s v="MIQUEIAS SILVA COUTINHO"/>
    <s v="Tms"/>
    <s v="Tms"/>
    <x v="122"/>
    <n v="76934"/>
    <s v="Luís Eduardo Magalhães /    "/>
    <s v="ON LINE"/>
    <s v="Invoice"/>
    <s v="Faturado"/>
    <s v="Carro"/>
    <s v="N"/>
    <s v="Grupo Ultra"/>
    <s v="Bahiana Distribuidora de Gas"/>
    <s v="-"/>
    <s v="-"/>
    <s v="-"/>
    <s v="KON-OPE-SAO-PVI-BTC-ARGO"/>
    <s v="-"/>
    <x v="129"/>
    <n v="0"/>
    <n v="0"/>
    <n v="0"/>
    <n v="0"/>
    <n v="0"/>
    <n v="0"/>
    <s v="Reserva importada do Sistema TMS. OS: 76934"/>
    <s v="Fornecedor não preenchido! (ACC01)"/>
    <s v="ARGO(TMS)"/>
    <s v="Falta de Fornecedor"/>
    <s v="Campo Fornecedor"/>
    <s v="Dados do Fornecedor"/>
    <s v="Qualidade dos dados"/>
    <s v="KONTIK BUSINESS TRAVEL"/>
  </r>
  <r>
    <n v="22727046"/>
    <n v="23525122"/>
    <s v="ACC01"/>
    <x v="140"/>
    <d v="2025-08-12T00:55:24"/>
    <s v="0 a 02 dias"/>
    <s v="0 a 02 dias"/>
    <s v="5G6THU"/>
    <s v="TMS"/>
    <s v="ADILSON ADILSON ALERICO"/>
    <s v="Jessica Soares Teixeira"/>
    <s v="Jessica Soares Teixeira"/>
    <x v="123"/>
    <n v="76595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130"/>
    <n v="0"/>
    <n v="0"/>
    <n v="0"/>
    <n v="0"/>
    <n v="0"/>
    <n v="0"/>
    <s v="Reserva importada do Sistema TMS. OS: 76595"/>
    <s v="Fornecedor não preenchido! (ACC01)"/>
    <s v="ARGO(TMS)"/>
    <s v="Falta de Fornecedor"/>
    <s v="Campo Fornecedor"/>
    <s v="Dados do Fornecedor"/>
    <s v="Qualidade dos dados"/>
    <s v="KONTIK BUSINESS TRAVEL"/>
  </r>
  <r>
    <n v="22725403"/>
    <n v="23523629"/>
    <s v="ACC01"/>
    <x v="141"/>
    <d v="2025-08-11T20:10:54"/>
    <s v="0 a 02 dias"/>
    <s v="0 a 02 dias"/>
    <s v="5GCD37"/>
    <s v="TMS"/>
    <s v="ANDREYA KARINE SAMPAIO PINHEIRO"/>
    <s v="Raissa Iorio Cestari"/>
    <s v="Raissa Iorio Cestari"/>
    <x v="124"/>
    <n v="76562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31"/>
    <n v="0"/>
    <n v="0"/>
    <n v="0"/>
    <n v="0"/>
    <n v="0"/>
    <n v="0"/>
    <s v="Reserva importada do Sistema TMS. OS: 76562"/>
    <s v="Fornecedor não preenchido! (ACC01)"/>
    <s v="ARGO(TMS)"/>
    <s v="Falta de Fornecedor"/>
    <s v="Campo Fornecedor"/>
    <s v="Dados do Fornecedor"/>
    <s v="Qualidade dos dados"/>
    <s v="KONTIK BUSINESS TRAVEL"/>
  </r>
  <r>
    <n v="22703819"/>
    <n v="23505909"/>
    <s v="ACC01"/>
    <x v="142"/>
    <d v="2025-08-07T20:10:22"/>
    <s v="06 a 08 dias"/>
    <s v="06 a 08 dias"/>
    <s v="5G6GID"/>
    <s v="TMS"/>
    <s v="ED CARLOS FRANCISCO"/>
    <s v="Raissa Iorio Cestari"/>
    <s v="Raissa Iorio Cestari"/>
    <x v="125"/>
    <n v="76303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32"/>
    <n v="0"/>
    <n v="0"/>
    <n v="0"/>
    <n v="0"/>
    <n v="0"/>
    <n v="0"/>
    <s v="Reserva importada do Sistema TMS. OS: 76303"/>
    <s v="Fornecedor não preenchido! (ACC01)"/>
    <s v="ARGO(TMS)"/>
    <s v="Falta de Fornecedor"/>
    <s v="Campo Fornecedor"/>
    <s v="Dados do Fornecedor"/>
    <s v="Qualidade dos dados"/>
    <s v="KONTIK BUSINESS TRAVEL"/>
  </r>
  <r>
    <n v="22703820"/>
    <n v="23505910"/>
    <s v="ACC01"/>
    <x v="143"/>
    <d v="2025-08-07T20:10:22"/>
    <s v="06 a 08 dias"/>
    <s v="06 a 08 dias"/>
    <s v="5G75I3"/>
    <s v="TMS"/>
    <s v="RAFAEL DE SOUSA COSTA"/>
    <s v="Raissa Iorio Cestari"/>
    <s v="Raissa Iorio Cestari"/>
    <x v="126"/>
    <n v="7630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33"/>
    <n v="0"/>
    <n v="0"/>
    <n v="0"/>
    <n v="0"/>
    <n v="0"/>
    <n v="0"/>
    <s v="Reserva importada do Sistema TMS. OS: 76302"/>
    <s v="Fornecedor não preenchido! (ACC01)"/>
    <s v="ARGO(TMS)"/>
    <s v="Falta de Fornecedor"/>
    <s v="Campo Fornecedor"/>
    <s v="Dados do Fornecedor"/>
    <s v="Qualidade dos dados"/>
    <s v="KONTIK BUSINESS TRAVEL"/>
  </r>
  <r>
    <n v="22722325"/>
    <n v="23520682"/>
    <s v="ACC01"/>
    <x v="144"/>
    <d v="2025-08-11T13:26:29"/>
    <s v="0 a 02 dias"/>
    <s v="0 a 02 dias"/>
    <s v="5GBLF6"/>
    <s v="TMS"/>
    <s v="HUGO DA SILVA"/>
    <s v="Raissa Iorio Cestari"/>
    <s v="Raissa Iorio Cestari"/>
    <x v="127"/>
    <n v="76560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31"/>
    <n v="0"/>
    <n v="0"/>
    <n v="0"/>
    <n v="0"/>
    <n v="0"/>
    <n v="0"/>
    <s v="Reserva importada do Sistema TMS. OS: 76560"/>
    <s v="Fornecedor não preenchido! (ACC01)"/>
    <s v="ARGO(TMS)"/>
    <s v="Falta de Fornecedor"/>
    <s v="Campo Fornecedor"/>
    <s v="Dados do Fornecedor"/>
    <s v="Qualidade dos dados"/>
    <s v="KONTIK BUSINESS TRAVEL"/>
  </r>
  <r>
    <n v="22667347"/>
    <n v="23475160"/>
    <s v="ACC01"/>
    <x v="145"/>
    <d v="2025-08-01T19:46:22"/>
    <s v="09 a 15 dias"/>
    <s v="09 a 15 dias"/>
    <s v="5FSVRY"/>
    <s v="TMS"/>
    <s v="KAMILA OSOWSKI TOMAZI"/>
    <s v="Tms"/>
    <s v="Tms"/>
    <x v="128"/>
    <n v="75692"/>
    <s v="Palhoca / FLN"/>
    <s v="ON LINE"/>
    <s v="Invoice"/>
    <s v="Faturado"/>
    <s v="Carro"/>
    <s v="N"/>
    <s v="Grupo Ultra"/>
    <s v="Ultragaz-matriz"/>
    <s v="-"/>
    <s v="-"/>
    <s v="-"/>
    <s v="KON-OPE-SAO-PVI-BTC-ARGO"/>
    <s v="-"/>
    <x v="134"/>
    <n v="0"/>
    <n v="0"/>
    <n v="0"/>
    <n v="0"/>
    <n v="0"/>
    <n v="0"/>
    <s v="Reserva importada do Sistema TMS. OS: 75692"/>
    <s v="Fornecedor não preenchido! (ACC01)"/>
    <s v="ARGO(TMS)"/>
    <s v="Falta de Fornecedor"/>
    <s v="Campo Fornecedor"/>
    <s v="Dados do Fornecedor"/>
    <s v="Qualidade dos dados"/>
    <s v="KONTIK BUSINESS TRAVEL"/>
  </r>
  <r>
    <n v="22615074"/>
    <n v="23431403"/>
    <s v="ACC01"/>
    <x v="146"/>
    <d v="2025-07-23T19:35:40"/>
    <s v="16 a 23 dias"/>
    <s v="16 a 23 dias"/>
    <s v="5EYH75"/>
    <s v="TMS"/>
    <s v="CARLOS VINICIUS SALLES COSTA"/>
    <s v="Tms"/>
    <s v="Tms"/>
    <x v="129"/>
    <n v="7458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35"/>
    <n v="0"/>
    <n v="0"/>
    <n v="0"/>
    <n v="0"/>
    <n v="14.4"/>
    <n v="0"/>
    <s v="Reserva importada do Sistema TMS. OS: 74580"/>
    <s v="Fornecedor não preenchido! (ACC01)"/>
    <s v="ARGO(TMS)"/>
    <s v="Falta de Fornecedor"/>
    <s v="Campo Fornecedor"/>
    <s v="Dados do Fornecedor"/>
    <s v="Sistêmico"/>
    <s v="GRUPO KONTIK"/>
  </r>
  <r>
    <n v="22690391"/>
    <n v="23493899"/>
    <s v="ACC01"/>
    <x v="147"/>
    <d v="2025-08-06T00:26:25"/>
    <s v="06 a 08 dias"/>
    <s v="06 a 08 dias"/>
    <s v="5G105M"/>
    <s v="TMS"/>
    <s v="KAMILA OSOWSKI TOMAZI"/>
    <s v="Tms"/>
    <s v="Tms"/>
    <x v="130"/>
    <n v="76097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36"/>
    <n v="0"/>
    <n v="0"/>
    <n v="0"/>
    <n v="0"/>
    <n v="14.75"/>
    <n v="0"/>
    <s v="Reserva importada do Sistema TMS. OS: 76097"/>
    <s v="Fornecedor não preenchido! (ACC01)"/>
    <s v="ARGO(TMS)"/>
    <s v="Falta de Fornecedor"/>
    <s v="Campo Fornecedor"/>
    <s v="Dados do Fornecedor"/>
    <s v="Sistêmico"/>
    <s v="GRUPO KONTIK"/>
  </r>
  <r>
    <n v="22690425"/>
    <n v="23493933"/>
    <s v="ACC01"/>
    <x v="148"/>
    <d v="2025-08-06T00:35:47"/>
    <s v="06 a 08 dias"/>
    <s v="06 a 08 dias"/>
    <s v="5G7WGM"/>
    <s v="TMS"/>
    <s v="VICTOR DE OLIVEIRA"/>
    <s v="Tms"/>
    <s v="Tms"/>
    <x v="131"/>
    <n v="7593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37"/>
    <n v="0"/>
    <n v="0"/>
    <n v="0"/>
    <n v="0"/>
    <n v="29.5"/>
    <n v="0"/>
    <s v="Reserva importada do Sistema TMS. OS: 75930"/>
    <s v="Fornecedor não preenchido! (ACC01)"/>
    <s v="ARGO(TMS)"/>
    <s v="Falta de Fornecedor"/>
    <s v="Campo Fornecedor"/>
    <s v="Dados do Fornecedor"/>
    <s v="Sistêmico"/>
    <s v="GRUPO KONTIK"/>
  </r>
  <r>
    <n v="22719691"/>
    <n v="23518614"/>
    <s v="ACC01"/>
    <x v="149"/>
    <d v="2025-08-11T13:11:50"/>
    <s v="0 a 02 dias"/>
    <s v="0 a 02 dias"/>
    <s v="5GPJNT"/>
    <s v="TMS"/>
    <s v="RAFAEL SOARES REIS"/>
    <s v="Tms"/>
    <s v="Tms"/>
    <x v="132"/>
    <n v="76619"/>
    <s v="-"/>
    <s v="ON LINE"/>
    <s v="Cartão de crédito"/>
    <s v="Cartão de crédito"/>
    <s v="Hotel"/>
    <s v="N"/>
    <s v="Grupo Ultra"/>
    <s v="Ultragaz-matriz"/>
    <s v="-"/>
    <s v="Pousada Pau Brasil"/>
    <s v="-"/>
    <s v="KON-OPE-SAO-PVI-BTC-ARGO"/>
    <s v="-"/>
    <x v="138"/>
    <n v="0"/>
    <n v="0"/>
    <n v="0"/>
    <n v="0"/>
    <n v="14"/>
    <n v="0"/>
    <s v="Reserva importada do Sistema TMS. OS: 76619"/>
    <s v="Não foi possível encontrar um contrato válido para o fornecedor 24948 (Código fornecedor) "/>
    <s v="ARGO(TMS)"/>
    <s v="Contrato de fornecedor"/>
    <s v="Análise Cadastro"/>
    <s v="Dados do Fornecedor"/>
    <s v="Qualidade dos dados"/>
    <s v="KONTIK BUSINESS TRAVEL"/>
  </r>
  <r>
    <n v="22725415"/>
    <n v="23523642"/>
    <s v="ACC01"/>
    <x v="150"/>
    <d v="2025-08-11T20:11:17"/>
    <s v="0 a 02 dias"/>
    <s v="0 a 02 dias"/>
    <s v="5GDV37"/>
    <s v="TMS"/>
    <s v="FABRICIO FABRICIO MACIEL"/>
    <s v="Isabela de Melo da Silva"/>
    <s v="Isabela de Melo da Silva"/>
    <x v="133"/>
    <n v="76305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39"/>
    <n v="0"/>
    <n v="0"/>
    <n v="0"/>
    <n v="0"/>
    <n v="107.45"/>
    <n v="0"/>
    <s v="Reserva importada do Sistema TMS. OS: 76305"/>
    <s v="Fornecedor não preenchido! (ACC01)"/>
    <s v="ARGO(TMS)"/>
    <s v="Falta de Fornecedor"/>
    <s v="Campo Fornecedor"/>
    <s v="Dados do Fornecedor"/>
    <s v="Sistêmico"/>
    <s v="GRUPO KONTIK"/>
  </r>
  <r>
    <n v="22732653"/>
    <n v="23530080"/>
    <s v="ACC01"/>
    <x v="151"/>
    <d v="2025-08-12T20:31:41"/>
    <s v="0 a 02 dias"/>
    <s v="0 a 02 dias"/>
    <s v="5G8PPN"/>
    <s v="TMS"/>
    <s v="HENRIQUE DONAIRE SERTORIO"/>
    <s v="Maria Gabriela Stella Azevedo Neves"/>
    <s v="Isabela de Melo da Silva"/>
    <x v="134"/>
    <n v="7609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40"/>
    <n v="0"/>
    <n v="0"/>
    <n v="0"/>
    <n v="0"/>
    <n v="0"/>
    <n v="0"/>
    <s v="Reserva importada do Sistema TMS. OS: 76090"/>
    <s v="Fornecedor não preenchido! (ACC01)"/>
    <s v="ARGO(TMS)"/>
    <s v="Falta de Fornecedor"/>
    <s v="Campo Fornecedor"/>
    <s v="Dados do Fornecedor"/>
    <s v="Sistêmico"/>
    <s v="GRUPO KONTIK"/>
  </r>
  <r>
    <n v="22685870"/>
    <n v="23489673"/>
    <s v="ACC01"/>
    <x v="152"/>
    <d v="2025-08-05T13:15:33"/>
    <s v="06 a 08 dias"/>
    <s v="06 a 08 dias"/>
    <s v="5F8FVO"/>
    <s v="TMS"/>
    <s v="AELIO GOMES REGO"/>
    <s v="Tamara Michels Behn"/>
    <s v="Tamara Michels Behn"/>
    <x v="135"/>
    <n v="755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41"/>
    <n v="0"/>
    <n v="0"/>
    <n v="0"/>
    <n v="0"/>
    <n v="0"/>
    <n v="0"/>
    <s v="Reserva importada do Sistema TMS. OS: 75571"/>
    <s v="Fornecedor não preenchido! (ACC01)"/>
    <s v="ARGO(TMS)"/>
    <s v="Falta de Fornecedor"/>
    <s v="Campo Fornecedor"/>
    <s v="Dados do Fornecedor"/>
    <s v="Qualidade dos dados"/>
    <s v="KONTIK BUSINESS TRAVEL"/>
  </r>
  <r>
    <n v="22651362"/>
    <n v="23460927"/>
    <s v="ACC01"/>
    <x v="153"/>
    <d v="2025-07-30T13:37:41"/>
    <s v="09 a 15 dias"/>
    <s v="09 a 15 dias"/>
    <s v="5FQTV2"/>
    <s v="TMS"/>
    <s v="FERNANDO OLIVEIRA CORREA"/>
    <s v="Tamara Michels Behn"/>
    <s v="Tamara Michels Behn"/>
    <x v="136"/>
    <n v="753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42"/>
    <n v="0"/>
    <n v="0"/>
    <n v="0"/>
    <n v="0"/>
    <n v="0"/>
    <n v="0"/>
    <s v="Reserva importada do Sistema TMS. OS: 75371"/>
    <s v="Fornecedor não preenchido! (ACC01)"/>
    <s v="ARGO(TMS)"/>
    <s v="Falta de Fornecedor"/>
    <s v="Campo Fornecedor"/>
    <s v="Dados do Fornecedor"/>
    <s v="Qualidade dos dados"/>
    <s v="KONTIK BUSINESS TRAVEL"/>
  </r>
  <r>
    <n v="22703814"/>
    <n v="23505905"/>
    <s v="ACC01"/>
    <x v="154"/>
    <d v="2025-08-07T20:06:37"/>
    <s v="06 a 08 dias"/>
    <s v="06 a 08 dias"/>
    <s v="5GS5K3"/>
    <s v="TMS"/>
    <s v="NILSON CESAR MONTEIRO NOGUEIRA"/>
    <s v="Tamara Michels Behn"/>
    <s v="Tamara Michels Behn"/>
    <x v="137"/>
    <n v="76308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43"/>
    <n v="0"/>
    <n v="0"/>
    <n v="0"/>
    <n v="0"/>
    <n v="20"/>
    <n v="0"/>
    <s v="Reserva importada do Sistema TMS. OS: 76308"/>
    <s v="Fornecedor não preenchido! (ACC01)"/>
    <s v="ARGO(TMS)"/>
    <s v="Falta de Fornecedor"/>
    <s v="Campo Fornecedor"/>
    <s v="Dados do Fornecedor"/>
    <s v="Qualidade dos dados"/>
    <s v="KONTIK BUSINESS TRAVEL"/>
  </r>
  <r>
    <n v="22703815"/>
    <n v="23505906"/>
    <s v="ACC01"/>
    <x v="155"/>
    <d v="2025-08-07T20:06:37"/>
    <s v="06 a 08 dias"/>
    <s v="06 a 08 dias"/>
    <s v="5GEG8D"/>
    <s v="TMS"/>
    <s v="MAURICIO CESAR LADEIRA"/>
    <s v="Tamara Michels Behn"/>
    <s v="Tamara Michels Behn"/>
    <x v="138"/>
    <n v="76307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44"/>
    <n v="0"/>
    <n v="0"/>
    <n v="0"/>
    <n v="0"/>
    <n v="0"/>
    <n v="0"/>
    <s v="Reserva importada do Sistema TMS. OS: 76307"/>
    <s v="Fornecedor não preenchido! (ACC01)"/>
    <s v="ARGO(TMS)"/>
    <s v="Falta de Fornecedor"/>
    <s v="Campo Fornecedor"/>
    <s v="Dados do Fornecedor"/>
    <s v="Qualidade dos dados"/>
    <s v="KONTIK BUSINESS TRAVEL"/>
  </r>
  <r>
    <n v="22697828"/>
    <n v="23500590"/>
    <s v="ACC01"/>
    <x v="156"/>
    <d v="2025-08-07T00:30:50"/>
    <s v="06 a 08 dias"/>
    <s v="06 a 08 dias"/>
    <s v="5GVQEX"/>
    <s v="TMS"/>
    <s v="NEIMAR DOS SANTOS"/>
    <s v="Tamara Michels Behn"/>
    <s v="Tamara Michels Behn"/>
    <x v="139"/>
    <n v="76179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45"/>
    <n v="0"/>
    <n v="0"/>
    <n v="0"/>
    <n v="0"/>
    <n v="0"/>
    <n v="0"/>
    <s v="Reserva importada do Sistema TMS. OS: 76179"/>
    <s v="Fornecedor não preenchido! (ACC01)"/>
    <s v="ARGO(TMS)"/>
    <s v="Falta de Fornecedor"/>
    <s v="Campo Fornecedor"/>
    <s v="Dados do Fornecedor"/>
    <s v="Qualidade dos dados"/>
    <s v="KONTIK BUSINESS TRAVEL"/>
  </r>
  <r>
    <n v="22690422"/>
    <n v="23493930"/>
    <s v="ACC01"/>
    <x v="157"/>
    <d v="2025-08-06T00:31:45"/>
    <s v="06 a 08 dias"/>
    <s v="06 a 08 dias"/>
    <s v="5GF25B"/>
    <s v="TMS"/>
    <s v="SARYANE PALLADINO ABREU"/>
    <s v="Maria Gabriela Stella Azevedo Neves"/>
    <s v="Maria Gabriela Stella Azevedo Neves"/>
    <x v="140"/>
    <n v="75959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46"/>
    <n v="0"/>
    <n v="0"/>
    <n v="0"/>
    <n v="0"/>
    <n v="0"/>
    <n v="0"/>
    <s v="Reserva importada do Sistema TMS. OS: 75959"/>
    <s v="Fornecedor não preenchido! (ACC01)"/>
    <s v="ARGO(TMS)"/>
    <s v="Falta de Fornecedor"/>
    <s v="Campo Fornecedor"/>
    <s v="Dados do Fornecedor"/>
    <s v="Qualidade dos dados"/>
    <s v="KONTIK BUSINESS TRAVEL"/>
  </r>
  <r>
    <n v="22696304"/>
    <n v="23499151"/>
    <s v="ACC01"/>
    <x v="158"/>
    <d v="2025-08-06T20:05:37"/>
    <s v="06 a 08 dias"/>
    <s v="06 a 08 dias"/>
    <s v="5GBQZW"/>
    <s v="TMS"/>
    <s v="WAGNER DA CONCEICAO"/>
    <s v="Maria Gabriela Stella Azevedo Neves"/>
    <s v="Maria Gabriela Stella Azevedo Neves"/>
    <x v="141"/>
    <n v="76060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47"/>
    <n v="0"/>
    <n v="0"/>
    <n v="0"/>
    <n v="0"/>
    <n v="0"/>
    <n v="0"/>
    <s v="Reserva importada do Sistema TMS. OS: 76060"/>
    <s v="Fornecedor não preenchido! (ACC01)"/>
    <s v="ARGO(TMS)"/>
    <s v="Falta de Fornecedor"/>
    <s v="Campo Fornecedor"/>
    <s v="Dados do Fornecedor"/>
    <s v="Qualidade dos dados"/>
    <s v="KONTIK BUSINESS TRAVEL"/>
  </r>
  <r>
    <n v="22729722"/>
    <n v="23527268"/>
    <s v="ACC01"/>
    <x v="159"/>
    <d v="2025-08-12T13:25:29"/>
    <s v="0 a 02 dias"/>
    <s v="0 a 02 dias"/>
    <s v="5GG7AK"/>
    <s v="TMS"/>
    <s v="YURI LIRA"/>
    <s v="Tms"/>
    <s v="Tms"/>
    <x v="66"/>
    <n v="76933"/>
    <s v="Vitoria / VIX"/>
    <s v="ON LINE"/>
    <s v="Invoice"/>
    <s v="Faturado"/>
    <s v="Carro"/>
    <s v="N"/>
    <s v="Grupo Ultra"/>
    <s v="Ultragaz-matriz"/>
    <s v="-"/>
    <s v="-"/>
    <s v="-"/>
    <s v="KON-OPE-SAO-PVI-BTC-ARGO"/>
    <s v="-"/>
    <x v="148"/>
    <n v="0"/>
    <n v="0"/>
    <n v="0"/>
    <n v="0"/>
    <n v="0"/>
    <n v="0"/>
    <s v="Reserva importada do Sistema TMS. OS: 76933"/>
    <s v="Fornecedor não preenchido! (ACC01)"/>
    <s v="ARGO(TMS)"/>
    <s v="Falta de Fornecedor"/>
    <s v="Campo Fornecedor"/>
    <s v="Dados do Fornecedor"/>
    <s v="Qualidade dos dados"/>
    <s v="KONTIK BUSINESS TRAVEL"/>
  </r>
  <r>
    <n v="22707818"/>
    <n v="23509275"/>
    <s v="ACC01"/>
    <x v="160"/>
    <d v="2025-08-08T12:42:41"/>
    <s v="03 a 05 dias"/>
    <s v="03 a 05 dias"/>
    <s v="HWCKYB"/>
    <s v="TMS"/>
    <s v="PATRICIA BURRIDGE"/>
    <s v="SAMANTHA OLIVEIRA NASCIMENTO"/>
    <s v="SAMANTHA OLIVEIRA NASCIMENTO"/>
    <x v="142"/>
    <n v="110903"/>
    <s v="-"/>
    <s v="OFF LINE"/>
    <s v="Cartão de crédito"/>
    <s v="Cartão AMEX"/>
    <s v="Aéreo"/>
    <s v="N"/>
    <s v="Grupo Deloitte"/>
    <s v="Deloitte Consultores - Sao Paulo"/>
    <s v="-"/>
    <s v="Air Canada"/>
    <n v="2971622195"/>
    <s v="KON-OPE-SAO-PVI-BTC-ARGO-DELOITTE"/>
    <s v="-"/>
    <x v="149"/>
    <n v="0"/>
    <n v="0"/>
    <n v="0"/>
    <n v="0"/>
    <n v="0"/>
    <n v="0"/>
    <s v="Reserva importada do Sistema TMS. OS: 110903"/>
    <s v="Verificação de bilhetes: Bilhete 2971622195 já sendo utilizado para este fornecedor."/>
    <s v="ARGO(TMS)"/>
    <s v="Bilhete duplicado"/>
    <s v="Bilhete Já Contabilizado"/>
    <s v="Duplicidade de Contabilização"/>
    <s v="Qualidade dos dados"/>
    <s v="GRUPO KONTIK"/>
  </r>
  <r>
    <n v="22731930"/>
    <n v="23529381"/>
    <s v="ACC01"/>
    <x v="161"/>
    <d v="2025-08-12T18:30:33"/>
    <s v="0 a 02 dias"/>
    <s v="0 a 02 dias"/>
    <s v="NRAHJB"/>
    <s v="TMS"/>
    <s v="CELSO GIULITO JUNIOR"/>
    <s v="SAMANTHA OLIVEIRA NASCIMENTO"/>
    <s v="SAMANTHA OLIVEIRA NASCIMENTO"/>
    <x v="143"/>
    <n v="111225"/>
    <s v="-"/>
    <s v="OFF LINE"/>
    <s v="Cartão de crédito"/>
    <s v="Cartão AMEX"/>
    <s v="Aéreo"/>
    <s v="N"/>
    <s v="Grupo Deloitte"/>
    <s v="Deloitte Assessoria - Sao Paulo"/>
    <s v="-"/>
    <s v="Air Canada"/>
    <n v="2971622238"/>
    <s v="KON-OPE-SAO-PVI-BTC-ARGO-DELOITTE"/>
    <s v="-"/>
    <x v="150"/>
    <n v="427.97"/>
    <n v="0"/>
    <n v="0"/>
    <n v="0"/>
    <n v="0"/>
    <n v="0"/>
    <s v="Reserva importada do Sistema TMS. OS: 111225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2731934"/>
    <n v="23529385"/>
    <s v="ACC01"/>
    <x v="162"/>
    <d v="2025-08-12T18:30:34"/>
    <s v="0 a 02 dias"/>
    <s v="0 a 02 dias"/>
    <s v="SIJHIT"/>
    <s v="TMS"/>
    <s v="ILVANIR CASTRO"/>
    <s v="SAMANTHA OLIVEIRA NASCIMENTO"/>
    <s v="SAMANTHA OLIVEIRA NASCIMENTO"/>
    <x v="144"/>
    <n v="111161"/>
    <s v="-"/>
    <s v="OFF LINE"/>
    <s v="Cartão de crédito"/>
    <s v="Cartão AMEX"/>
    <s v="Aéreo"/>
    <s v="N"/>
    <s v="Grupo Deloitte"/>
    <s v="Deloitte Operate Services"/>
    <s v="-"/>
    <s v="Alitalia"/>
    <n v="2971622226"/>
    <s v="KON-OPE-SAO-PVI-BTC-ARGO-DELOITTE"/>
    <s v="-"/>
    <x v="151"/>
    <n v="438.75"/>
    <n v="0"/>
    <n v="0"/>
    <n v="0"/>
    <n v="0"/>
    <n v="0"/>
    <s v="Reserva importada do Sistema TMS. OS: 111161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2620713"/>
    <n v="23436166"/>
    <s v="ACC01"/>
    <x v="163"/>
    <d v="2025-07-30T08:09:17"/>
    <s v="09 a 15 dias"/>
    <s v="16 a 23 dias"/>
    <s v="5EQI8Y"/>
    <s v="TMS"/>
    <s v="ROGERIO PANESSA"/>
    <s v="Catia Leite Oliveira"/>
    <s v="Catia Leite Oliveira"/>
    <x v="145"/>
    <n v="109945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152"/>
    <n v="0"/>
    <n v="0"/>
    <n v="0"/>
    <n v="0"/>
    <n v="0"/>
    <n v="0"/>
    <s v="Reserva importada do Sistema TMS. OS: 109945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20719"/>
    <n v="23436172"/>
    <s v="ACC01"/>
    <x v="164"/>
    <d v="2025-07-30T08:09:19"/>
    <s v="09 a 15 dias"/>
    <s v="16 a 23 dias"/>
    <s v="5EVKI6"/>
    <s v="TMS"/>
    <s v="ROGERIO PANESSA"/>
    <s v="Catia Leite Oliveira"/>
    <s v="Catia Leite Oliveira"/>
    <x v="146"/>
    <n v="109907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153"/>
    <n v="0"/>
    <n v="0"/>
    <n v="0"/>
    <n v="0"/>
    <n v="0"/>
    <n v="0"/>
    <s v="Reserva importada do Sistema TMS. OS: 109907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731937"/>
    <n v="23529388"/>
    <s v="ACC01"/>
    <x v="165"/>
    <d v="2025-08-12T18:41:06"/>
    <s v="0 a 02 dias"/>
    <s v="0 a 02 dias"/>
    <s v="5G9Y68"/>
    <s v="TMS"/>
    <s v="FABIO LEITE"/>
    <s v="Adriana Dias de Grano"/>
    <s v="Adriana Dias de Grano"/>
    <x v="147"/>
    <n v="111088"/>
    <s v="Manaus / AM, Brasil (MAO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154"/>
    <n v="0"/>
    <n v="356.56"/>
    <n v="0"/>
    <n v="0"/>
    <n v="0"/>
    <n v="0"/>
    <s v="Reserva importada do Sistema TMS. OS: 111088"/>
    <s v="Fornecedor não preenchido! (ACC01)"/>
    <s v="ARGO(TMS)"/>
    <s v="Falta de Fornecedor"/>
    <s v="Campo Fornecedor"/>
    <s v="Dados do Fornecedor"/>
    <s v="Qualidade dos dados"/>
    <s v="KONTIK BUSINESS TRAVEL"/>
  </r>
  <r>
    <n v="22680752"/>
    <n v="23485233"/>
    <s v="ACC01"/>
    <x v="166"/>
    <d v="2025-08-05T07:10:41"/>
    <s v="06 a 08 dias"/>
    <s v="09 a 15 dias"/>
    <s v="5FH818"/>
    <s v="TMS"/>
    <s v="RAISSA COSTA"/>
    <s v="Tms"/>
    <s v="Tms"/>
    <x v="148"/>
    <n v="110580"/>
    <s v="-"/>
    <s v="ON LINE"/>
    <s v="Cartão de crédito"/>
    <s v="Cartão de crédito"/>
    <s v="Hotel"/>
    <s v="N"/>
    <s v="Grupo Deloitte"/>
    <s v="Deloitte Consultores - Recife"/>
    <s v="-"/>
    <s v="Charlie Nyc Berrini Residence - Inativo"/>
    <s v="-"/>
    <s v="KON-OPE-SAO-PVI-BTC-ARGO-DELOITTE"/>
    <s v="-"/>
    <x v="155"/>
    <n v="0"/>
    <n v="0"/>
    <n v="0"/>
    <n v="0"/>
    <n v="0"/>
    <n v="0"/>
    <s v="Reserva importada do Sistema TMS. OS: 110580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40232"/>
    <n v="23451217"/>
    <s v="ACC01"/>
    <x v="167"/>
    <d v="2025-08-04T13:10:20"/>
    <s v="09 a 15 dias"/>
    <s v="16 a 23 dias"/>
    <s v="5ENU9L"/>
    <s v="TMS"/>
    <s v="DANIEL RODRIGUES"/>
    <s v="Tms"/>
    <s v="Tms"/>
    <x v="149"/>
    <n v="110165"/>
    <s v="-"/>
    <s v="ON LINE"/>
    <s v="Cartão de crédito"/>
    <s v="Cartão de crédito"/>
    <s v="Hotel"/>
    <s v="N"/>
    <s v="Grupo Deloitte"/>
    <s v="Deloitte Consultores - Sao Paulo"/>
    <s v="-"/>
    <s v="Charlie Nyc Berrini Residence - Inativo"/>
    <s v="-"/>
    <s v="KON-OPE-SAO-PVI-BTC-ARGO-DELOITTE"/>
    <s v="-"/>
    <x v="156"/>
    <n v="0"/>
    <n v="0"/>
    <n v="0"/>
    <n v="0"/>
    <n v="0"/>
    <n v="0"/>
    <s v="Reserva importada do Sistema TMS. OS: 110165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57813"/>
    <n v="23466661"/>
    <s v="ACC01"/>
    <x v="168"/>
    <d v="2025-08-01T06:10:21"/>
    <s v="09 a 15 dias"/>
    <s v="09 a 15 dias"/>
    <s v="5F5RKE"/>
    <s v="TMS"/>
    <s v="NATALIA ALICE BASSO CANDIDO"/>
    <s v="Claudia Lucia Stella"/>
    <s v="Claudia Lucia Stella"/>
    <x v="150"/>
    <n v="45950"/>
    <s v="-"/>
    <s v="OFF LINE"/>
    <s v="Invoice"/>
    <s v="Faturado"/>
    <s v="Serviço"/>
    <s v="N"/>
    <s v="Grupo Htb"/>
    <s v="Htb Engenharia e Construcao"/>
    <s v="-"/>
    <s v="Itamarati Hotel"/>
    <s v="-"/>
    <s v="KON-OPE-SAO-PVI-BTC-ARGO-HTB"/>
    <s v="-"/>
    <x v="157"/>
    <n v="0"/>
    <n v="0"/>
    <n v="0"/>
    <n v="0"/>
    <n v="0"/>
    <n v="0"/>
    <s v="Reserva importada do Sistema TMS. OS: 45950"/>
    <s v="Não foi possível encontrar um contrato válido para o fornecedor 67595 (Código fornecedor) "/>
    <s v="ARGO(TMS)"/>
    <s v="Contrato de fornecedor"/>
    <s v="Análise Cadastro"/>
    <s v="Dados do Fornecedor"/>
    <s v="Qualidade dos dados"/>
    <s v="KONTIK BUSINESS TRAVEL"/>
  </r>
  <r>
    <n v="22732040"/>
    <n v="23529485"/>
    <s v="ACC01"/>
    <x v="169"/>
    <d v="2025-08-12T18:51:27"/>
    <s v="0 a 02 dias"/>
    <s v="0 a 02 dias"/>
    <s v="5G027I"/>
    <s v="TMS"/>
    <s v="MARIENNE COUTINHO"/>
    <s v="Viviane Novaes Araujo"/>
    <s v="Viviane Novaes Araujo"/>
    <x v="151"/>
    <n v="226069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58"/>
    <n v="0"/>
    <n v="0"/>
    <n v="0"/>
    <n v="0"/>
    <n v="469.74"/>
    <n v="0"/>
    <s v="Reserva importada do Sistema TMS. OS: 226069"/>
    <s v="Fornecedor não preenchido! (ACC01)"/>
    <s v="ARGO(TMS)"/>
    <s v="Falta de Fornecedor"/>
    <s v="Campo Fornecedor"/>
    <s v="Dados do Fornecedor"/>
    <s v="Qualidade dos dados"/>
    <s v="KONTIK BUSINESS TRAVEL"/>
  </r>
  <r>
    <n v="22732091"/>
    <n v="23529537"/>
    <s v="ACC01"/>
    <x v="170"/>
    <d v="2025-08-12T18:56:07"/>
    <s v="0 a 02 dias"/>
    <s v="0 a 02 dias"/>
    <s v="5G14JK"/>
    <s v="TMS"/>
    <s v="ANA SILVA"/>
    <s v="Viviane Novaes Araujo"/>
    <s v="Viviane Novaes Araujo"/>
    <x v="152"/>
    <n v="225948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59"/>
    <n v="0"/>
    <n v="0"/>
    <n v="0"/>
    <n v="0"/>
    <n v="0"/>
    <n v="0"/>
    <s v="Reserva importada do Sistema TMS. OS: 225948"/>
    <s v="Fornecedor não preenchido! (ACC01)"/>
    <s v="ARGO(TMS)"/>
    <s v="Falta de Fornecedor"/>
    <s v="Campo Fornecedor"/>
    <s v="Dados do Fornecedor"/>
    <s v="Qualidade dos dados"/>
    <s v="KONTIK BUSINESS TRAVEL"/>
  </r>
  <r>
    <n v="22732096"/>
    <n v="23529542"/>
    <s v="ACC01"/>
    <x v="171"/>
    <d v="2025-08-12T19:03:18"/>
    <s v="0 a 02 dias"/>
    <s v="0 a 02 dias"/>
    <s v="5GEVJI"/>
    <s v="TMS"/>
    <s v="CAUE GREGORES"/>
    <s v="Viviane Novaes Araujo"/>
    <s v="Viviane Novaes Araujo"/>
    <x v="153"/>
    <n v="225941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60"/>
    <n v="0"/>
    <n v="0"/>
    <n v="0"/>
    <n v="0"/>
    <n v="661.53"/>
    <n v="0"/>
    <s v="Reserva importada do Sistema TMS. OS: 225941"/>
    <s v="Fornecedor não preenchido! (ACC01)"/>
    <s v="ARGO(TMS)"/>
    <s v="Falta de Fornecedor"/>
    <s v="Campo Fornecedor"/>
    <s v="Dados do Fornecedor"/>
    <s v="Qualidade dos dados"/>
    <s v="KONTIK BUSINESS TRAVEL"/>
  </r>
  <r>
    <n v="22732098"/>
    <n v="23529544"/>
    <s v="ACC01"/>
    <x v="172"/>
    <d v="2025-08-12T19:03:24"/>
    <s v="0 a 02 dias"/>
    <s v="0 a 02 dias"/>
    <s v="5GGR78"/>
    <s v="TMS"/>
    <s v="FELIPE CATHARINO"/>
    <s v="Viviane Novaes Araujo"/>
    <s v="Viviane Novaes Araujo"/>
    <x v="154"/>
    <n v="225935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61"/>
    <n v="0"/>
    <n v="0"/>
    <n v="0"/>
    <n v="0"/>
    <n v="943.4"/>
    <n v="0"/>
    <s v="Reserva importada do Sistema TMS. OS: 225935"/>
    <s v="Fornecedor não preenchido! (ACC01)"/>
    <s v="ARGO(TMS)"/>
    <s v="Falta de Fornecedor"/>
    <s v="Campo Fornecedor"/>
    <s v="Dados do Fornecedor"/>
    <s v="Qualidade dos dados"/>
    <s v="KONTIK BUSINESS TRAVEL"/>
  </r>
  <r>
    <n v="22732101"/>
    <n v="23529547"/>
    <s v="ACC01"/>
    <x v="173"/>
    <d v="2025-08-12T19:03:35"/>
    <s v="0 a 02 dias"/>
    <s v="0 a 02 dias"/>
    <s v="5GJVJK"/>
    <s v="TMS"/>
    <s v="DINO ALMEIDA"/>
    <s v="Viviane Novaes Araujo"/>
    <s v="Viviane Novaes Araujo"/>
    <x v="155"/>
    <n v="225934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61"/>
    <n v="0"/>
    <n v="0"/>
    <n v="0"/>
    <n v="0"/>
    <n v="943.4"/>
    <n v="0"/>
    <s v="Reserva importada do Sistema TMS. OS: 225934"/>
    <s v="Fornecedor não preenchido! (ACC01)"/>
    <s v="ARGO(TMS)"/>
    <s v="Falta de Fornecedor"/>
    <s v="Campo Fornecedor"/>
    <s v="Dados do Fornecedor"/>
    <s v="Qualidade dos dados"/>
    <s v="KONTIK BUSINESS TRAVEL"/>
  </r>
  <r>
    <n v="22724378"/>
    <n v="23522628"/>
    <s v="ACC01"/>
    <x v="174"/>
    <d v="2025-08-11T18:37:14"/>
    <s v="0 a 02 dias"/>
    <s v="0 a 02 dias"/>
    <s v="5GJ7IY"/>
    <s v="TMS"/>
    <s v="THOMAS FIGUEIREDO"/>
    <s v="Viviane Novaes Araujo"/>
    <s v="Viviane Novaes Araujo"/>
    <x v="156"/>
    <n v="22564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2"/>
    <n v="0"/>
    <n v="0"/>
    <n v="0"/>
    <n v="0"/>
    <n v="0"/>
    <n v="0"/>
    <s v="Reserva importada do Sistema TMS. OS: 225640"/>
    <s v="Fornecedor não preenchido! (ACC01)"/>
    <s v="ARGO(TMS)"/>
    <s v="Falta de Fornecedor"/>
    <s v="Campo Fornecedor"/>
    <s v="Dados do Fornecedor"/>
    <s v="Qualidade dos dados"/>
    <s v="KONTIK BUSINESS TRAVEL"/>
  </r>
  <r>
    <n v="22724384"/>
    <n v="23522634"/>
    <s v="ACC01"/>
    <x v="175"/>
    <d v="2025-08-11T18:37:14"/>
    <s v="0 a 02 dias"/>
    <s v="0 a 02 dias"/>
    <s v="5GSKK6"/>
    <s v="TMS"/>
    <s v="BEATRIZ CAMARGO"/>
    <s v="Viviane Novaes Araujo"/>
    <s v="Viviane Novaes Araujo"/>
    <x v="157"/>
    <n v="225639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2"/>
    <n v="0"/>
    <n v="0"/>
    <n v="0"/>
    <n v="0"/>
    <n v="0"/>
    <n v="0"/>
    <s v="Reserva importada do Sistema TMS. OS: 225639"/>
    <s v="Fornecedor não preenchido! (ACC01)"/>
    <s v="ARGO(TMS)"/>
    <s v="Falta de Fornecedor"/>
    <s v="Campo Fornecedor"/>
    <s v="Dados do Fornecedor"/>
    <s v="Qualidade dos dados"/>
    <s v="KONTIK BUSINESS TRAVEL"/>
  </r>
  <r>
    <n v="22724337"/>
    <n v="23522585"/>
    <s v="ACC01"/>
    <x v="176"/>
    <d v="2025-08-11T18:27:41"/>
    <s v="0 a 02 dias"/>
    <s v="0 a 02 dias"/>
    <s v="5G5V8H"/>
    <s v="TMS"/>
    <s v="PAOLA RIGO"/>
    <s v="Viviane Novaes Araujo"/>
    <s v="Viviane Novaes Araujo"/>
    <x v="158"/>
    <n v="22570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3"/>
    <n v="0"/>
    <n v="0"/>
    <n v="0"/>
    <n v="0"/>
    <n v="0"/>
    <n v="0"/>
    <s v="Reserva importada do Sistema TMS. OS: 225701"/>
    <s v="Fornecedor não preenchido! (ACC01)"/>
    <s v="ARGO(TMS)"/>
    <s v="Falta de Fornecedor"/>
    <s v="Campo Fornecedor"/>
    <s v="Dados do Fornecedor"/>
    <s v="Qualidade dos dados"/>
    <s v="KONTIK BUSINESS TRAVEL"/>
  </r>
  <r>
    <n v="22724338"/>
    <n v="23522586"/>
    <s v="ACC01"/>
    <x v="177"/>
    <d v="2025-08-11T18:31:11"/>
    <s v="0 a 02 dias"/>
    <s v="0 a 02 dias"/>
    <s v="5G7RIH"/>
    <s v="TMS"/>
    <s v="PAOLA RIGO"/>
    <s v="Viviane Novaes Araujo"/>
    <s v="Viviane Novaes Araujo"/>
    <x v="158"/>
    <n v="22570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4"/>
    <n v="0"/>
    <n v="0"/>
    <n v="0"/>
    <n v="0"/>
    <n v="0"/>
    <n v="0"/>
    <s v="Reserva importada do Sistema TMS. OS: 225701"/>
    <s v="Fornecedor não preenchido! (ACC01)"/>
    <s v="ARGO(TMS)"/>
    <s v="Falta de Fornecedor"/>
    <s v="Campo Fornecedor"/>
    <s v="Dados do Fornecedor"/>
    <s v="Qualidade dos dados"/>
    <s v="KONTIK BUSINESS TRAVEL"/>
  </r>
  <r>
    <n v="22693497"/>
    <n v="23496423"/>
    <s v="ACC01"/>
    <x v="178"/>
    <d v="2025-08-06T13:49:12"/>
    <s v="06 a 08 dias"/>
    <s v="06 a 08 dias"/>
    <s v="5GQ721"/>
    <s v="TMS"/>
    <s v="RICARDO ANTUNES"/>
    <s v="Robson Amaro Santos da Silva"/>
    <s v="Robson Amaro Santos da Silva"/>
    <x v="159"/>
    <n v="224777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65"/>
    <n v="0"/>
    <n v="0"/>
    <n v="0"/>
    <n v="0"/>
    <n v="0"/>
    <n v="0"/>
    <s v="Reserva importada do Sistema TMS. OS: 224777"/>
    <s v="Fornecedor não preenchido! (ACC01)"/>
    <s v="ARGO(TMS)"/>
    <s v="Falta de Fornecedor"/>
    <s v="Campo Fornecedor"/>
    <s v="Dados do Fornecedor"/>
    <s v="Qualidade dos dados"/>
    <s v="KONTIK BUSINESS TRAVEL"/>
  </r>
  <r>
    <n v="22694619"/>
    <n v="23497465"/>
    <s v="ACC01"/>
    <x v="179"/>
    <d v="2025-08-06T16:44:28"/>
    <s v="06 a 08 dias"/>
    <s v="06 a 08 dias"/>
    <s v="5GV6FZ"/>
    <s v="TMS"/>
    <s v="MARIA SILVA"/>
    <s v="Robson Amaro Santos da Silva"/>
    <s v="Robson Amaro Santos da Silva"/>
    <x v="160"/>
    <n v="224772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66"/>
    <n v="0"/>
    <n v="0"/>
    <n v="0"/>
    <n v="0"/>
    <n v="0"/>
    <n v="0"/>
    <s v="Reserva importada do Sistema TMS. OS: 224772"/>
    <s v="Fornecedor não preenchido! (ACC01)"/>
    <s v="ARGO(TMS)"/>
    <s v="Falta de Fornecedor"/>
    <s v="Campo Fornecedor"/>
    <s v="Dados do Fornecedor"/>
    <s v="Qualidade dos dados"/>
    <s v="KONTIK BUSINESS TRAVEL"/>
  </r>
  <r>
    <n v="22694620"/>
    <n v="23497467"/>
    <s v="ACC01"/>
    <x v="180"/>
    <d v="2025-08-06T16:44:28"/>
    <s v="06 a 08 dias"/>
    <s v="06 a 08 dias"/>
    <s v="5G56FZ"/>
    <s v="TMS"/>
    <s v="FERNANDA FARIA"/>
    <s v="Robson Amaro Santos da Silva"/>
    <s v="Robson Amaro Santos da Silva"/>
    <x v="161"/>
    <n v="224770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66"/>
    <n v="0"/>
    <n v="0"/>
    <n v="0"/>
    <n v="0"/>
    <n v="0"/>
    <n v="0"/>
    <s v="Reserva importada do Sistema TMS. OS: 224770"/>
    <s v="Fornecedor não preenchido! (ACC01)"/>
    <s v="ARGO(TMS)"/>
    <s v="Falta de Fornecedor"/>
    <s v="Campo Fornecedor"/>
    <s v="Dados do Fornecedor"/>
    <s v="Qualidade dos dados"/>
    <s v="KONTIK BUSINESS TRAVEL"/>
  </r>
  <r>
    <n v="22724361"/>
    <n v="23522611"/>
    <s v="ACC01"/>
    <x v="181"/>
    <d v="2025-08-11T18:32:35"/>
    <s v="0 a 02 dias"/>
    <s v="0 a 02 dias"/>
    <s v="5GCY86"/>
    <s v="TMS"/>
    <s v="VANUSA SOUZA"/>
    <s v="Valeria Bottino da Silva"/>
    <s v="Valeria Bottino da Silva"/>
    <x v="162"/>
    <n v="22566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7"/>
    <n v="0"/>
    <n v="0"/>
    <n v="0"/>
    <n v="0"/>
    <n v="0"/>
    <n v="0"/>
    <s v="Reserva importada do Sistema TMS. OS: 225661"/>
    <s v="Fornecedor não preenchido! (ACC01)"/>
    <s v="ARGO(TMS)"/>
    <s v="Falta de Fornecedor"/>
    <s v="Campo Fornecedor"/>
    <s v="Dados do Fornecedor"/>
    <s v="Qualidade dos dados"/>
    <s v="KONTIK BUSINESS TRAVEL"/>
  </r>
  <r>
    <n v="22724365"/>
    <n v="23522615"/>
    <s v="ACC01"/>
    <x v="182"/>
    <d v="2025-08-11T18:12:27"/>
    <s v="0 a 02 dias"/>
    <s v="0 a 02 dias"/>
    <s v="BFY8PY"/>
    <s v="TMS"/>
    <s v="FLAVIO OLIVEIRA"/>
    <s v="Valeria Bottino da Silva"/>
    <s v="Valeria Bottino da Silva"/>
    <x v="163"/>
    <n v="225647"/>
    <s v="-"/>
    <s v="OFF LINE"/>
    <s v="Cartão de crédito"/>
    <s v="Cartão de crédito"/>
    <s v="Aéreo"/>
    <s v="N"/>
    <s v="Grupo Kpmg"/>
    <s v="Kpmg Consultoria"/>
    <s v="-"/>
    <s v="Azul Linhas Aereas"/>
    <n v="3023522612"/>
    <s v="KON-OPE-SAO-PVI-KPMG"/>
    <s v="-"/>
    <x v="168"/>
    <n v="107.34"/>
    <n v="0"/>
    <n v="0"/>
    <n v="0"/>
    <n v="0"/>
    <n v="0"/>
    <s v="Reserva importada do Sistema TMS. OS: 225647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687220"/>
    <n v="23490909"/>
    <s v="ACC01"/>
    <x v="183"/>
    <d v="2025-08-05T16:17:17"/>
    <s v="06 a 08 dias"/>
    <s v="06 a 08 dias"/>
    <s v="5FAIHL"/>
    <s v="TMS"/>
    <s v="FABIO GOULARTE"/>
    <s v="Valeria Bottino da Silva"/>
    <s v="Valeria Bottino da Silva"/>
    <x v="164"/>
    <n v="224403"/>
    <s v="-"/>
    <s v="OFF LINE"/>
    <s v="Cartão de crédito"/>
    <s v="Cartão de crédito"/>
    <s v="Hotel"/>
    <s v="N"/>
    <s v="Grupo Kpmg"/>
    <s v="Kpmg"/>
    <s v="-"/>
    <s v="Mirante Hotel"/>
    <s v="-"/>
    <s v="KON-OPE-SAO-PVI-KPMG"/>
    <s v="-"/>
    <x v="169"/>
    <n v="0"/>
    <n v="0"/>
    <n v="0"/>
    <n v="0"/>
    <n v="0"/>
    <n v="0"/>
    <s v="Reserva importada do Sistema TMS. OS: 224403"/>
    <s v="Matrícula não preenchida! (ACC01)"/>
    <s v="ARGO(TMS)"/>
    <s v="Matrícula"/>
    <s v="Falta de informação Gerencial"/>
    <s v="Dados do Fornecedor"/>
    <s v="Qualidade dos dados"/>
    <s v="KONTIK BUSINESS TRAVEL"/>
  </r>
  <r>
    <n v="22724397"/>
    <n v="23522648"/>
    <s v="ACC01"/>
    <x v="184"/>
    <d v="2025-08-11T18:37:15"/>
    <s v="0 a 02 dias"/>
    <s v="0 a 02 dias"/>
    <s v="5G0NIH"/>
    <s v="TMS"/>
    <s v="CAIO NOLASCO"/>
    <s v="Donizete Alves de Souza"/>
    <s v="Donizete Alves de Souza"/>
    <x v="165"/>
    <n v="22561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70"/>
    <n v="0"/>
    <n v="0"/>
    <n v="0"/>
    <n v="0"/>
    <n v="0"/>
    <n v="0"/>
    <s v="Reserva importada do Sistema TMS. OS: 225613"/>
    <s v="Fornecedor não preenchido! (ACC01)"/>
    <s v="ARGO(TMS)"/>
    <s v="Falta de Fornecedor"/>
    <s v="Campo Fornecedor"/>
    <s v="Dados do Fornecedor"/>
    <s v="Qualidade dos dados"/>
    <s v="KONTIK BUSINESS TRAVEL"/>
  </r>
  <r>
    <n v="22724398"/>
    <n v="23522649"/>
    <s v="ACC01"/>
    <x v="185"/>
    <d v="2025-08-11T18:37:15"/>
    <s v="0 a 02 dias"/>
    <s v="0 a 02 dias"/>
    <s v="5GCOK6"/>
    <s v="TMS"/>
    <s v="CAIO NOLASCO"/>
    <s v="Donizete Alves de Souza"/>
    <s v="Donizete Alves de Souza"/>
    <x v="165"/>
    <n v="22561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71"/>
    <n v="0"/>
    <n v="0"/>
    <n v="0"/>
    <n v="0"/>
    <n v="0"/>
    <n v="0"/>
    <s v="Reserva importada do Sistema TMS. OS: 225613"/>
    <s v="Fornecedor não preenchido! (ACC01)"/>
    <s v="ARGO(TMS)"/>
    <s v="Falta de Fornecedor"/>
    <s v="Campo Fornecedor"/>
    <s v="Dados do Fornecedor"/>
    <s v="Qualidade dos dados"/>
    <s v="KONTIK BUSINESS TRAVEL"/>
  </r>
  <r>
    <n v="22703935"/>
    <n v="23506018"/>
    <s v="ACC01"/>
    <x v="186"/>
    <d v="2025-08-07T19:35:35"/>
    <s v="06 a 08 dias"/>
    <s v="06 a 08 dias"/>
    <s v="OCGMIA1"/>
    <s v="TMS"/>
    <s v="DANIEL CIFU"/>
    <s v="Donizete Alves de Souza"/>
    <s v="Donizete Alves de Souza"/>
    <x v="166"/>
    <n v="224799"/>
    <s v="-"/>
    <s v="OFF LINE"/>
    <s v="Cartão de crédito"/>
    <s v="Cartão de crédito"/>
    <s v="Aéreo"/>
    <s v="N"/>
    <s v="Grupo Kpmg"/>
    <s v="Kpmg Structured"/>
    <s v="-"/>
    <s v="Latam Airlines Brasil"/>
    <n v="2971569341"/>
    <s v="KON-OPE-SAO-PVI-KPMG"/>
    <s v="-"/>
    <x v="172"/>
    <n v="5.49"/>
    <n v="0"/>
    <n v="0"/>
    <n v="0"/>
    <n v="0"/>
    <n v="0"/>
    <s v="Reserva importada do Sistema TMS. OS: 224799"/>
    <s v="Verificação de bilhetes: Bilhete 2971569341 já sendo utilizado para este fornecedor."/>
    <s v="ARGO(TMS)"/>
    <s v="Bilhete duplicado"/>
    <s v="Bilhete Já Contabilizado"/>
    <s v="Duplicidade de Contabilização"/>
    <s v="Qualidade dos dados"/>
    <s v="GRUPO KONTIK"/>
  </r>
  <r>
    <n v="22702112"/>
    <n v="23504253"/>
    <s v="ACC01"/>
    <x v="187"/>
    <d v="2025-08-07T16:52:22"/>
    <s v="06 a 08 dias"/>
    <s v="06 a 08 dias"/>
    <s v="5GZU1D"/>
    <s v="TMS"/>
    <s v="ELIANE ALMEIDA"/>
    <s v="Donizete Alves de Souza"/>
    <s v="Donizete Alves de Souza"/>
    <x v="167"/>
    <n v="225008"/>
    <s v="-"/>
    <s v="OFF LINE"/>
    <s v="Invoice"/>
    <s v="Faturado"/>
    <s v="Serviço"/>
    <s v="N"/>
    <s v="Grupo Kpmg"/>
    <s v="Kpmg"/>
    <s v="-"/>
    <s v="-"/>
    <s v="-"/>
    <s v="KON-OPE-SAO-PVI-KPMG"/>
    <s v="-"/>
    <x v="173"/>
    <n v="0"/>
    <n v="0"/>
    <n v="0"/>
    <n v="0"/>
    <n v="0"/>
    <n v="0"/>
    <s v="Reserva importada do Sistema TMS. OS: 225008"/>
    <s v="Fornecedor não preenchido! (ACC01)"/>
    <s v="ARGO(TMS)"/>
    <s v="Falta de Fornecedor"/>
    <s v="Campo Fornecedor"/>
    <s v="Dados do Fornecedor"/>
    <s v="Qualidade dos dados"/>
    <s v="KONTIK BUSINESS TRAVEL"/>
  </r>
  <r>
    <n v="22664778"/>
    <n v="23472774"/>
    <s v="ACC01"/>
    <x v="188"/>
    <d v="2025-08-01T13:21:49"/>
    <s v="09 a 15 dias"/>
    <s v="09 a 15 dias"/>
    <s v="5FKQ75"/>
    <s v="TMS"/>
    <s v="PIYALI CHAUDHURY"/>
    <s v="Donizete Alves de Souza"/>
    <s v="Donizete Alves de Souza"/>
    <x v="168"/>
    <n v="223634"/>
    <s v="-"/>
    <s v="OFF LINE"/>
    <s v="Invoice"/>
    <s v="Faturado"/>
    <s v="Serviço"/>
    <s v="N"/>
    <s v="Grupo Kpmg"/>
    <s v="Kpmg Consultoria"/>
    <s v="-"/>
    <s v="-"/>
    <s v="-"/>
    <s v="KON-OPE-SAO-PVI-KPMG"/>
    <s v="-"/>
    <x v="174"/>
    <n v="0"/>
    <n v="0"/>
    <n v="0"/>
    <n v="0"/>
    <n v="0"/>
    <n v="0"/>
    <s v="Reserva importada do Sistema TMS. OS: 223634"/>
    <s v="Fornecedor não preenchido! (ACC01)"/>
    <s v="ARGO(TMS)"/>
    <s v="Falta de Fornecedor"/>
    <s v="Campo Fornecedor"/>
    <s v="Dados do Fornecedor"/>
    <s v="Qualidade dos dados"/>
    <s v="KONTIK BUSINESS TRAVEL"/>
  </r>
  <r>
    <n v="22724299"/>
    <n v="23522547"/>
    <s v="ACC01"/>
    <x v="189"/>
    <d v="2025-08-11T18:22:20"/>
    <s v="0 a 02 dias"/>
    <s v="0 a 02 dias"/>
    <s v="5G2S86"/>
    <s v="TMS"/>
    <s v="ADLER WOCZIKOSKY"/>
    <s v="Tuane Cristina Alves de Oliveira"/>
    <s v="Tuane Cristina Alves de Oliveira"/>
    <x v="96"/>
    <n v="225774"/>
    <s v="-"/>
    <s v="OFF LINE"/>
    <s v="Cartão de crédito"/>
    <s v="Cartão de crédito"/>
    <s v="Hotel"/>
    <s v="N"/>
    <s v="Grupo Kpmg"/>
    <s v="Fcam"/>
    <s v="-"/>
    <s v="-"/>
    <s v="-"/>
    <s v="KON-OPE-SAO-PVI-KPMG"/>
    <s v="-"/>
    <x v="175"/>
    <n v="0"/>
    <n v="0"/>
    <n v="0"/>
    <n v="0"/>
    <n v="0"/>
    <n v="0"/>
    <s v="Reserva importada do Sistema TMS. OS: 225774"/>
    <s v="Fornecedor não preenchido! (ACC01)"/>
    <s v="ARGO(TMS)"/>
    <s v="Falta de Fornecedor"/>
    <s v="Campo Fornecedor"/>
    <s v="Dados do Fornecedor"/>
    <s v="Qualidade dos dados"/>
    <s v="KONTIK BUSINESS TRAVEL"/>
  </r>
  <r>
    <n v="22732117"/>
    <n v="23529563"/>
    <s v="ACC01"/>
    <x v="190"/>
    <d v="2025-08-12T19:04:15"/>
    <s v="0 a 02 dias"/>
    <s v="0 a 02 dias"/>
    <s v="5G9TUK"/>
    <s v="TMS"/>
    <s v="HERCULES SILVA"/>
    <s v="Tuane Cristina Alves de Oliveira"/>
    <s v="Tuane Cristina Alves de Oliveira"/>
    <x v="169"/>
    <n v="225851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176"/>
    <n v="0"/>
    <n v="0"/>
    <n v="0"/>
    <n v="0"/>
    <n v="0"/>
    <n v="0"/>
    <s v="Reserva importada do Sistema TMS. OS: 225851"/>
    <s v="Fornecedor não preenchido! (ACC01)"/>
    <s v="ARGO(TMS)"/>
    <s v="Falta de Fornecedor"/>
    <s v="Campo Fornecedor"/>
    <s v="Dados do Fornecedor"/>
    <s v="Qualidade dos dados"/>
    <s v="KONTIK BUSINESS TRAVEL"/>
  </r>
  <r>
    <n v="22732118"/>
    <n v="23529564"/>
    <s v="ACC01"/>
    <x v="191"/>
    <d v="2025-08-12T19:04:15"/>
    <s v="0 a 02 dias"/>
    <s v="0 a 02 dias"/>
    <s v="5G0HUI"/>
    <s v="TMS"/>
    <s v="RODRIGO MONTEIRO"/>
    <s v="Tuane Cristina Alves de Oliveira"/>
    <s v="Tuane Cristina Alves de Oliveira"/>
    <x v="9"/>
    <n v="225848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177"/>
    <n v="0"/>
    <n v="0"/>
    <n v="0"/>
    <n v="0"/>
    <n v="0"/>
    <n v="0"/>
    <s v="Reserva importada do Sistema TMS. OS: 225848"/>
    <s v="Fornecedor não preenchido! (ACC01)"/>
    <s v="ARGO(TMS)"/>
    <s v="Falta de Fornecedor"/>
    <s v="Campo Fornecedor"/>
    <s v="Dados do Fornecedor"/>
    <s v="Qualidade dos dados"/>
    <s v="KONTIK BUSINESS TRAVEL"/>
  </r>
  <r>
    <n v="22732065"/>
    <n v="23529510"/>
    <s v="ACC01"/>
    <x v="192"/>
    <d v="2025-08-12T18:51:21"/>
    <s v="0 a 02 dias"/>
    <s v="0 a 02 dias"/>
    <s v="5GS3J8"/>
    <s v="TMS"/>
    <s v="Coutinho/Marienne"/>
    <s v="Tuane Cristina Alves de Oliveira"/>
    <s v="Tuane Cristina Alves de Oliveira"/>
    <x v="170"/>
    <n v="225994"/>
    <s v="-"/>
    <s v="OFF LINE"/>
    <s v="Invoice"/>
    <s v="Faturado"/>
    <s v="Aéreo"/>
    <s v="N"/>
    <s v="Grupo Kpmg"/>
    <s v="Kpmg Assessores"/>
    <s v="-"/>
    <s v="Gol Linhas Aereas"/>
    <n v="3023529510"/>
    <s v="KON-OPE-SAO-PVI-KPMG"/>
    <s v="-"/>
    <x v="19"/>
    <n v="130"/>
    <n v="0"/>
    <n v="0"/>
    <n v="0"/>
    <n v="0"/>
    <n v="0"/>
    <s v="Reserva importada do Sistema TMS. OS: 225994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34009"/>
    <n v="23531291"/>
    <s v="ACC01"/>
    <x v="193"/>
    <d v="2025-08-13T00:46:07"/>
    <s v="0 a 02 dias"/>
    <s v="0 a 02 dias"/>
    <s v="5G94XN"/>
    <s v="TMS"/>
    <s v="RODRIGO MONTEIRO"/>
    <s v="Tuane Cristina Alves de Oliveira"/>
    <s v="Tuane Cristina Alves de Oliveira"/>
    <x v="171"/>
    <n v="22608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78"/>
    <n v="0"/>
    <n v="0"/>
    <n v="0"/>
    <n v="0"/>
    <n v="0"/>
    <n v="0"/>
    <s v="Reserva importada do Sistema TMS. OS: 226080"/>
    <s v="Fornecedor não preenchido! (ACC01)"/>
    <s v="ARGO(TMS)"/>
    <s v="Falta de Fornecedor"/>
    <s v="Campo Fornecedor"/>
    <s v="Dados do Fornecedor"/>
    <s v="Qualidade dos dados"/>
    <s v="KONTIK BUSINESS TRAVEL"/>
  </r>
  <r>
    <n v="22721278"/>
    <n v="23519654"/>
    <s v="ACC01"/>
    <x v="194"/>
    <d v="2025-08-11T10:36:56"/>
    <s v="0 a 02 dias"/>
    <s v="0 a 02 dias"/>
    <s v="UCODINC"/>
    <s v="SABRE"/>
    <s v="BARROS/JONATHAN COSTA MR"/>
    <s v="CT"/>
    <s v="CT"/>
    <x v="172"/>
    <s v="UCODIN"/>
    <s v="FOR"/>
    <s v="ON LINE"/>
    <s v="Invoice"/>
    <s v="Faturado"/>
    <s v="Carro"/>
    <s v="N"/>
    <s v="Grupo Innomotics"/>
    <s v="Innomotics Motores e Grandes Conversores Ltda"/>
    <s v="-"/>
    <s v="-"/>
    <s v="-"/>
    <s v="FCM-OPE-SAO-PVI-BTC"/>
    <s v="-"/>
    <x v="179"/>
    <n v="304.3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3903"/>
    <n v="23522160"/>
    <s v="ACC01"/>
    <x v="195"/>
    <d v="2025-08-11T17:19:17"/>
    <s v="0 a 02 dias"/>
    <s v="0 a 02 dias"/>
    <s v="YMVBVG"/>
    <s v="SABRE"/>
    <s v="GOMES DA MATA/FELIPE SIR"/>
    <s v="CT"/>
    <s v="CT"/>
    <x v="173"/>
    <s v="YMVBVG"/>
    <s v="-"/>
    <s v="ON LINE"/>
    <s v="Cartão de crédito"/>
    <s v="Cartão de crédito"/>
    <s v="Aéreo"/>
    <s v="N"/>
    <s v="Grupo Innomotics"/>
    <s v="Innomotics Motores e Grandes Conversores Ltda"/>
    <s v="-"/>
    <s v="Gol Linhas Aereas"/>
    <n v="2143225827"/>
    <s v="FCM-OPE-SAO-PVI-BTC"/>
    <s v="-"/>
    <x v="19"/>
    <n v="474.02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2681821"/>
    <n v="23486261"/>
    <s v="ACC01"/>
    <x v="196"/>
    <d v="2025-08-05T22:13:32"/>
    <s v="06 a 08 dias"/>
    <s v="09 a 15 dias"/>
    <s v="MGJKWB"/>
    <s v="GOVER"/>
    <s v="Fernando Guilhem Silva"/>
    <s v="Juliana dos Santos Pinto"/>
    <s v="Juliana dos Santos Pinto"/>
    <x v="174"/>
    <n v="4575654"/>
    <s v="-"/>
    <s v="OFF LINE"/>
    <s v="Cartão de crédito"/>
    <s v="Cartão AMEX"/>
    <s v="Aéreo"/>
    <s v="N"/>
    <s v="Grupo Atos"/>
    <s v="Atos Brasil Ltda"/>
    <s v="-"/>
    <s v="Gol Linhas Aereas"/>
    <n v="2142700013"/>
    <s v="FCM-OPE-SAO-PVI-ATOS"/>
    <s v="-"/>
    <x v="180"/>
    <n v="773.91"/>
    <n v="0"/>
    <n v="0"/>
    <n v="0"/>
    <n v="0"/>
    <n v="0"/>
    <s v="Reserva importada do sistema Gover. Id: 457565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725695"/>
    <n v="23523920"/>
    <s v="ACC01"/>
    <x v="197"/>
    <d v="2025-08-12T05:51:15"/>
    <s v="0 a 02 dias"/>
    <s v="0 a 02 dias"/>
    <s v="OTZHIV"/>
    <s v="SABRE"/>
    <s v="SANTOS/WALLACE EDUARDO DOS"/>
    <s v="Clayton Alves de Rezende"/>
    <s v="CT"/>
    <x v="175"/>
    <s v="OTZHIV"/>
    <s v="-"/>
    <s v="ON LINE"/>
    <s v="Cartão de crédito"/>
    <s v="Cartão AMEX"/>
    <s v="Aéreo"/>
    <s v="N"/>
    <s v="Grupo Bosch"/>
    <s v="Ctp - Planta Curitiba"/>
    <s v="Cliente FEE no POS"/>
    <s v="Latam Airlines Brasil"/>
    <n v="2971604084"/>
    <s v="FCM-OPE-SAO-PVI-BOSCH"/>
    <s v="-"/>
    <x v="181"/>
    <n v="139.9"/>
    <n v="806.09"/>
    <n v="0"/>
    <n v="139.9"/>
    <n v="0"/>
    <n v="19.29"/>
    <s v="Reserva importada por HubTravel"/>
    <s v="Verificação de bilhetes: Bilhete 2971604084 já sendo utilizado para este fornecedor."/>
    <s v="SABRE"/>
    <s v="Bilhete duplicado"/>
    <s v="Bilhete Já Contabilizado"/>
    <s v="Duplicidade de Contabilização"/>
    <s v="Qualidade dos dados"/>
    <s v="GRUPO KONTIK"/>
  </r>
  <r>
    <n v="22725688"/>
    <n v="23523913"/>
    <s v="ACC01"/>
    <x v="198"/>
    <d v="2025-08-12T05:50:53"/>
    <s v="0 a 02 dias"/>
    <s v="0 a 02 dias"/>
    <s v="NVVNND"/>
    <s v="SABRE"/>
    <s v="ALVARENGA/ERIC COLPAERT DE"/>
    <s v="Clayton Alves de Rezende"/>
    <s v="CT"/>
    <x v="176"/>
    <s v="NVVNND"/>
    <s v="-"/>
    <s v="ON LINE"/>
    <s v="?"/>
    <s v="TKT"/>
    <s v="Aéreo"/>
    <s v="N"/>
    <s v="Grupo Bosch"/>
    <s v="Robert Bosch Limitada - 908a"/>
    <s v="Cliente FEE no POS"/>
    <s v="Latam Airlines Brasil"/>
    <n v="2971592825"/>
    <s v="FCM-OPE-SAO-PVI-BOSCH"/>
    <s v="-"/>
    <x v="19"/>
    <n v="0"/>
    <n v="153.63"/>
    <n v="0"/>
    <n v="0"/>
    <n v="0"/>
    <n v="19.29"/>
    <s v="Reserva importada por HubTravel"/>
    <s v="Verificação de bilhetes: Bilhete 2971592825 já sendo utilizado para este fornecedor."/>
    <s v="SABRE"/>
    <s v="Bilhete duplicado"/>
    <s v="Bilhete Já Contabilizado"/>
    <s v="Duplicidade de Contabilização"/>
    <s v="Qualidade dos dados"/>
    <s v="GRUPO KONTIK"/>
  </r>
  <r>
    <n v="22725702"/>
    <n v="23523927"/>
    <s v="ACC01"/>
    <x v="199"/>
    <d v="2025-08-12T05:51:21"/>
    <s v="0 a 02 dias"/>
    <s v="0 a 02 dias"/>
    <s v="SOJZDC"/>
    <s v="SABRE"/>
    <s v="SANDEOVITH/JOAO ANTONIO DO AM"/>
    <s v="Clayton Alves de Rezende"/>
    <s v="CT"/>
    <x v="107"/>
    <s v="SOJZDC"/>
    <s v="-"/>
    <s v="ON LINE"/>
    <s v="Cartão de crédito"/>
    <s v="Cartão AMEX"/>
    <s v="Aéreo"/>
    <s v="N"/>
    <s v="Grupo Bosch"/>
    <s v="Cap1 - Planta Campinas Bosch - 9080"/>
    <s v="Cliente FEE no POS"/>
    <s v="Lufthansa"/>
    <n v="2971604113"/>
    <s v="FCM-OPE-SAO-PVI-BOSCH"/>
    <s v="-"/>
    <x v="182"/>
    <n v="0"/>
    <n v="762.3"/>
    <n v="0"/>
    <n v="0"/>
    <n v="0"/>
    <n v="19.12"/>
    <s v="Reserva importada por HubTravel"/>
    <s v="Verificação de bilhetes: Bilhete 2971604113 já sendo utilizado para este fornecedor."/>
    <s v="SABRE"/>
    <s v="Bilhete duplicado"/>
    <s v="Bilhete Já Contabilizado"/>
    <s v="Duplicidade de Contabilização"/>
    <s v="Qualidade dos dados"/>
    <s v="GRUPO KONTIK"/>
  </r>
  <r>
    <n v="22725700"/>
    <n v="23523924"/>
    <s v="ACC01"/>
    <x v="200"/>
    <d v="2025-08-12T05:51:18"/>
    <s v="0 a 02 dias"/>
    <s v="0 a 02 dias"/>
    <s v="CTTKUN"/>
    <s v="SABRE"/>
    <s v="SOUZA/LEANDRO BARCELLOS DE"/>
    <s v="Clayton Alves de Rezende"/>
    <s v="CT"/>
    <x v="177"/>
    <s v="CTTKUN"/>
    <s v="-"/>
    <s v="ON LINE"/>
    <s v="Cartão de crédito"/>
    <s v="Cartão AMEX"/>
    <s v="Aéreo"/>
    <s v="N"/>
    <s v="Grupo Bosch"/>
    <s v="Robert Bosch Limitada - 908a"/>
    <s v="Cliente FEE no POS"/>
    <s v="Delta"/>
    <n v="2971604104"/>
    <s v="FCM-OPE-SAO-PVI-BOSCH"/>
    <s v="-"/>
    <x v="183"/>
    <n v="59.54"/>
    <n v="435.14"/>
    <n v="0"/>
    <n v="59.54"/>
    <n v="0"/>
    <n v="19.18"/>
    <s v="Reserva importada por HubTravel"/>
    <s v="Verificação de bilhetes: Bilhete 2971604104 já sendo utilizado para este fornecedor."/>
    <s v="SABRE"/>
    <s v="Bilhete duplicado"/>
    <s v="Bilhete Já Contabilizado"/>
    <s v="Duplicidade de Contabilização"/>
    <s v="Qualidade dos dados"/>
    <s v="GRUPO KONTIK"/>
  </r>
  <r>
    <n v="22725709"/>
    <n v="23523934"/>
    <s v="ACC01"/>
    <x v="201"/>
    <d v="2025-08-12T05:51:24"/>
    <s v="0 a 02 dias"/>
    <s v="0 a 02 dias"/>
    <s v="UKMXNR"/>
    <s v="SABRE"/>
    <s v="CARRAU JIMENEZ/AGUSTIN"/>
    <s v="Clayton Alves de Rezende"/>
    <s v="CT"/>
    <x v="178"/>
    <s v="UKMXNR"/>
    <s v="-"/>
    <s v="ON LINE"/>
    <s v="Cartão de crédito"/>
    <s v="Cartão AMEX"/>
    <s v="Aéreo"/>
    <s v="N"/>
    <s v="Grupo Bosch"/>
    <s v="Robert Bosch Limitada - 9085"/>
    <s v="Cliente FEE no POS"/>
    <s v="Swiss"/>
    <n v="2971604118"/>
    <s v="FCM-OPE-SAO-PVI-BOSCH"/>
    <s v="-"/>
    <x v="184"/>
    <n v="0"/>
    <n v="2734.83"/>
    <n v="0"/>
    <n v="0"/>
    <n v="0"/>
    <n v="19.12"/>
    <s v="Reserva importada por HubTravel"/>
    <s v="Verificação de bilhetes: Bilhete 2971604118 já sendo utilizado para este fornecedor."/>
    <s v="SABRE"/>
    <s v="Bilhete duplicado"/>
    <s v="Bilhete Já Contabilizado"/>
    <s v="Duplicidade de Contabilização"/>
    <s v="Qualidade dos dados"/>
    <s v="GRUPO KONTIK"/>
  </r>
  <r>
    <n v="22725757"/>
    <n v="23523982"/>
    <s v="ACC01"/>
    <x v="202"/>
    <d v="2025-08-12T05:51:25"/>
    <s v="0 a 02 dias"/>
    <s v="0 a 02 dias"/>
    <s v="LXVCAG"/>
    <s v="SABRE"/>
    <s v="SIMOES/STEFFANY MILAN"/>
    <s v="Clayton Alves de Rezende"/>
    <s v="CT"/>
    <x v="179"/>
    <s v="LXVCAG"/>
    <s v="-"/>
    <s v="ON LINE"/>
    <s v="Cartão de crédito"/>
    <s v="Cartão AMEX"/>
    <s v="Aéreo"/>
    <s v="N"/>
    <s v="Grupo Bosch"/>
    <s v="Jvl - Planta Joinville"/>
    <s v="Cliente FEE no POS"/>
    <s v="Lufthansa"/>
    <n v="2971604119"/>
    <s v="FCM-OPE-SAO-PVI-BOSCH"/>
    <s v="-"/>
    <x v="185"/>
    <n v="59.54"/>
    <n v="978.01"/>
    <n v="0"/>
    <n v="59.54"/>
    <n v="0"/>
    <n v="19.12"/>
    <s v="Reserva importada por HubTravel"/>
    <s v="Verificação de bilhetes: Bilhete 2971604119 já sendo utilizado para este fornecedor."/>
    <s v="SABRE"/>
    <s v="Bilhete duplicado"/>
    <s v="Bilhete Já Contabilizado"/>
    <s v="Duplicidade de Contabilização"/>
    <s v="Qualidade dos dados"/>
    <s v="GRUPO KONTIK"/>
  </r>
  <r>
    <n v="22725758"/>
    <n v="23523983"/>
    <s v="ACC01"/>
    <x v="203"/>
    <d v="2025-08-12T05:51:26"/>
    <s v="0 a 02 dias"/>
    <s v="0 a 02 dias"/>
    <s v="WRPRWL"/>
    <s v="SABRE"/>
    <s v="ALMEIDA/BEATRIZ DIOGO DE"/>
    <s v="Clayton Alves de Rezende"/>
    <s v="CT"/>
    <x v="180"/>
    <s v="WRPRWL"/>
    <s v="-"/>
    <s v="ON LINE"/>
    <s v="Cartão de crédito"/>
    <s v="Cartão AMEX"/>
    <s v="Aéreo"/>
    <s v="N"/>
    <s v="Grupo Bosch"/>
    <s v="Jvl - Planta Joinville"/>
    <s v="Cliente FEE no POS"/>
    <s v="Lufthansa"/>
    <n v="2971604121"/>
    <s v="FCM-OPE-SAO-PVI-BOSCH"/>
    <s v="-"/>
    <x v="185"/>
    <n v="59.54"/>
    <n v="978.01"/>
    <n v="0"/>
    <n v="59.54"/>
    <n v="0"/>
    <n v="19.12"/>
    <s v="Reserva importada por HubTravel"/>
    <s v="Verificação de bilhetes: Bilhete 2971604121 já sendo utilizado para este fornecedor."/>
    <s v="SABRE"/>
    <s v="Bilhete duplicado"/>
    <s v="Bilhete Já Contabilizado"/>
    <s v="Duplicidade de Contabilização"/>
    <s v="Qualidade dos dados"/>
    <s v="GRUPO KONTIK"/>
  </r>
  <r>
    <n v="22725759"/>
    <n v="23523984"/>
    <s v="ACC01"/>
    <x v="204"/>
    <d v="2025-08-12T05:51:26"/>
    <s v="0 a 02 dias"/>
    <s v="0 a 02 dias"/>
    <s v="KDZKNK"/>
    <s v="SABRE"/>
    <s v="ALENCAR/NICOLAS NOGUEIRA"/>
    <s v="Flavia Constanzi do Nascimento"/>
    <s v="CT"/>
    <x v="181"/>
    <s v="KDZKNK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71604123"/>
    <s v="FCM-OPE-SAO-PVI-BOSCH"/>
    <s v="-"/>
    <x v="186"/>
    <n v="59.54"/>
    <n v="804.44"/>
    <n v="0"/>
    <n v="59.54"/>
    <n v="0"/>
    <n v="19.12"/>
    <s v="Reserva importada por HubTravel"/>
    <s v="Verificação de bilhetes: Bilhete 2971604123 já sendo utilizado para este fornecedor."/>
    <s v="SABRE"/>
    <s v="Bilhete duplicado"/>
    <s v="Bilhete Já Contabilizado"/>
    <s v="Duplicidade de Contabilização"/>
    <s v="Qualidade dos dados"/>
    <s v="GRUPO KONTIK"/>
  </r>
  <r>
    <n v="22725706"/>
    <n v="23523931"/>
    <s v="ACC01"/>
    <x v="205"/>
    <d v="2025-08-12T05:51:23"/>
    <s v="0 a 02 dias"/>
    <s v="0 a 02 dias"/>
    <s v="FSGFVQ"/>
    <s v="SABRE"/>
    <s v="CARRAU JIMENEZ/AGUSTIN"/>
    <s v="Flavia Constanzi do Nascimento"/>
    <s v="CT"/>
    <x v="182"/>
    <s v="FSGFVQ"/>
    <s v="-"/>
    <s v="ON LINE"/>
    <s v="Cartão de crédito"/>
    <s v="Cartão AMEX"/>
    <s v="Aéreo"/>
    <s v="N"/>
    <s v="Grupo Bosch"/>
    <s v="Robert Bosch Limitada - 9085"/>
    <s v="Cliente FEE no POS"/>
    <s v="Aerolineas Argentinas"/>
    <n v="2971604117"/>
    <s v="FCM-OPE-SAO-PVI-BOSCH"/>
    <s v="-"/>
    <x v="187"/>
    <n v="0"/>
    <n v="242.36"/>
    <n v="0"/>
    <n v="0"/>
    <n v="0"/>
    <n v="19.12"/>
    <s v="Reserva importada por HubTravel"/>
    <s v="Verificação de bilhetes: Bilhete 2971604117 já sendo utilizado para este fornecedor."/>
    <s v="SABRE"/>
    <s v="Bilhete duplicado"/>
    <s v="Bilhete Já Contabilizado"/>
    <s v="Duplicidade de Contabilização"/>
    <s v="Qualidade dos dados"/>
    <s v="GRUPO KONTIK"/>
  </r>
  <r>
    <n v="22725708"/>
    <n v="23523933"/>
    <s v="ACC01"/>
    <x v="206"/>
    <d v="2025-08-12T05:51:24"/>
    <s v="0 a 02 dias"/>
    <s v="0 a 02 dias"/>
    <s v="NFZQFY"/>
    <s v="SABRE"/>
    <s v="CARRAU JIMENEZ/AGUSTIN"/>
    <s v="Flavia Constanzi do Nascimento"/>
    <s v="CT"/>
    <x v="178"/>
    <s v="NFZQFY"/>
    <s v="-"/>
    <s v="ON LINE"/>
    <s v="Cartão de crédito"/>
    <s v="Cartão AMEX"/>
    <s v="Aéreo"/>
    <s v="N"/>
    <s v="Grupo Bosch"/>
    <s v="Robert Bosch Limitada - 9085"/>
    <s v="Cliente FEE no POS"/>
    <s v="Air Europa"/>
    <n v="2952816576"/>
    <s v="FCM-OPE-SAO-PVI-BOSCH"/>
    <s v="-"/>
    <x v="188"/>
    <n v="0"/>
    <n v="1506.08"/>
    <n v="0"/>
    <n v="0"/>
    <n v="0"/>
    <n v="19.12"/>
    <s v="Reserva importada por HubTravel"/>
    <s v="Verificação de bilhetes: Bilhete 2952816576 já sendo utilizado para este fornecedor."/>
    <s v="SABRE"/>
    <s v="Bilhete duplicado"/>
    <s v="Bilhete Já Contabilizado"/>
    <s v="Duplicidade de Contabilização"/>
    <s v="Qualidade dos dados"/>
    <s v="GRUPO KONTIK"/>
  </r>
  <r>
    <n v="22725696"/>
    <n v="23523921"/>
    <s v="ACC01"/>
    <x v="207"/>
    <d v="2025-08-12T05:51:16"/>
    <s v="0 a 02 dias"/>
    <s v="0 a 02 dias"/>
    <s v="URMYWF"/>
    <s v="SABRE"/>
    <s v="BLASQUEZ/DIEGO DOS SANTOS"/>
    <s v="Flavia Constanzi do Nascimento"/>
    <s v="CT"/>
    <x v="74"/>
    <s v="URMYWF"/>
    <s v="-"/>
    <s v="OFF LINE"/>
    <s v="Cartão de crédito"/>
    <s v="Cartão AMEX"/>
    <s v="Aéreo"/>
    <s v="N"/>
    <s v="Grupo Bosch"/>
    <s v="Jvl - Planta Joinville"/>
    <s v="Cliente FEE no POS"/>
    <s v="Latam Airlines Brasil"/>
    <n v="2971604102"/>
    <s v="FCM-OPE-SAO-PVI-BOSCH"/>
    <s v="-"/>
    <x v="189"/>
    <n v="93.65"/>
    <n v="3200.33"/>
    <n v="0"/>
    <n v="93.65"/>
    <n v="0"/>
    <n v="19.18"/>
    <s v="Reserva importada por HubTravel"/>
    <s v="Verificação de bilhetes: Bilhete 2971604102 já sendo utilizado para este fornecedor."/>
    <s v="SABRE"/>
    <s v="Bilhete duplicado"/>
    <s v="Bilhete Já Contabilizado"/>
    <s v="Duplicidade de Contabilização"/>
    <s v="Qualidade dos dados"/>
    <s v="GRUPO KONTIK"/>
  </r>
  <r>
    <n v="22725699"/>
    <n v="23523923"/>
    <s v="ACC01"/>
    <x v="208"/>
    <d v="2025-08-12T05:51:17"/>
    <s v="0 a 02 dias"/>
    <s v="0 a 02 dias"/>
    <s v="FAOGOE"/>
    <s v="SABRE"/>
    <s v="SILVESTRIN/VITOR"/>
    <s v="Flavia Constanzi do Nascimento"/>
    <s v="CT"/>
    <x v="183"/>
    <s v="FAOGOE"/>
    <s v="-"/>
    <s v="ON LINE"/>
    <s v="Cartão de crédito"/>
    <s v="Cartão AMEX"/>
    <s v="Aéreo"/>
    <s v="N"/>
    <s v="Grupo Bosch"/>
    <s v="Robert Bosch Limitada - 9087"/>
    <s v="Cliente FEE no POS"/>
    <s v="Latam Airlines Brasil"/>
    <n v="2971604101"/>
    <s v="FCM-OPE-SAO-PVI-BOSCH"/>
    <s v="-"/>
    <x v="190"/>
    <n v="59.54"/>
    <n v="251.31"/>
    <n v="0"/>
    <n v="59.54"/>
    <n v="0"/>
    <n v="19.18"/>
    <s v="Reserva importada por HubTravel"/>
    <s v="Verificação de bilhetes: Bilhete 2971604101 já sendo utilizado para este fornecedor."/>
    <s v="SABRE"/>
    <s v="Bilhete duplicado"/>
    <s v="Bilhete Já Contabilizado"/>
    <s v="Duplicidade de Contabilização"/>
    <s v="Qualidade dos dados"/>
    <s v="GRUPO KONTIK"/>
  </r>
  <r>
    <n v="22725692"/>
    <n v="23523917"/>
    <s v="ACC01"/>
    <x v="209"/>
    <d v="2025-08-12T05:51:12"/>
    <s v="0 a 02 dias"/>
    <s v="0 a 02 dias"/>
    <s v="UXFZDX"/>
    <s v="SABRE"/>
    <s v="CECCON/EMANUEL VITOR"/>
    <s v="Flavia Constanzi do Nascimento"/>
    <s v="CT"/>
    <x v="184"/>
    <s v="UXFZDX"/>
    <s v="-"/>
    <s v="OFF LINE"/>
    <s v="Cartão de crédito"/>
    <s v="Cartão AMEX"/>
    <s v="Aéreo"/>
    <s v="N"/>
    <s v="Grupo Bosch"/>
    <s v="Ctp - Planta Curitiba"/>
    <s v="Cliente FEE no POS"/>
    <s v="Latam Airlines Brasil"/>
    <n v="2971604088"/>
    <s v="FCM-OPE-SAO-PVI-BOSCH"/>
    <s v="-"/>
    <x v="191"/>
    <n v="139.9"/>
    <n v="3304.02"/>
    <n v="0"/>
    <n v="139.9"/>
    <n v="0"/>
    <n v="19.29"/>
    <s v="Reserva importada por HubTravel"/>
    <s v="Verificação de bilhetes: Bilhete 2971604088 já sendo utilizado para este fornecedor."/>
    <s v="SABRE"/>
    <s v="Bilhete duplicado"/>
    <s v="Bilhete Já Contabilizado"/>
    <s v="Duplicidade de Contabilização"/>
    <s v="Qualidade dos dados"/>
    <s v="GRUPO KONTIK"/>
  </r>
  <r>
    <n v="22725598"/>
    <n v="23523818"/>
    <s v="ACC01"/>
    <x v="210"/>
    <d v="2025-08-12T05:50:51"/>
    <s v="0 a 02 dias"/>
    <s v="0 a 02 dias"/>
    <s v="ABUINN"/>
    <s v="SABRE"/>
    <s v="ALVARENGA/ERIC COLPAERT DE"/>
    <s v="Flavia Constanzi do Nascimento"/>
    <s v="CT"/>
    <x v="184"/>
    <s v="ABUINN"/>
    <s v="-"/>
    <s v="ON LINE"/>
    <s v="Cartão de crédito"/>
    <s v="Cartão AMEX"/>
    <s v="Aéreo"/>
    <s v="N"/>
    <s v="Grupo Bosch"/>
    <s v="Robert Bosch Limitada - 908a"/>
    <s v="Cliente FEE no POS"/>
    <s v="Turkish Airlines"/>
    <n v="2971604086"/>
    <s v="FCM-OPE-SAO-PVI-BOSCH"/>
    <s v="-"/>
    <x v="192"/>
    <n v="0"/>
    <n v="989.8"/>
    <n v="0"/>
    <n v="0"/>
    <n v="0"/>
    <n v="19.29"/>
    <s v="Reserva importada por HubTravel"/>
    <s v="Verificação de bilhetes: Bilhete 2971604086 já sendo utilizado para este fornecedor."/>
    <s v="SABRE"/>
    <s v="Bilhete duplicado"/>
    <s v="Bilhete Já Contabilizado"/>
    <s v="Duplicidade de Contabilização"/>
    <s v="Qualidade dos dados"/>
    <s v="GRUPO KONTIK"/>
  </r>
  <r>
    <n v="22725761"/>
    <n v="23523985"/>
    <s v="ACC01"/>
    <x v="211"/>
    <d v="2025-08-12T05:51:27"/>
    <s v="0 a 02 dias"/>
    <s v="0 a 02 dias"/>
    <s v="AEOQJY"/>
    <s v="SABRE"/>
    <s v="CAETANO/HELENE GUERSONI DE LI"/>
    <s v="Wellington Ribeiro da Silva"/>
    <s v="CT"/>
    <x v="185"/>
    <s v="AEOQJY"/>
    <s v="-"/>
    <s v="ON LINE"/>
    <s v="Cartão de crédito"/>
    <s v="Cartão AMEX"/>
    <s v="Aéreo"/>
    <s v="N"/>
    <s v="Grupo Bosch"/>
    <s v="Cap1 - Planta Campinas Bosch - 9080"/>
    <s v="Cliente FEE no POS"/>
    <s v="Lufthansa"/>
    <n v="2971604125"/>
    <s v="FCM-OPE-SAO-PVI-BOSCH"/>
    <s v="-"/>
    <x v="193"/>
    <n v="59.54"/>
    <n v="1001.13"/>
    <n v="0"/>
    <n v="59.54"/>
    <n v="0"/>
    <n v="19.12"/>
    <s v="Reserva importada por HubTravel"/>
    <s v="Verificação de bilhetes: Bilhete 2971604125 já sendo utilizado para este fornecedor."/>
    <s v="SABRE"/>
    <s v="Bilhete duplicado"/>
    <s v="Bilhete Já Contabilizado"/>
    <s v="Duplicidade de Contabilização"/>
    <s v="Qualidade dos dados"/>
    <s v="GRUPO KONTIK"/>
  </r>
  <r>
    <n v="22725704"/>
    <n v="23523929"/>
    <s v="ACC01"/>
    <x v="212"/>
    <d v="2025-08-12T05:51:22"/>
    <s v="0 a 02 dias"/>
    <s v="0 a 02 dias"/>
    <s v="KJMHCX"/>
    <s v="SABRE"/>
    <s v="MAI/ARTHUR HENRIQUE GIACOMETT"/>
    <s v="Wellington Ribeiro da Silva"/>
    <s v="CT"/>
    <x v="107"/>
    <s v="KJMHCX"/>
    <s v="-"/>
    <s v="ON LINE"/>
    <s v="Cartão de crédito"/>
    <s v="Cartão AMEX"/>
    <s v="Aéreo"/>
    <s v="N"/>
    <s v="Grupo Bosch"/>
    <s v="Robert Bosch Limitada - 908a"/>
    <s v="Cliente FEE no POS"/>
    <s v="United"/>
    <n v="2971604124"/>
    <s v="FCM-OPE-SAO-PVI-BOSCH"/>
    <s v="-"/>
    <x v="194"/>
    <n v="59.54"/>
    <n v="433.84"/>
    <n v="0"/>
    <n v="59.54"/>
    <n v="0"/>
    <n v="19.12"/>
    <s v="Reserva importada por HubTravel"/>
    <s v="Verificação de bilhetes: Bilhete 2971604124 já sendo utilizado para este fornecedor."/>
    <s v="SABRE"/>
    <s v="Bilhete duplicado"/>
    <s v="Bilhete Já Contabilizado"/>
    <s v="Duplicidade de Contabilização"/>
    <s v="Qualidade dos dados"/>
    <s v="GRUPO KONTIK"/>
  </r>
  <r>
    <n v="22732738"/>
    <n v="23530162"/>
    <s v="ACC01"/>
    <x v="213"/>
    <d v="2025-08-13T05:51:53"/>
    <s v="0 a 02 dias"/>
    <s v="0 a 02 dias"/>
    <s v="UYWLCN"/>
    <s v="SABRE"/>
    <s v="SUDANO/MARCOS VINICIUS"/>
    <s v="Beatrys Ferreira Rocha"/>
    <s v="CT"/>
    <x v="0"/>
    <s v="UYWLCN"/>
    <s v="-"/>
    <s v="ON LINE"/>
    <s v="Cartão de crédito"/>
    <s v="Cartão AMEX"/>
    <s v="Aéreo"/>
    <s v="N"/>
    <s v="Grupo Bosch"/>
    <s v="Jvl - Planta Joinville"/>
    <s v="Cliente FEE no POS"/>
    <s v="Eurowings"/>
    <n v="2971604145"/>
    <s v="FCM-OPE-SAO-PVI-BOSCH"/>
    <s v="-"/>
    <x v="195"/>
    <n v="0"/>
    <n v="262.10000000000002"/>
    <n v="0"/>
    <n v="0"/>
    <n v="0"/>
    <n v="19.07"/>
    <s v="Reserva importada por HubTravel"/>
    <s v="Verificação de bilhetes: Bilhete 2971604145 já sendo utilizado para este fornecedor."/>
    <s v="SABRE"/>
    <s v="Bilhete duplicado"/>
    <s v="Bilhete Já Contabilizado"/>
    <s v="Duplicidade de Contabilização"/>
    <s v="Qualidade dos dados"/>
    <s v="GRUPO KONTIK"/>
  </r>
  <r>
    <n v="22732740"/>
    <n v="23530165"/>
    <s v="ACC01"/>
    <x v="214"/>
    <d v="2025-08-13T05:51:54"/>
    <s v="0 a 02 dias"/>
    <s v="0 a 02 dias"/>
    <s v="UZZPZR"/>
    <s v="SABRE"/>
    <s v="FERRARO BASTOS/EDUARDO"/>
    <s v="Beatrys Ferreira Rocha"/>
    <s v="CT"/>
    <x v="0"/>
    <s v="UZZPZR"/>
    <s v="-"/>
    <s v="ON LINE"/>
    <s v="Cartão de crédito"/>
    <s v="Cartão AMEX"/>
    <s v="Aéreo"/>
    <s v="N"/>
    <s v="Grupo Bosch"/>
    <s v="Robert Bosch Limitada - 9087"/>
    <s v="Cliente FEE no POS"/>
    <s v="Lufthansa"/>
    <n v="2971604143"/>
    <s v="FCM-OPE-SAO-PVI-BOSCH"/>
    <s v="-"/>
    <x v="196"/>
    <n v="59.54"/>
    <n v="994.55"/>
    <n v="0"/>
    <n v="59.54"/>
    <n v="0"/>
    <n v="19.07"/>
    <s v="Reserva importada por HubTravel"/>
    <s v="Verificação de bilhetes: Bilhete 2971604143 já sendo utilizado para este fornecedor."/>
    <s v="SABRE"/>
    <s v="Bilhete duplicado"/>
    <s v="Bilhete Já Contabilizado"/>
    <s v="Duplicidade de Contabilização"/>
    <s v="Qualidade dos dados"/>
    <s v="GRUPO KONTIK"/>
  </r>
  <r>
    <n v="22732492"/>
    <n v="23529928"/>
    <s v="ACC01"/>
    <x v="215"/>
    <d v="2025-08-13T05:51:49"/>
    <s v="0 a 02 dias"/>
    <s v="0 a 02 dias"/>
    <s v="ICEKOG"/>
    <s v="SABRE"/>
    <s v="SAMPAIO/RAFAEL COSTA"/>
    <s v="Beatrys Ferreira Rocha"/>
    <s v="CT"/>
    <x v="0"/>
    <s v="ICEKOG"/>
    <s v="-"/>
    <s v="ON LINE"/>
    <s v="Cartão de crédito"/>
    <s v="Cartão AMEX"/>
    <s v="Aéreo"/>
    <s v="N"/>
    <s v="Grupo Bosch"/>
    <s v="Jvl - Planta Joinville"/>
    <s v="Cliente FEE no POS"/>
    <s v="Air France"/>
    <n v="2971604148"/>
    <s v="FCM-OPE-SAO-PVI-BOSCH"/>
    <s v="-"/>
    <x v="197"/>
    <n v="106.26"/>
    <n v="244.14"/>
    <n v="0"/>
    <n v="106.26"/>
    <n v="0"/>
    <n v="19.07"/>
    <s v="Reserva importada por HubTravel"/>
    <s v="Verificação de bilhetes: Bilhete 2971604148 já sendo utilizado para este fornecedor."/>
    <s v="SABRE"/>
    <s v="Bilhete duplicado"/>
    <s v="Bilhete Já Contabilizado"/>
    <s v="Duplicidade de Contabilização"/>
    <s v="Qualidade dos dados"/>
    <s v="GRUPO KONTIK"/>
  </r>
  <r>
    <n v="22732494"/>
    <n v="23529930"/>
    <s v="ACC01"/>
    <x v="216"/>
    <d v="2025-08-13T05:51:50"/>
    <s v="0 a 02 dias"/>
    <s v="0 a 02 dias"/>
    <s v="UNWYXU"/>
    <s v="SABRE"/>
    <s v="SAMPAIO/RAFAEL COSTA"/>
    <s v="Beatrys Ferreira Rocha"/>
    <s v="CT"/>
    <x v="0"/>
    <s v="UNWYXU"/>
    <s v="-"/>
    <s v="ON LINE"/>
    <s v="Cartão de crédito"/>
    <s v="Cartão AMEX"/>
    <s v="Aéreo"/>
    <s v="N"/>
    <s v="Grupo Bosch"/>
    <s v="Jvl - Planta Joinville"/>
    <s v="Cliente FEE no POS"/>
    <s v="Lufthansa"/>
    <n v="2971604147"/>
    <s v="FCM-OPE-SAO-PVI-BOSCH"/>
    <s v="-"/>
    <x v="198"/>
    <n v="0"/>
    <n v="844.59"/>
    <n v="0"/>
    <n v="0"/>
    <n v="0"/>
    <n v="19.07"/>
    <s v="Reserva importada por HubTravel"/>
    <s v="Verificação de bilhetes: Bilhete 2971604147 já sendo utilizado para este fornecedor."/>
    <s v="SABRE"/>
    <s v="Bilhete duplicado"/>
    <s v="Bilhete Já Contabilizado"/>
    <s v="Duplicidade de Contabilização"/>
    <s v="Qualidade dos dados"/>
    <s v="GRUPO KONTIK"/>
  </r>
  <r>
    <n v="22732495"/>
    <n v="23529931"/>
    <s v="ACC01"/>
    <x v="217"/>
    <d v="2025-08-13T05:51:51"/>
    <s v="0 a 02 dias"/>
    <s v="0 a 02 dias"/>
    <s v="IFSHTP"/>
    <s v="SABRE"/>
    <s v="SAMPAIO/RAFAEL COSTA"/>
    <s v="Beatrys Ferreira Rocha"/>
    <s v="CT"/>
    <x v="0"/>
    <s v="IFSHTP"/>
    <s v="-"/>
    <s v="ON LINE"/>
    <s v="Cartão de crédito"/>
    <s v="Cartão AMEX"/>
    <s v="Aéreo"/>
    <s v="N"/>
    <s v="Grupo Bosch"/>
    <s v="Jvl - Planta Joinville"/>
    <s v="Cliente FEE no POS"/>
    <s v="Lufthansa"/>
    <n v="2971604144"/>
    <s v="FCM-OPE-SAO-PVI-BOSCH"/>
    <s v="-"/>
    <x v="199"/>
    <n v="33.64"/>
    <n v="1798.69"/>
    <n v="0"/>
    <n v="33.64"/>
    <n v="0"/>
    <n v="19.07"/>
    <s v="Reserva importada por HubTravel"/>
    <s v="Verificação de bilhetes: Bilhete 2971604144 já sendo utilizado para este fornecedor."/>
    <s v="SABRE"/>
    <s v="Bilhete duplicado"/>
    <s v="Bilhete Já Contabilizado"/>
    <s v="Duplicidade de Contabilização"/>
    <s v="Qualidade dos dados"/>
    <s v="GRUPO KONTIK"/>
  </r>
  <r>
    <n v="22732498"/>
    <n v="23529934"/>
    <s v="ACC01"/>
    <x v="218"/>
    <d v="2025-08-13T05:51:52"/>
    <s v="0 a 02 dias"/>
    <s v="0 a 02 dias"/>
    <s v="UXRHTQ"/>
    <s v="SABRE"/>
    <s v="ALMEIDA/LAURA BATISTA RODRIGU"/>
    <s v="Beatrys Ferreira Rocha"/>
    <s v="CT"/>
    <x v="0"/>
    <s v="UXRHTQ"/>
    <s v="-"/>
    <s v="ON LINE"/>
    <s v="Cartão de crédito"/>
    <s v="Cartão AMEX"/>
    <s v="Aéreo"/>
    <s v="N"/>
    <s v="Grupo Bosch"/>
    <s v="Jvl - Planta Joinville"/>
    <s v="Cliente FEE no POS"/>
    <s v="Eurowings"/>
    <n v="2971604146"/>
    <s v="FCM-OPE-SAO-PVI-BOSCH"/>
    <s v="-"/>
    <x v="195"/>
    <n v="0"/>
    <n v="262.10000000000002"/>
    <n v="0"/>
    <n v="0"/>
    <n v="0"/>
    <n v="19.07"/>
    <s v="Reserva importada por HubTravel"/>
    <s v="Verificação de bilhetes: Bilhete 2971604146 já sendo utilizado para este fornecedor."/>
    <s v="SABRE"/>
    <s v="Bilhete duplicado"/>
    <s v="Bilhete Já Contabilizado"/>
    <s v="Duplicidade de Contabilização"/>
    <s v="Qualidade dos dados"/>
    <s v="GRUPO KONTIK"/>
  </r>
  <r>
    <n v="22693732"/>
    <n v="23496643"/>
    <s v="ACC01"/>
    <x v="219"/>
    <d v="2025-08-07T05:22:54"/>
    <s v="06 a 08 dias"/>
    <s v="06 a 08 dias"/>
    <s v="YMJMGU"/>
    <s v="SABRE"/>
    <s v="MATTOS/LEONARDO LEITE DE"/>
    <s v="Beatrys Ferreira Rocha"/>
    <s v="CT"/>
    <x v="186"/>
    <s v="IFRUUC"/>
    <s v="-"/>
    <s v="ON LINE"/>
    <s v="?"/>
    <s v="TKT"/>
    <s v="Aéreo"/>
    <s v="N"/>
    <s v="Grupo Bosch"/>
    <s v="Ctp - Planta Curitiba"/>
    <s v="Cliente FEE no POS"/>
    <s v="Latam Airlines Brasil"/>
    <n v="2971622753"/>
    <s v="FCM-OPE-SAO-PVI-BOSCH"/>
    <s v="-"/>
    <x v="19"/>
    <n v="0"/>
    <n v="450"/>
    <n v="0"/>
    <n v="0"/>
    <n v="0"/>
    <n v="19.29"/>
    <s v="Reserva importada por HubTravel"/>
    <s v="Verificação de bilhetes: Bilhete 2971622753 já sendo utilizado para este fornecedor."/>
    <s v="SABRE"/>
    <s v="Bilhete duplicado"/>
    <s v="Bilhete Já Contabilizado"/>
    <s v="Duplicidade de Contabilização"/>
    <s v="Qualidade dos dados"/>
    <s v="GRUPO KONTIK"/>
  </r>
  <r>
    <n v="22693732"/>
    <n v="23496644"/>
    <s v="ACC02"/>
    <x v="219"/>
    <d v="2025-08-07T05:22:54"/>
    <s v="06 a 08 dias"/>
    <s v="06 a 08 dias"/>
    <s v="YMJMGU"/>
    <s v="SABRE"/>
    <s v="MATTOS/LEONARDO LEITE DE"/>
    <s v="Beatrys Ferreira Rocha"/>
    <s v="CT"/>
    <x v="186"/>
    <s v="IFRUUC"/>
    <s v="-"/>
    <s v="ON LINE"/>
    <s v="Cartão de crédito"/>
    <s v="Cartão AMEX"/>
    <s v="Aéreo"/>
    <s v="N"/>
    <s v="Grupo Bosch"/>
    <s v="Ctp - Planta Curitiba"/>
    <s v="Cliente FEE no POS"/>
    <s v="Latam Airlines Brasil"/>
    <n v="2971622753"/>
    <s v="FCM-OPE-SAO-PVI-BOSCH"/>
    <s v="-"/>
    <x v="200"/>
    <n v="0"/>
    <n v="0"/>
    <n v="0"/>
    <n v="0"/>
    <n v="0"/>
    <n v="19.29"/>
    <s v="Reserva importada por HubTravel"/>
    <s v="Verificação de bilhetes: Bilhete 2971622753 já sendo utilizado para este fornecedor."/>
    <s v="SABRE"/>
    <s v="Bilhete duplicado"/>
    <s v="Bilhete Já Contabilizado"/>
    <s v="Duplicidade de Contabilização"/>
    <s v="Qualidade dos dados"/>
    <s v="GRUPO KONTIK"/>
  </r>
  <r>
    <n v="22709626"/>
    <n v="23511012"/>
    <s v="ACC"/>
    <x v="220"/>
    <d v="2025-08-08T17:40:29"/>
    <s v="03 a 05 dias"/>
    <s v="03 a 05 dias"/>
    <s v="861MLS"/>
    <s v="MANUAL"/>
    <s v="PINHEIRO VAZ/DANILO"/>
    <s v="Ernani Afranio dos Santos"/>
    <s v="Beatrys Ferreira Rocha"/>
    <x v="187"/>
    <s v="BO070825"/>
    <s v="-"/>
    <s v="OFF LINE"/>
    <s v="Invoice"/>
    <s v="Faturado"/>
    <s v="Aéreo"/>
    <s v="N"/>
    <s v="Grupo Bosch"/>
    <s v="Johnson Controls Hitachi Ar Condicionado do Brasil Ltda"/>
    <s v="-"/>
    <s v="Latam Airlines Brasil"/>
    <n v="2971604111"/>
    <s v="FCM-OPE-SAO-PVI-BOSCH"/>
    <s v="-"/>
    <x v="201"/>
    <n v="33.56"/>
    <n v="0"/>
    <n v="0"/>
    <n v="0"/>
    <n v="0"/>
    <n v="0"/>
    <s v="-"/>
    <s v="Verificação de bilhetes: Bilhete 2971604111 já sendo utilizado para este fornecedor."/>
    <s v="MANUAL"/>
    <s v="Bilhete duplicado"/>
    <s v="Bilhete Já Contabilizado"/>
    <s v="Duplicidade de Contabilização"/>
    <s v="Qualidade dos dados"/>
    <s v="GRUPO KONTIK"/>
  </r>
  <r>
    <n v="22680532"/>
    <n v="23485002"/>
    <s v="ACC01"/>
    <x v="221"/>
    <d v="2025-08-05T07:34:10"/>
    <s v="06 a 08 dias"/>
    <s v="09 a 15 dias"/>
    <s v="MPHMWD"/>
    <s v="SABRE"/>
    <s v="OLIVEIRA/THIAGO MENEZES DE"/>
    <s v="CT"/>
    <s v="CT"/>
    <x v="188"/>
    <s v="MPHMWD"/>
    <s v="-"/>
    <s v="ON LINE"/>
    <s v="Cartão de crédito"/>
    <s v="Cartão AMEX"/>
    <s v="Aéreo"/>
    <s v="N"/>
    <s v="Grupo Bosch"/>
    <s v="Cap1 - Planta Campinas Bosch - 9080"/>
    <s v="Cliente FEE no POS"/>
    <s v="Gol Linhas Aereas"/>
    <n v="7700074850"/>
    <s v="FCM-OPE-SAO-PVI-BOSCH"/>
    <s v="-"/>
    <x v="19"/>
    <n v="0"/>
    <n v="0"/>
    <n v="0"/>
    <n v="0"/>
    <n v="0"/>
    <n v="19.399999999999999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20829"/>
    <n v="23519258"/>
    <s v="ACC01"/>
    <x v="222"/>
    <d v="2025-08-12T05:22:38"/>
    <s v="0 a 02 dias"/>
    <s v="0 a 02 dias"/>
    <s v="HLHVYE"/>
    <s v="SABRE"/>
    <s v="PUIG/TIAGO CARRIL"/>
    <s v="CT"/>
    <s v="CT"/>
    <x v="189"/>
    <s v="MNTV7N"/>
    <s v="-"/>
    <s v="ON LINE"/>
    <s v="Cartão de crédito"/>
    <s v="Cartão AMEX"/>
    <s v="Aéreo"/>
    <s v="N"/>
    <s v="Grupo Bosch"/>
    <s v="Bosch Solucoes Integradas Brasil Ltda"/>
    <s v="Cliente FEE no POS"/>
    <s v="Azul Linhas Aereas"/>
    <n v="7700075219"/>
    <s v="FCM-OPE-SAO-PVI-BOSCH"/>
    <s v="-"/>
    <x v="19"/>
    <n v="0"/>
    <n v="0"/>
    <n v="0"/>
    <n v="0"/>
    <n v="0"/>
    <n v="18.989999999999998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94499"/>
    <n v="23497347"/>
    <s v="ACC01"/>
    <x v="223"/>
    <d v="2025-08-07T05:26:30"/>
    <s v="06 a 08 dias"/>
    <s v="06 a 08 dias"/>
    <s v="HCPHKQ"/>
    <s v="SABRE"/>
    <s v="VALERIO/MARCELO FIGUEIREDO"/>
    <s v="CT"/>
    <s v="CT"/>
    <x v="190"/>
    <s v="AVXEAQ"/>
    <s v="-"/>
    <s v="ON LINE"/>
    <s v="Cartão de crédito"/>
    <s v="Cartão AMEX"/>
    <s v="Aéreo"/>
    <s v="N"/>
    <s v="Grupo Bosch"/>
    <s v="Robert Bosch Limitada - 9085"/>
    <s v="Cliente FEE no POS"/>
    <s v="Gol Linhas Aereas"/>
    <n v="7700074992"/>
    <s v="FCM-OPE-SAO-PVI-BOSCH"/>
    <s v="-"/>
    <x v="19"/>
    <n v="0"/>
    <n v="0"/>
    <n v="0"/>
    <n v="0"/>
    <n v="0"/>
    <n v="19.29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99633"/>
    <n v="23501906"/>
    <s v="ACC01"/>
    <x v="224"/>
    <d v="2025-08-08T05:18:34"/>
    <s v="03 a 05 dias"/>
    <s v="06 a 08 dias"/>
    <s v="MWUGLA"/>
    <s v="SABRE"/>
    <s v="NORONHA/TIAGO RODRIGUES"/>
    <s v="CT"/>
    <s v="CT"/>
    <x v="191"/>
    <s v="NMHTKL"/>
    <s v="-"/>
    <s v="ON LINE"/>
    <s v="Cartão de crédito"/>
    <s v="Cartão AMEX"/>
    <s v="Aéreo"/>
    <s v="N"/>
    <s v="Grupo Bosch"/>
    <s v="Robert Bosch Limitada - 9085"/>
    <s v="Cliente FEE no POS"/>
    <s v="Gol Linhas Aereas"/>
    <n v="7700075060"/>
    <s v="FCM-OPE-SAO-PVI-BOSCH"/>
    <s v="-"/>
    <x v="19"/>
    <n v="0"/>
    <n v="0"/>
    <n v="0"/>
    <n v="0"/>
    <n v="0"/>
    <n v="19.18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01545"/>
    <n v="23503699"/>
    <s v="ACC01"/>
    <x v="225"/>
    <d v="2025-08-08T05:28:04"/>
    <s v="03 a 05 dias"/>
    <s v="06 a 08 dias"/>
    <s v="DSUOAG"/>
    <s v="SABRE"/>
    <s v="GALLO JUNIOR/ADEMAR"/>
    <s v="CT"/>
    <s v="CT"/>
    <x v="192"/>
    <s v="BHVRVC"/>
    <s v="-"/>
    <s v="ON LINE"/>
    <s v="Cartão de crédito"/>
    <s v="Cartão AMEX"/>
    <s v="Aéreo"/>
    <s v="N"/>
    <s v="Grupo Bosch"/>
    <s v="Robert Bosch Limitada - 908a"/>
    <s v="Cliente FEE no POS"/>
    <s v="Azul Linhas Aereas"/>
    <n v="7700075068"/>
    <s v="FCM-OPE-SAO-PVI-BOSCH"/>
    <s v="-"/>
    <x v="19"/>
    <n v="0"/>
    <n v="0"/>
    <n v="0"/>
    <n v="0"/>
    <n v="0"/>
    <n v="19.18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25593"/>
    <n v="23523813"/>
    <s v="ACC01"/>
    <x v="226"/>
    <d v="2025-08-12T05:50:47"/>
    <s v="0 a 02 dias"/>
    <s v="0 a 02 dias"/>
    <s v="OLKLCU"/>
    <s v="SABRE"/>
    <s v="CUNHA/CARLOS GUILHERME PORCIU"/>
    <s v="Itamar de Souza"/>
    <s v="CT"/>
    <x v="193"/>
    <s v="OLKLCU"/>
    <s v="-"/>
    <s v="ON LINE"/>
    <s v="?"/>
    <s v="TKT"/>
    <s v="Aéreo"/>
    <s v="N"/>
    <s v="Grupo Bosch"/>
    <s v="Robert Bosch Limitada - 9087"/>
    <s v="Cliente FEE no POS"/>
    <s v="Latam Airlines Brasil"/>
    <n v="2952816561"/>
    <s v="FCM-OPE-SAO-PVI-BOSCH"/>
    <s v="-"/>
    <x v="19"/>
    <n v="0"/>
    <n v="450"/>
    <n v="0"/>
    <n v="16.059999999999999"/>
    <n v="0"/>
    <n v="19.12"/>
    <s v="Reserva importada por HubTravel"/>
    <s v="Verificação de bilhetes: Bilhete 2952816561 já sendo utilizado para este fornecedor."/>
    <s v="SABRE"/>
    <s v="Bilhete duplicado"/>
    <s v="Bilhete Já Contabilizado"/>
    <s v="Duplicidade de Contabilização"/>
    <s v="Qualidade dos dados"/>
    <s v="GRUPO KONTIK"/>
  </r>
  <r>
    <n v="22725594"/>
    <n v="23523814"/>
    <s v="ACC01"/>
    <x v="227"/>
    <d v="2025-08-12T05:50:48"/>
    <s v="0 a 02 dias"/>
    <s v="0 a 02 dias"/>
    <s v="WXYOVD"/>
    <s v="SABRE"/>
    <s v="BORER/FERNANDO"/>
    <s v="Itamar de Souza"/>
    <s v="CT"/>
    <x v="194"/>
    <s v="WXYOVD"/>
    <s v="-"/>
    <s v="ON LINE"/>
    <s v="?"/>
    <s v="TKT"/>
    <s v="Aéreo"/>
    <s v="N"/>
    <s v="Grupo Bosch"/>
    <s v="Ctp - Planta Curitiba"/>
    <s v="Cliente FEE no POS"/>
    <s v="Latam Airlines Brasil"/>
    <n v="2952816552"/>
    <s v="FCM-OPE-SAO-PVI-BOSCH"/>
    <s v="-"/>
    <x v="19"/>
    <n v="0"/>
    <n v="450"/>
    <n v="0"/>
    <n v="5.6"/>
    <n v="0"/>
    <n v="19.18"/>
    <s v="Reserva importada por HubTravel"/>
    <s v="Verificação de bilhetes: Bilhete 2952816552 já sendo utilizado para este fornecedor."/>
    <s v="SABRE"/>
    <s v="Bilhete duplicado"/>
    <s v="Bilhete Já Contabilizado"/>
    <s v="Duplicidade de Contabilização"/>
    <s v="Qualidade dos dados"/>
    <s v="GRUPO KONTIK"/>
  </r>
  <r>
    <n v="22725595"/>
    <n v="23523815"/>
    <s v="ACC01"/>
    <x v="228"/>
    <d v="2025-08-12T05:50:49"/>
    <s v="0 a 02 dias"/>
    <s v="0 a 02 dias"/>
    <s v="HVRAEH"/>
    <s v="SABRE"/>
    <s v="SILVA/MARIA HELENA DA"/>
    <s v="Itamar de Souza"/>
    <s v="CT"/>
    <x v="195"/>
    <s v="HVRAEH"/>
    <s v="-"/>
    <s v="ON LINE"/>
    <s v="?"/>
    <s v="TKT"/>
    <s v="Aéreo"/>
    <s v="N"/>
    <s v="Grupo Bosch"/>
    <s v="Ctp - Planta Curitiba"/>
    <s v="Cliente FEE no POS"/>
    <s v="Latam Airlines Brasil"/>
    <n v="2952816550"/>
    <s v="FCM-OPE-SAO-PVI-BOSCH"/>
    <s v="-"/>
    <x v="19"/>
    <n v="0"/>
    <n v="450"/>
    <n v="0"/>
    <n v="2.2000000000000002"/>
    <n v="0"/>
    <n v="19.18"/>
    <s v="Reserva importada por HubTravel"/>
    <s v="Verificação de bilhetes: Bilhete 2952816550 já sendo utilizado para este fornecedor."/>
    <s v="SABRE"/>
    <s v="Bilhete duplicado"/>
    <s v="Bilhete Já Contabilizado"/>
    <s v="Duplicidade de Contabilização"/>
    <s v="Qualidade dos dados"/>
    <s v="GRUPO KONTIK"/>
  </r>
  <r>
    <n v="22725596"/>
    <n v="23523816"/>
    <s v="ACC01"/>
    <x v="229"/>
    <d v="2025-08-12T05:50:49"/>
    <s v="0 a 02 dias"/>
    <s v="0 a 02 dias"/>
    <s v="HSMRYQ"/>
    <s v="SABRE"/>
    <s v="NASCIMENTO/JANEIDE FERREIRA D"/>
    <s v="Itamar de Souza"/>
    <s v="CT"/>
    <x v="196"/>
    <s v="HSMRYQ"/>
    <s v="-"/>
    <s v="ON LINE"/>
    <s v="?"/>
    <s v="TKT"/>
    <s v="Aéreo"/>
    <s v="N"/>
    <s v="Grupo Bosch"/>
    <s v="Robert Bosch Limitada - 9085"/>
    <s v="Cliente FEE no POS"/>
    <s v="Latam Airlines Brasil"/>
    <n v="2971622849"/>
    <s v="FCM-OPE-SAO-PVI-BOSCH"/>
    <s v="-"/>
    <x v="19"/>
    <n v="0"/>
    <n v="450"/>
    <n v="0"/>
    <n v="0"/>
    <n v="0"/>
    <n v="19.18"/>
    <s v="Reserva importada por HubTravel"/>
    <s v="Verificação de bilhetes: Bilhete 2971622849 já sendo utilizado para este fornecedor."/>
    <s v="SABRE"/>
    <s v="Bilhete duplicado"/>
    <s v="Bilhete Já Contabilizado"/>
    <s v="Duplicidade de Contabilização"/>
    <s v="Qualidade dos dados"/>
    <s v="GRUPO KONTIK"/>
  </r>
  <r>
    <n v="22725693"/>
    <n v="23523918"/>
    <s v="ACC01"/>
    <x v="230"/>
    <d v="2025-08-12T05:51:13"/>
    <s v="0 a 02 dias"/>
    <s v="0 a 02 dias"/>
    <s v="AYFGVQ"/>
    <s v="SABRE"/>
    <s v="CRUZ/FELIPE ALBERTO BRESSANE"/>
    <s v="Beatrys Ferreira Rocha"/>
    <s v="CT"/>
    <x v="197"/>
    <s v="AYFGVQ"/>
    <s v="-"/>
    <s v="ON LINE"/>
    <s v="Cartão de crédito"/>
    <s v="Cartão AMEX"/>
    <s v="Aéreo"/>
    <s v="N"/>
    <s v="Grupo Bosch"/>
    <s v="Cap1 - Planta Campinas Bosch - 9080"/>
    <s v="Cliente FEE no POS"/>
    <s v="Latam Airlines Brasil"/>
    <n v="2971604094"/>
    <s v="FCM-OPE-SAO-PVI-BOSCH"/>
    <s v="-"/>
    <x v="202"/>
    <n v="59.54"/>
    <n v="806.09"/>
    <n v="0"/>
    <n v="59.54"/>
    <n v="0"/>
    <n v="19.29"/>
    <s v="Reserva importada por HubTravel"/>
    <s v="Verificação de bilhetes: Bilhete 2971604094 já sendo utilizado para este fornecedor."/>
    <s v="SABRE"/>
    <s v="Bilhete duplicado"/>
    <s v="Bilhete Já Contabilizado"/>
    <s v="Duplicidade de Contabilização"/>
    <s v="Qualidade dos dados"/>
    <s v="GRUPO KONTIK"/>
  </r>
  <r>
    <n v="22725701"/>
    <n v="23523926"/>
    <s v="ACC01"/>
    <x v="231"/>
    <d v="2025-08-12T05:51:19"/>
    <s v="0 a 02 dias"/>
    <s v="0 a 02 dias"/>
    <s v="LQPFKH"/>
    <s v="SABRE"/>
    <s v="QUEIROGA FILHO/ROBERTO HONORI"/>
    <s v="Beatrys Ferreira Rocha"/>
    <s v="CT"/>
    <x v="198"/>
    <s v="LQPFKH"/>
    <s v="-"/>
    <s v="OFF LINE"/>
    <s v="Cartão de crédito"/>
    <s v="Cartão AMEX"/>
    <s v="Aéreo"/>
    <s v="N"/>
    <s v="Grupo Bosch"/>
    <s v="Robert Bosch Limitada - 908a"/>
    <s v="Cliente FEE no POS"/>
    <s v="Lufthansa"/>
    <n v="2971604112"/>
    <s v="FCM-OPE-SAO-PVI-BOSCH"/>
    <s v="-"/>
    <x v="203"/>
    <n v="0"/>
    <n v="2780.05"/>
    <n v="0"/>
    <n v="0"/>
    <n v="0"/>
    <n v="19.18"/>
    <s v="Reserva importada por HubTravel"/>
    <s v="Verificação de bilhetes: Bilhete 2971604112 já sendo utilizado para este fornecedor."/>
    <s v="SABRE"/>
    <s v="Bilhete duplicado"/>
    <s v="Bilhete Já Contabilizado"/>
    <s v="Duplicidade de Contabilização"/>
    <s v="Qualidade dos dados"/>
    <s v="GRUPO KONTIK"/>
  </r>
  <r>
    <n v="22725597"/>
    <n v="23523817"/>
    <s v="ACC01"/>
    <x v="232"/>
    <d v="2025-08-12T05:50:50"/>
    <s v="0 a 02 dias"/>
    <s v="0 a 02 dias"/>
    <s v="KXIPTN"/>
    <s v="SABRE"/>
    <s v="MENDONCA/WESLEY DE MELO"/>
    <s v="Beatrys Ferreira Rocha"/>
    <s v="CT"/>
    <x v="199"/>
    <s v="KXIPTN"/>
    <s v="-"/>
    <s v="ON LINE"/>
    <s v="?"/>
    <s v="TKT"/>
    <s v="Aéreo"/>
    <s v="N"/>
    <s v="Grupo Bosch"/>
    <s v="Robert Bosch Limitada - 9085"/>
    <s v="Cliente FEE no POS"/>
    <s v="Latam Airlines Brasil"/>
    <n v="2971622833"/>
    <s v="FCM-OPE-SAO-PVI-BOSCH"/>
    <s v="-"/>
    <x v="19"/>
    <n v="0"/>
    <n v="49.23"/>
    <n v="0"/>
    <n v="49.23"/>
    <n v="0"/>
    <n v="19.18"/>
    <s v="Reserva importada por HubTravel"/>
    <s v="Verificação de bilhetes: Bilhete 2971622833 já sendo utilizado para este fornecedor."/>
    <s v="SABRE"/>
    <s v="Bilhete duplicado"/>
    <s v="Bilhete Já Contabilizado"/>
    <s v="Duplicidade de Contabilização"/>
    <s v="Qualidade dos dados"/>
    <s v="GRUPO KONTIK"/>
  </r>
  <r>
    <n v="22725689"/>
    <n v="23523914"/>
    <s v="ACC01"/>
    <x v="233"/>
    <d v="2025-08-12T05:50:54"/>
    <s v="0 a 02 dias"/>
    <s v="0 a 02 dias"/>
    <s v="KUMXNW"/>
    <s v="SABRE"/>
    <s v="BELLETE/RAFAEL MAXIMIANO"/>
    <s v="Beatrys Ferreira Rocha"/>
    <s v="CT"/>
    <x v="200"/>
    <s v="KUMXNW"/>
    <s v="-"/>
    <s v="ON LINE"/>
    <s v="Cartão de crédito"/>
    <s v="Cartão AMEX"/>
    <s v="Aéreo"/>
    <s v="N"/>
    <s v="Grupo Bosch"/>
    <s v="Cap1 - Planta Campinas Bosch - 9080"/>
    <s v="Cliente FEE no POS"/>
    <s v="Air France"/>
    <n v="2971604085"/>
    <s v="FCM-OPE-SAO-PVI-BOSCH"/>
    <s v="-"/>
    <x v="204"/>
    <n v="59.54"/>
    <n v="1263.8399999999999"/>
    <n v="0"/>
    <n v="59.54"/>
    <n v="0"/>
    <n v="19.29"/>
    <s v="Reserva importada por HubTravel"/>
    <s v="Verificação de bilhetes: Bilhete 2971604085 já sendo utilizado para este fornecedor."/>
    <s v="SABRE"/>
    <s v="Bilhete duplicado"/>
    <s v="Bilhete Já Contabilizado"/>
    <s v="Duplicidade de Contabilização"/>
    <s v="Qualidade dos dados"/>
    <s v="GRUPO KONTIK"/>
  </r>
  <r>
    <n v="22725690"/>
    <n v="23523915"/>
    <s v="ACC01"/>
    <x v="234"/>
    <d v="2025-08-12T05:50:55"/>
    <s v="0 a 02 dias"/>
    <s v="0 a 02 dias"/>
    <s v="QAWKEB"/>
    <s v="SABRE"/>
    <s v="ALVARENGA/ERIC COLPAERT DE"/>
    <s v="Beatrys Ferreira Rocha"/>
    <s v="CT"/>
    <x v="201"/>
    <s v="QAWKEB"/>
    <s v="-"/>
    <s v="ON LINE"/>
    <s v="Cartão de crédito"/>
    <s v="Cartão AMEX"/>
    <s v="Aéreo"/>
    <s v="N"/>
    <s v="Grupo Bosch"/>
    <s v="Robert Bosch Limitada - 908a"/>
    <s v="Cliente FEE no POS"/>
    <s v="Lufthansa"/>
    <n v="2971604092"/>
    <s v="FCM-OPE-SAO-PVI-BOSCH"/>
    <s v="-"/>
    <x v="205"/>
    <n v="59.54"/>
    <n v="519.41999999999996"/>
    <n v="0"/>
    <n v="59.54"/>
    <n v="0"/>
    <n v="19.29"/>
    <s v="Reserva importada por HubTravel"/>
    <s v="Verificação de bilhetes: Bilhete 2971604092 já sendo utilizado para este fornecedor."/>
    <s v="SABRE"/>
    <s v="Bilhete duplicado"/>
    <s v="Bilhete Já Contabilizado"/>
    <s v="Duplicidade de Contabilização"/>
    <s v="Qualidade dos dados"/>
    <s v="GRUPO KONTIK"/>
  </r>
  <r>
    <n v="22725691"/>
    <n v="23523916"/>
    <s v="ACC01"/>
    <x v="235"/>
    <d v="2025-08-12T05:51:11"/>
    <s v="0 a 02 dias"/>
    <s v="0 a 02 dias"/>
    <s v="AXIZKK"/>
    <s v="SABRE"/>
    <s v="OORSCHOT/ALEXANDRE FREDERICI"/>
    <s v="Beatrys Ferreira Rocha"/>
    <s v="CT"/>
    <x v="202"/>
    <s v="AXIZKK"/>
    <s v="-"/>
    <s v="ON LINE"/>
    <s v="Cartão de crédito"/>
    <s v="Cartão AMEX"/>
    <s v="Aéreo"/>
    <s v="N"/>
    <s v="Grupo Bosch"/>
    <s v="Cap1 - Planta Campinas Bosch - 9080"/>
    <s v="Cliente FEE no POS"/>
    <s v="Air France"/>
    <n v="2971604087"/>
    <s v="FCM-OPE-SAO-PVI-BOSCH"/>
    <s v="-"/>
    <x v="206"/>
    <n v="59.54"/>
    <n v="1105.68"/>
    <n v="0"/>
    <n v="59.54"/>
    <n v="0"/>
    <n v="19.29"/>
    <s v="Reserva importada por HubTravel"/>
    <s v="Verificação de bilhetes: Bilhete 2971604087 já sendo utilizado para este fornecedor."/>
    <s v="SABRE"/>
    <s v="Bilhete duplicado"/>
    <s v="Bilhete Já Contabilizado"/>
    <s v="Duplicidade de Contabilização"/>
    <s v="Qualidade dos dados"/>
    <s v="GRUPO KONTIK"/>
  </r>
  <r>
    <n v="22725599"/>
    <n v="23523819"/>
    <s v="ACC01"/>
    <x v="236"/>
    <d v="2025-08-12T05:50:51"/>
    <s v="0 a 02 dias"/>
    <s v="0 a 02 dias"/>
    <s v="UZKPAM"/>
    <s v="SABRE"/>
    <s v="SILVESTRIN/VITOR"/>
    <s v="Beatrys Ferreira Rocha"/>
    <s v="CT"/>
    <x v="184"/>
    <s v="UZKPAM"/>
    <s v="-"/>
    <s v="OFF LINE"/>
    <s v="Cartão de crédito"/>
    <s v="Cartão AMEX"/>
    <s v="Aéreo"/>
    <s v="N"/>
    <s v="Grupo Bosch"/>
    <s v="Robert Bosch Limitada - 9087"/>
    <s v="Cliente FEE no POS"/>
    <s v="Latam Airlines Brasil"/>
    <n v="2971604093"/>
    <s v="FCM-OPE-SAO-PVI-BOSCH"/>
    <s v="-"/>
    <x v="207"/>
    <n v="0"/>
    <n v="815.53"/>
    <n v="0"/>
    <n v="0"/>
    <n v="0"/>
    <n v="19.29"/>
    <s v="Reserva importada por HubTravel"/>
    <s v="Verificação de bilhetes: Bilhete 2971604093 já sendo utilizado para este fornecedor."/>
    <s v="SABRE"/>
    <s v="Bilhete duplicado"/>
    <s v="Bilhete Já Contabilizado"/>
    <s v="Duplicidade de Contabilização"/>
    <s v="Qualidade dos dados"/>
    <s v="GRUPO KONTIK"/>
  </r>
  <r>
    <n v="22725686"/>
    <n v="23523911"/>
    <s v="ACC01"/>
    <x v="237"/>
    <d v="2025-08-12T05:50:52"/>
    <s v="0 a 02 dias"/>
    <s v="0 a 02 dias"/>
    <s v="AQZKVO"/>
    <s v="SABRE"/>
    <s v="MARCHINI/MATHEUS DONISETI"/>
    <s v="Beatrys Ferreira Rocha"/>
    <s v="CT"/>
    <x v="203"/>
    <s v="AQZKVO"/>
    <s v="-"/>
    <s v="ON LINE"/>
    <s v="Cartão de crédito"/>
    <s v="Cartão AMEX"/>
    <s v="Aéreo"/>
    <s v="N"/>
    <s v="Grupo Bosch"/>
    <s v="Robert Bosch Limitada - 908a"/>
    <s v="Cliente FEE no POS"/>
    <s v="Air France"/>
    <n v="2971604083"/>
    <s v="FCM-OPE-SAO-PVI-BOSCH"/>
    <s v="-"/>
    <x v="208"/>
    <n v="59.54"/>
    <n v="794.2"/>
    <n v="0"/>
    <n v="59.54"/>
    <n v="0"/>
    <n v="19.29"/>
    <s v="Reserva importada por HubTravel"/>
    <s v="Verificação de bilhetes: Bilhete 2971604083 já sendo utilizado para este fornecedor."/>
    <s v="SABRE"/>
    <s v="Bilhete duplicado"/>
    <s v="Bilhete Já Contabilizado"/>
    <s v="Duplicidade de Contabilização"/>
    <s v="Qualidade dos dados"/>
    <s v="GRUPO KONTIK"/>
  </r>
  <r>
    <n v="22725687"/>
    <n v="23523912"/>
    <s v="ACC01"/>
    <x v="238"/>
    <d v="2025-08-12T05:50:53"/>
    <s v="0 a 02 dias"/>
    <s v="0 a 02 dias"/>
    <s v="IDYQSF"/>
    <s v="SABRE"/>
    <s v="WIENS/RICARDO DANIEL"/>
    <s v="Beatrys Ferreira Rocha"/>
    <s v="CT"/>
    <x v="184"/>
    <s v="IDYQSF"/>
    <s v="-"/>
    <s v="OFF LINE"/>
    <s v="Cartão de crédito"/>
    <s v="Cartão AMEX"/>
    <s v="Aéreo"/>
    <s v="N"/>
    <s v="Grupo Bosch"/>
    <s v="Ctp - Planta Curitiba"/>
    <s v="Cliente FEE no POS"/>
    <s v="Latam Airlines Brasil"/>
    <n v="2971604090"/>
    <s v="FCM-OPE-SAO-PVI-BOSCH"/>
    <s v="-"/>
    <x v="209"/>
    <n v="139.9"/>
    <n v="1280.05"/>
    <n v="0"/>
    <n v="139.9"/>
    <n v="0"/>
    <n v="19.29"/>
    <s v="Reserva importada por HubTravel"/>
    <s v="Verificação de bilhetes: Bilhete 2971604090 já sendo utilizado para este fornecedor."/>
    <s v="SABRE"/>
    <s v="Bilhete duplicado"/>
    <s v="Bilhete Já Contabilizado"/>
    <s v="Duplicidade de Contabilização"/>
    <s v="Qualidade dos dados"/>
    <s v="GRUPO KONTIK"/>
  </r>
  <r>
    <n v="22731402"/>
    <n v="23528868"/>
    <s v="ACC01"/>
    <x v="239"/>
    <d v="2025-08-12T17:51:27"/>
    <s v="0 a 02 dias"/>
    <s v="0 a 02 dias"/>
    <s v="DPBAVM"/>
    <s v="SABRE"/>
    <s v="DE SOUZA JUNIOR/JOSE ALEXANDRE"/>
    <s v="Ernani Afranio dos Santos"/>
    <s v="Ernani Afranio dos Santos"/>
    <x v="204"/>
    <s v="EMAIL"/>
    <s v="-"/>
    <s v="OFF LINE"/>
    <s v="Cartão de crédito"/>
    <s v="Cartão AMEX"/>
    <s v="Aéreo"/>
    <s v="N"/>
    <s v="Grupo Bosch"/>
    <s v="Johnson Controls Hitachi Ar Condicionado do Brasil Ltda"/>
    <s v="-"/>
    <s v="Azul Linhas Aereas"/>
    <n v="7700075334"/>
    <s v="FCM-OPE-SAO-PVI-BOSCH"/>
    <s v="-"/>
    <x v="19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731693"/>
    <n v="23529149"/>
    <s v="ACC01"/>
    <x v="240"/>
    <d v="2025-08-12T18:10:07"/>
    <s v="0 a 02 dias"/>
    <s v="0 a 02 dias"/>
    <s v="JGQOEU"/>
    <s v="SABRE"/>
    <s v="MARIZ GOMES/CACIO JORGE"/>
    <s v="Ernani Afranio dos Santos"/>
    <s v="Ernani Afranio dos Santos"/>
    <x v="205"/>
    <s v="EMAIL"/>
    <s v="-"/>
    <s v="OFF LINE"/>
    <s v="Cartão de crédito"/>
    <s v="Cartão AMEX"/>
    <s v="Aéreo"/>
    <s v="N"/>
    <s v="Grupo Bosch"/>
    <s v="Johnson Controls Hitachi Ar Condicionado do Brasil Ltda"/>
    <s v="-"/>
    <s v="Azul Linhas Aereas"/>
    <n v="7700075343"/>
    <s v="FCM-OPE-SAO-PVI-BOSCH"/>
    <s v="-"/>
    <x v="19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731929"/>
    <n v="23529380"/>
    <s v="ACC01"/>
    <x v="241"/>
    <d v="2025-08-12T18:21:50"/>
    <s v="0 a 02 dias"/>
    <s v="0 a 02 dias"/>
    <s v="JEJXKO"/>
    <s v="SABRE"/>
    <s v="REZENDE DE SOUZA/ANDRE LUIZ"/>
    <s v="Ernani Afranio dos Santos"/>
    <s v="Ernani Afranio dos Santos"/>
    <x v="206"/>
    <s v="EMAIL"/>
    <s v="-"/>
    <s v="OFF LINE"/>
    <s v="Cartão de crédito"/>
    <s v="Cartão AMEX"/>
    <s v="Aéreo"/>
    <s v="N"/>
    <s v="Grupo Bosch"/>
    <s v="Johnson Controls Hitachi Ar Condicionado do Brasil Ltda"/>
    <s v="-"/>
    <s v="Azul Linhas Aereas"/>
    <n v="7700075356"/>
    <s v="FCM-OPE-SAO-PVI-BOSCH"/>
    <s v="-"/>
    <x v="19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732239"/>
    <n v="23529680"/>
    <s v="ACC01"/>
    <x v="242"/>
    <d v="2025-08-12T18:38:42"/>
    <s v="0 a 02 dias"/>
    <s v="0 a 02 dias"/>
    <s v="JHPRQD"/>
    <s v="SABRE"/>
    <s v="REZENDE DE SOUZA/ANDRE LUIZ"/>
    <s v="Ernani Afranio dos Santos"/>
    <s v="Ernani Afranio dos Santos"/>
    <x v="207"/>
    <s v="EMAIL"/>
    <s v="-"/>
    <s v="OFF LINE"/>
    <s v="Cartão de crédito"/>
    <s v="Cartão AMEX"/>
    <s v="Aéreo"/>
    <s v="N"/>
    <s v="Grupo Bosch"/>
    <s v="Johnson Controls Hitachi Ar Condicionado do Brasil Ltda"/>
    <s v="-"/>
    <s v="Azul Linhas Aereas"/>
    <n v="7700075357"/>
    <s v="FCM-OPE-SAO-PVI-BOSCH"/>
    <s v="-"/>
    <x v="19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732735"/>
    <n v="23530160"/>
    <s v="ACC01"/>
    <x v="243"/>
    <d v="2025-08-12T19:09:31"/>
    <s v="0 a 02 dias"/>
    <s v="0 a 02 dias"/>
    <s v="LUGFSO"/>
    <s v="SABRE"/>
    <s v="QUADROS REBOUCAS/OLAVO"/>
    <s v="Itamar de Souza"/>
    <s v="Ernani Afranio dos Santos"/>
    <x v="0"/>
    <s v="EMAIL"/>
    <s v="-"/>
    <s v="ON LINE"/>
    <s v="?"/>
    <s v="TKT"/>
    <s v="Aéreo"/>
    <s v="N"/>
    <s v="Grupo Bosch"/>
    <s v="Johnson Controls Hitachi Ar Condicionado do Brasil Ltda"/>
    <s v="-"/>
    <s v="Latam Airlines Brasil"/>
    <n v="2952834970"/>
    <s v="FCM-OPE-SAO-PVI-BOSCH"/>
    <s v="-"/>
    <x v="19"/>
    <n v="0"/>
    <n v="450"/>
    <n v="0"/>
    <n v="59.61"/>
    <n v="0"/>
    <n v="0"/>
    <s v="Reserva importada por HubTravel"/>
    <s v="Verificação de bilhetes: Bilhete 2952834970 já sendo utilizado para este fornecedor."/>
    <s v="SABRE"/>
    <s v="Bilhete duplicado"/>
    <s v="Bilhete Já Contabilizado"/>
    <s v="Duplicidade de Contabilização"/>
    <s v="Qualidade dos dados"/>
    <s v="GRUPO KONTIK"/>
  </r>
  <r>
    <n v="22722828"/>
    <n v="23521138"/>
    <s v="ACC01"/>
    <x v="244"/>
    <d v="2025-08-11T14:10:46"/>
    <s v="0 a 02 dias"/>
    <s v="0 a 02 dias"/>
    <s v="IOHTJS"/>
    <s v="GOVER"/>
    <s v="RAFAEL BARROSO"/>
    <s v="Gover"/>
    <s v="Gover"/>
    <x v="208"/>
    <n v="4580114"/>
    <s v="-"/>
    <s v="ON LINE"/>
    <s v="Pagamento direto"/>
    <s v="Pagamento direto"/>
    <s v="Hotel"/>
    <s v="N"/>
    <s v="Grupo Firmenich"/>
    <s v="Firmenich"/>
    <s v="-"/>
    <s v="-"/>
    <s v="-"/>
    <s v="FCM-OPE-SAO-PVI-BTC-FIRMENICH"/>
    <s v="-"/>
    <x v="210"/>
    <n v="129.65"/>
    <n v="0"/>
    <n v="0"/>
    <n v="0"/>
    <n v="0"/>
    <n v="0"/>
    <s v="Reserva importada do sistema Gover. Id: 4580114"/>
    <s v="Fornecedor não preenchido! (ACC01)"/>
    <s v="GOVER"/>
    <s v="Falta de Fornecedor"/>
    <s v="Campo Fornecedor"/>
    <s v="Dados do Fornecedor"/>
    <s v="Sistêmico"/>
    <s v="GRUPO KONTIK"/>
  </r>
  <r>
    <n v="22718191"/>
    <n v="23517450"/>
    <s v="ACC01"/>
    <x v="245"/>
    <d v="2025-08-12T17:10:55"/>
    <s v="0 a 02 dias"/>
    <s v="03 a 05 dias"/>
    <s v="OG5IPY01"/>
    <s v="MANUAL"/>
    <s v="LEANDRO CORREA DOS SANTOS"/>
    <s v="Ercy Iwamoto"/>
    <s v="Ercy Iwamoto"/>
    <x v="209"/>
    <s v="OG5IPY"/>
    <s v="-"/>
    <s v="OFF LINE"/>
    <s v="Cartão de crédito"/>
    <s v="Cartão de crédito"/>
    <s v="Aéreo"/>
    <s v="N"/>
    <s v="Grupo Fm Global"/>
    <s v="Fm Global - Servicos"/>
    <s v="Cliente FEE no POS"/>
    <s v="Azul Linhas Aereas"/>
    <n v="3023517469"/>
    <s v="FCM-OPE-SAO-PVI-BTC-FM GLOBAL"/>
    <s v="-"/>
    <x v="211"/>
    <n v="0"/>
    <n v="0"/>
    <n v="0"/>
    <n v="0"/>
    <n v="0"/>
    <n v="72"/>
    <s v="-"/>
    <s v="8984158/6039144&quot; possui uma transação de cartão efetivada"/>
    <s v="MANUAL"/>
    <s v="Conciliação de Cartão"/>
    <s v="Financeiro Conciliado"/>
    <s v="Edição não Permitida"/>
    <s v="Processo Operacional"/>
    <s v="KONTIK BUSINESS TRAVEL"/>
  </r>
  <r>
    <n v="22690026"/>
    <n v="23493568"/>
    <s v="ACC01"/>
    <x v="246"/>
    <d v="2025-08-05T23:05:27"/>
    <s v="06 a 08 dias"/>
    <s v="06 a 08 dias"/>
    <n v="19455517"/>
    <s v="GOVER"/>
    <s v="Livia Kent Paiva"/>
    <s v="Gover"/>
    <s v="Gover"/>
    <x v="210"/>
    <n v="4577704"/>
    <s v="-"/>
    <s v="OFF LINE"/>
    <s v="Pagamento direto"/>
    <s v="Pagamento direto"/>
    <s v="Hotel"/>
    <s v="N"/>
    <s v="Grupo Fm Global"/>
    <s v="Fm Global - Servicos"/>
    <s v="Cliente FEE no POS"/>
    <s v="Pousada Mirante de Minas Francisca"/>
    <s v="-"/>
    <s v="FCM-OPE-SAO-PVI-BTC-FM GLOBAL"/>
    <s v="-"/>
    <x v="212"/>
    <n v="0"/>
    <n v="0"/>
    <n v="0"/>
    <n v="0"/>
    <n v="0"/>
    <n v="0"/>
    <s v="Reserva importada do sistema Gover. Id: 4577704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730648"/>
    <n v="23528126"/>
    <s v="ACC01"/>
    <x v="247"/>
    <d v="2025-08-12T15:42:22"/>
    <s v="0 a 02 dias"/>
    <s v="0 a 02 dias"/>
    <s v="HQJEHIT"/>
    <s v="SABRE"/>
    <s v="MISSAWA/CINTHIA HIDEKO"/>
    <s v="CT"/>
    <s v="CT"/>
    <x v="211"/>
    <n v="13755260251"/>
    <s v="-"/>
    <s v="ON LINE"/>
    <s v="Invoice"/>
    <s v="Faturado"/>
    <s v="Hotel"/>
    <s v="N"/>
    <s v="Grupo Diageo"/>
    <s v="Diageo Brasil"/>
    <s v="Cliente FEE no POS"/>
    <s v="-"/>
    <s v="-"/>
    <s v="FCM-OPE-SAO-PVI-DIAGEO"/>
    <s v="-"/>
    <x v="21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30698"/>
    <n v="23528177"/>
    <s v="ACC01"/>
    <x v="248"/>
    <d v="2025-08-13T04:48:59"/>
    <s v="0 a 02 dias"/>
    <s v="0 a 02 dias"/>
    <s v="UAKOWG"/>
    <s v="SABRE"/>
    <s v="COBO/JULIO CESAR TONELLI"/>
    <s v="Itamar de Souza"/>
    <s v="CT"/>
    <x v="212"/>
    <n v="13697091299"/>
    <s v="-"/>
    <s v="ON LINE"/>
    <s v="Cartão de crédito"/>
    <s v="Cartão de crédito"/>
    <s v="Aéreo"/>
    <s v="N"/>
    <s v="Grupo Diageo"/>
    <s v="Diageo Brasil"/>
    <s v="Cliente FEE no POS"/>
    <s v="Latam Airlines Brasil"/>
    <n v="2952834968"/>
    <s v="FCM-OPE-SAO-PVI-DIAGEO"/>
    <s v="-"/>
    <x v="19"/>
    <n v="0"/>
    <n v="450"/>
    <n v="0"/>
    <n v="31.44"/>
    <n v="0"/>
    <n v="24.85"/>
    <s v="Reserva importada por HubTravel"/>
    <s v="Falta informar o status no trecho da accounting aérea (Bilhete: 2952834968)"/>
    <s v="SABRE"/>
    <s v="Falta informação nos trechos"/>
    <s v="Atualização de Trechos"/>
    <s v="Dados do Fornecedor"/>
    <s v="Qualidade dos dados"/>
    <s v="KONTIK BUSINESS TRAVEL"/>
  </r>
  <r>
    <n v="22730698"/>
    <n v="23528178"/>
    <s v="ACC02"/>
    <x v="248"/>
    <d v="2025-08-13T04:48:59"/>
    <s v="0 a 02 dias"/>
    <s v="0 a 02 dias"/>
    <s v="UAKOWG"/>
    <s v="SABRE"/>
    <s v="COBO/JULIO CESAR TONELLI"/>
    <s v="Itamar de Souza"/>
    <s v="CT"/>
    <x v="212"/>
    <n v="13697091299"/>
    <s v="-"/>
    <s v="ON LINE"/>
    <s v="Cartão de crédito"/>
    <s v="Cartão de crédito"/>
    <s v="Aéreo"/>
    <s v="N"/>
    <s v="Grupo Diageo"/>
    <s v="Diageo Brasil"/>
    <s v="Cliente FEE no POS"/>
    <s v="Latam Airlines Brasil"/>
    <n v="2952834968"/>
    <s v="FCM-OPE-SAO-PVI-DIAGEO"/>
    <s v="-"/>
    <x v="19"/>
    <n v="0"/>
    <n v="450"/>
    <n v="0"/>
    <n v="31.44"/>
    <n v="0"/>
    <n v="0"/>
    <s v="Reserva importada por HubTravel"/>
    <s v="Falta informar o status no trecho da accounting aérea (Bilhete: 2952834968)"/>
    <s v="SABRE"/>
    <s v="Falta informação nos trechos"/>
    <s v="Atualização de Trechos"/>
    <s v="Dados do Fornecedor"/>
    <s v="Qualidade dos dados"/>
    <s v="KONTIK BUSINESS TRAVEL"/>
  </r>
  <r>
    <n v="22731260"/>
    <n v="23528736"/>
    <s v="ACC01"/>
    <x v="249"/>
    <d v="2025-08-12T17:29:47"/>
    <s v="0 a 02 dias"/>
    <s v="0 a 02 dias"/>
    <s v="WJCRZV"/>
    <s v="GOVER"/>
    <s v="ANA PAULA DE SOUZA LOPES"/>
    <s v="Priscilla Andrade Sobrinho"/>
    <s v="Priscilla Andrade Sobrinho"/>
    <x v="213"/>
    <n v="4573356"/>
    <s v="-"/>
    <s v="OFF LINE"/>
    <s v="Cartão de crédito"/>
    <s v="Cartão de crédito"/>
    <s v="Aéreo"/>
    <s v="N"/>
    <s v="Grupo Rio Galeao"/>
    <s v="Atendimento Riogaleao"/>
    <s v="-"/>
    <s v="Emirates Airlines"/>
    <n v="2971547132"/>
    <s v="KON-OPE-RIO-PVI-BTC"/>
    <s v="-"/>
    <x v="214"/>
    <n v="3652.57"/>
    <n v="0"/>
    <n v="0"/>
    <n v="0"/>
    <n v="0"/>
    <n v="0"/>
    <s v="Reserva importada do sistema Gover. Id: 4573356"/>
    <s v="Verificação de bilhetes: Bilhete 2971547132 já sendo utilizado para este fornecedor."/>
    <s v="GOVER"/>
    <s v="Bilhete duplicado"/>
    <s v="Bilhete Já Contabilizado"/>
    <s v="Duplicidade de Contabilização"/>
    <s v="Qualidade dos dados"/>
    <s v="GRUPO KONTIK"/>
  </r>
  <r>
    <n v="22565297"/>
    <n v="23389768"/>
    <s v="ACC01"/>
    <x v="250"/>
    <d v="2025-07-15T13:05:52"/>
    <s v="24 a 31 dias"/>
    <s v="24 a 31 dias"/>
    <s v="B2OQFL"/>
    <s v="GOVER"/>
    <s v="Kleiton Aparecido Stoco"/>
    <s v="Wilson Jose Araujo de Gusmao Junior"/>
    <s v="Wilson Jose Araujo de Gusmao Junior"/>
    <x v="214"/>
    <n v="4565213"/>
    <s v="Mobility - Eua - Ex - Detroit - Aeroporto DTW Endereço: DETROIT LOJA AEROPORTO DTW"/>
    <s v="OFF LINE"/>
    <s v="Pagamento direto"/>
    <s v="Pagamento direto"/>
    <s v="Carro"/>
    <s v="N"/>
    <s v="Grupo Zf"/>
    <s v="Zf do Brasil - Limeira"/>
    <s v="-"/>
    <s v="-"/>
    <s v="-"/>
    <s v="KON-OPE-RIO-PVI-BTC"/>
    <s v="-"/>
    <x v="215"/>
    <n v="0"/>
    <n v="0"/>
    <n v="0"/>
    <n v="0"/>
    <n v="0"/>
    <n v="0"/>
    <s v="Reserva importada do sistema Gover. Id: 4565213"/>
    <s v="Fornecedor não preenchido! (ACC01)"/>
    <s v="GOVER"/>
    <s v="Falta de Fornecedor"/>
    <s v="Campo Fornecedor"/>
    <s v="Dados do Fornecedor"/>
    <s v="Qualidade dos dados"/>
    <s v="KONTIK BUSINESS TRAVEL"/>
  </r>
  <r>
    <n v="22695511"/>
    <n v="23498358"/>
    <s v="ACC01"/>
    <x v="251"/>
    <d v="2025-08-06T18:17:19"/>
    <s v="06 a 08 dias"/>
    <s v="06 a 08 dias"/>
    <s v="YCHYHF"/>
    <s v="GOVER"/>
    <s v="Tiago Caldas"/>
    <s v="Gover"/>
    <s v="Gover"/>
    <x v="215"/>
    <n v="4575525"/>
    <s v="-"/>
    <s v="OFF LINE"/>
    <s v="Cartão de crédito"/>
    <s v="Cartão de crédito"/>
    <s v="Aéreo"/>
    <s v="N"/>
    <s v="Grupo Zf"/>
    <s v="Zf do Brasil - Divisao Z"/>
    <s v="-"/>
    <s v="Lufthansa"/>
    <n v="2971228101"/>
    <s v="KON-OPE-RIO-PVI-BTC"/>
    <s v="-"/>
    <x v="216"/>
    <n v="1492.47"/>
    <n v="0"/>
    <n v="0"/>
    <n v="0"/>
    <n v="0"/>
    <n v="0"/>
    <s v="Reserva importada do sistema Gover. Id: 4575525"/>
    <s v="Verificação de bilhetes: Bilhete 2971228101 já sendo utilizado para este fornecedor."/>
    <s v="GOVER"/>
    <s v="Bilhete duplicado"/>
    <s v="Bilhete Já Contabilizado"/>
    <s v="Duplicidade de Contabilização"/>
    <s v="Qualidade dos dados"/>
    <s v="GRUPO KONTIK"/>
  </r>
  <r>
    <n v="22695721"/>
    <n v="23498572"/>
    <s v="ACC01"/>
    <x v="252"/>
    <d v="2025-08-06T18:28:36"/>
    <s v="06 a 08 dias"/>
    <s v="06 a 08 dias"/>
    <s v="ASXEDL"/>
    <s v="GOVER"/>
    <s v="Claudia Gomes"/>
    <s v="Gover"/>
    <s v="Gover"/>
    <x v="215"/>
    <n v="4575483"/>
    <s v="-"/>
    <s v="OFF LINE"/>
    <s v="Cartão de crédito"/>
    <s v="Cartão de crédito"/>
    <s v="Aéreo"/>
    <s v="N"/>
    <s v="Grupo Zf"/>
    <s v="Zf do Brasil - Divisao Z"/>
    <s v="-"/>
    <s v="Lufthansa"/>
    <n v="2971228100"/>
    <s v="KON-OPE-RIO-PVI-BTC"/>
    <s v="-"/>
    <x v="217"/>
    <n v="1352.38"/>
    <n v="0"/>
    <n v="0"/>
    <n v="0"/>
    <n v="0"/>
    <n v="0"/>
    <s v="Reserva importada do sistema Gover. Id: 4575483"/>
    <s v="Verificação de bilhetes: Bilhete 2971228100 já sendo utilizado para este fornecedor."/>
    <s v="GOVER"/>
    <s v="Bilhete duplicado"/>
    <s v="Bilhete Já Contabilizado"/>
    <s v="Duplicidade de Contabilização"/>
    <s v="Qualidade dos dados"/>
    <s v="GRUPO KONTIK"/>
  </r>
  <r>
    <n v="22679659"/>
    <n v="23484113"/>
    <s v="ACC01"/>
    <x v="253"/>
    <d v="2025-08-04T16:10:32"/>
    <s v="09 a 15 dias"/>
    <s v="09 a 15 dias"/>
    <s v="1680742306COUNT"/>
    <s v="GOVER"/>
    <s v="Tiago Caldas"/>
    <s v="Gover"/>
    <s v="Gover"/>
    <x v="216"/>
    <n v="4575831"/>
    <s v="National Car Rental - Flughafen Stuttgart Endereço:  Terminal 3, Ebene 2, 70629 Stuttgart, Alemanha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218"/>
    <n v="0"/>
    <n v="0"/>
    <n v="0"/>
    <n v="0"/>
    <n v="0"/>
    <n v="0"/>
    <s v="Reserva importada do sistema Gover. Id: 4575831"/>
    <s v="Fornecedor não preenchido! (ACC01)"/>
    <s v="GOVER"/>
    <s v="Falta de Fornecedor"/>
    <s v="Campo Fornecedor"/>
    <s v="Dados do Fornecedor"/>
    <s v="Qualidade dos dados"/>
    <s v="KONTIK BUSINESS TRAVEL"/>
  </r>
  <r>
    <n v="22568247"/>
    <n v="23392640"/>
    <s v="ACC01"/>
    <x v="254"/>
    <d v="2025-07-15T19:35:32"/>
    <s v="24 a 31 dias"/>
    <s v="24 a 31 dias"/>
    <s v="HCHAPH"/>
    <s v="GOVER"/>
    <s v="JOSE WILSON FERREIRA"/>
    <s v="Gover"/>
    <s v="Gover"/>
    <x v="217"/>
    <n v="4566694"/>
    <s v="-"/>
    <s v="ON LINE"/>
    <s v="Cartão de crédito"/>
    <s v="Cartão de crédito"/>
    <s v="Hotel"/>
    <s v="N"/>
    <s v="Grupo Jealsa"/>
    <s v="Robinson Crusoe"/>
    <s v="-"/>
    <s v="-"/>
    <s v="-"/>
    <s v="KON-OPE-RIO-PVI-BTC"/>
    <s v="-"/>
    <x v="219"/>
    <n v="28.44"/>
    <n v="0"/>
    <n v="0"/>
    <n v="0"/>
    <n v="0"/>
    <n v="0"/>
    <s v="Reserva importada do sistema Gover. Id: 4566694"/>
    <s v="Fornecedor não preenchido! (ACC01)"/>
    <s v="GOVER"/>
    <s v="Falta de Fornecedor"/>
    <s v="Campo Fornecedor"/>
    <s v="Dados do Fornecedor"/>
    <s v="Sistêmico"/>
    <s v="GRUPO KONTIK"/>
  </r>
  <r>
    <n v="22574376"/>
    <n v="23397987"/>
    <s v="ACC01"/>
    <x v="255"/>
    <d v="2025-07-16T18:45:36"/>
    <s v="24 a 31 dias"/>
    <s v="24 a 31 dias"/>
    <s v="5418-4"/>
    <s v="GOVER"/>
    <s v="CARLOS JOSE FERREIRA"/>
    <s v="Rafaela Leitao Oliveira"/>
    <s v="Rafaela Leitao Oliveira"/>
    <x v="218"/>
    <n v="4564042"/>
    <s v="Movicar Aluguel de Carros - Br - Sc - Chapeco Endereço: Acesso Florenal Ribeiro, 4180"/>
    <s v="OFF LINE"/>
    <s v="Invoice"/>
    <s v="Faturado"/>
    <s v="Carro"/>
    <s v="N"/>
    <s v="Grupo Biomerieux"/>
    <s v="Biomerieux"/>
    <s v="-"/>
    <s v="-"/>
    <s v="-"/>
    <s v="KON-OPE-RIO-PVI-BTC-BIOMERIEUX"/>
    <s v="-"/>
    <x v="220"/>
    <n v="0"/>
    <n v="0"/>
    <n v="0"/>
    <n v="0"/>
    <n v="0"/>
    <n v="0"/>
    <s v="Reserva importada do sistema Gover. Id: 4564042"/>
    <s v="Fornecedor não preenchido! (ACC01)"/>
    <s v="GOVER"/>
    <s v="Falta de Fornecedor"/>
    <s v="Campo Fornecedor"/>
    <s v="Dados do Fornecedor"/>
    <s v="Qualidade dos dados"/>
    <s v="KONTIK BUSINESS TRAVEL"/>
  </r>
  <r>
    <n v="22688189"/>
    <n v="23491831"/>
    <s v="ACC01"/>
    <x v="256"/>
    <d v="2025-08-05T19:03:05"/>
    <s v="06 a 08 dias"/>
    <s v="06 a 08 dias"/>
    <s v="5FYGNO"/>
    <s v="TMS"/>
    <s v="SERGIO MACHADO"/>
    <s v="Tms"/>
    <s v="Tms"/>
    <x v="219"/>
    <n v="65394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221"/>
    <n v="0"/>
    <n v="0"/>
    <n v="0"/>
    <n v="0"/>
    <n v="0"/>
    <n v="0"/>
    <s v="Reserva importada do Sistema TMS. OS: 65394"/>
    <s v="Fornecedor não preenchido! (ACC01)"/>
    <s v="ARGO(TMS)"/>
    <s v="Falta de Fornecedor"/>
    <s v="Campo Fornecedor"/>
    <s v="Dados do Fornecedor"/>
    <s v="Qualidade dos dados"/>
    <s v="KONTIK BUSINESS TRAVEL"/>
  </r>
  <r>
    <n v="22688193"/>
    <n v="23491835"/>
    <s v="ACC01"/>
    <x v="257"/>
    <d v="2025-08-05T19:03:05"/>
    <s v="06 a 08 dias"/>
    <s v="06 a 08 dias"/>
    <s v="5FUG9O"/>
    <s v="TMS"/>
    <s v="RAFAEL DUARTE"/>
    <s v="Tms"/>
    <s v="Tms"/>
    <x v="220"/>
    <n v="64750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222"/>
    <n v="0"/>
    <n v="0"/>
    <n v="0"/>
    <n v="0"/>
    <n v="0"/>
    <n v="0"/>
    <s v="Reserva importada do Sistema TMS. OS: 64750"/>
    <s v="Fornecedor não preenchido! (ACC01)"/>
    <s v="ARGO(TMS)"/>
    <s v="Falta de Fornecedor"/>
    <s v="Campo Fornecedor"/>
    <s v="Dados do Fornecedor"/>
    <s v="Qualidade dos dados"/>
    <s v="KONTIK BUSINESS TRAVEL"/>
  </r>
  <r>
    <n v="22688196"/>
    <n v="23491839"/>
    <s v="ACC01"/>
    <x v="258"/>
    <d v="2025-08-05T19:03:18"/>
    <s v="06 a 08 dias"/>
    <s v="06 a 08 dias"/>
    <s v="5FBHLO"/>
    <s v="TMS"/>
    <s v="MARCELO MICHEL FERRO"/>
    <s v="Tms"/>
    <s v="Tms"/>
    <x v="221"/>
    <n v="60403"/>
    <s v="-"/>
    <s v="OFF LINE"/>
    <s v="Cartão de crédito"/>
    <s v="Cartão de crédito"/>
    <s v="Hotel"/>
    <s v="N"/>
    <s v="Grupo Claro Sa"/>
    <s v="Claro Nxt Telecomunicacoes"/>
    <s v="-"/>
    <s v="-"/>
    <s v="-"/>
    <s v="KON-OPE-SAO-POS-CLARO"/>
    <s v="-"/>
    <x v="223"/>
    <n v="0"/>
    <n v="0"/>
    <n v="0"/>
    <n v="0"/>
    <n v="0"/>
    <n v="0"/>
    <s v="Reserva importada do Sistema TMS. OS: 60403"/>
    <s v="Fornecedor não preenchido! (ACC01)"/>
    <s v="ARGO(TMS)"/>
    <s v="Falta de Fornecedor"/>
    <s v="Campo Fornecedor"/>
    <s v="Dados do Fornecedor"/>
    <s v="Qualidade dos dados"/>
    <s v="KONTIK BUSINESS TRAVEL"/>
  </r>
  <r>
    <n v="22688197"/>
    <n v="23491840"/>
    <s v="ACC01"/>
    <x v="259"/>
    <d v="2025-08-05T19:03:19"/>
    <s v="06 a 08 dias"/>
    <s v="06 a 08 dias"/>
    <s v="5F1HON"/>
    <s v="TMS"/>
    <s v="MARCELO MICHEL FERRO"/>
    <s v="Tms"/>
    <s v="Tms"/>
    <x v="222"/>
    <n v="58141"/>
    <s v="-"/>
    <s v="OFF LINE"/>
    <s v="Cartão de crédito"/>
    <s v="Cartão de crédito"/>
    <s v="Hotel"/>
    <s v="N"/>
    <s v="Grupo Claro Sa"/>
    <s v="Claro Nxt Telecomunicacoes"/>
    <s v="-"/>
    <s v="-"/>
    <s v="-"/>
    <s v="KON-OPE-SAO-POS-CLARO"/>
    <s v="-"/>
    <x v="223"/>
    <n v="0"/>
    <n v="0"/>
    <n v="0"/>
    <n v="0"/>
    <n v="0"/>
    <n v="0"/>
    <s v="Reserva importada do Sistema TMS. OS: 58141"/>
    <s v="Fornecedor não preenchido! (ACC01)"/>
    <s v="ARGO(TMS)"/>
    <s v="Falta de Fornecedor"/>
    <s v="Campo Fornecedor"/>
    <s v="Dados do Fornecedor"/>
    <s v="Qualidade dos dados"/>
    <s v="KONTIK BUSINESS TRAVEL"/>
  </r>
  <r>
    <n v="22731826"/>
    <n v="23529278"/>
    <s v="ACC01"/>
    <x v="260"/>
    <d v="2025-08-12T18:32:02"/>
    <s v="0 a 02 dias"/>
    <s v="0 a 02 dias"/>
    <s v="5GLD6I"/>
    <s v="TMS"/>
    <s v="ANDERSON AMORIM SILVA"/>
    <s v="Tms"/>
    <s v="Tms"/>
    <x v="223"/>
    <n v="76960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224"/>
    <n v="0"/>
    <n v="0"/>
    <n v="0"/>
    <n v="0"/>
    <n v="9.9"/>
    <n v="0"/>
    <s v="Reserva importada do Sistema TMS. OS: 76960"/>
    <s v="Fornecedor não preenchido! (ACC01)"/>
    <s v="ARGO(TMS)"/>
    <s v="Falta de Fornecedor"/>
    <s v="Campo Fornecedor"/>
    <s v="Dados do Fornecedor"/>
    <s v="Qualidade dos dados"/>
    <s v="KONTIK BUSINESS TRAVEL"/>
  </r>
  <r>
    <n v="22711248"/>
    <n v="23512571"/>
    <s v="ACC01"/>
    <x v="261"/>
    <d v="2025-08-08T22:22:46"/>
    <s v="03 a 05 dias"/>
    <s v="03 a 05 dias"/>
    <s v="ERPUBT"/>
    <s v="TMS"/>
    <s v="RAFAEL LUCCHESI"/>
    <s v="Alexander Perez Alves"/>
    <s v="Alexander Perez Alves"/>
    <x v="224"/>
    <n v="10419"/>
    <s v="-"/>
    <s v="OFF LINE"/>
    <s v="Cartão de crédito"/>
    <s v="Cartão AMEX"/>
    <s v="Aéreo"/>
    <s v="N"/>
    <s v="Grupo Braskem"/>
    <s v="Braskem - Camacari"/>
    <s v="-"/>
    <s v="Gol Linhas Aereas"/>
    <n v="2143001095"/>
    <s v="KON-OPE-SAO-PVI-BRASKEM"/>
    <s v="-"/>
    <x v="225"/>
    <n v="1"/>
    <n v="0"/>
    <n v="0"/>
    <n v="0"/>
    <n v="0"/>
    <n v="0"/>
    <s v="Reserva importada do Sistema TMS. OS: 10419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732785"/>
    <n v="23530210"/>
    <s v="ACC01"/>
    <x v="262"/>
    <d v="2025-08-12T20:41:35"/>
    <s v="0 a 02 dias"/>
    <s v="0 a 02 dias"/>
    <s v="5GW6B9"/>
    <s v="TMS"/>
    <s v="DIEGO ZEOLLA"/>
    <s v="Tms"/>
    <s v="Tms"/>
    <x v="225"/>
    <n v="10428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26"/>
    <n v="0"/>
    <n v="0"/>
    <n v="0"/>
    <n v="0"/>
    <n v="545.51"/>
    <n v="0"/>
    <s v="Reserva importada do Sistema TMS. OS: 10428"/>
    <s v="Fornecedor não preenchido! (ACC01)"/>
    <s v="ARGO(TMS)"/>
    <s v="Falta de Fornecedor"/>
    <s v="Campo Fornecedor"/>
    <s v="Dados do Fornecedor"/>
    <s v="Sistêmico"/>
    <s v="GRUPO KONTIK"/>
  </r>
  <r>
    <n v="22732757"/>
    <n v="23530182"/>
    <s v="ACC01"/>
    <x v="263"/>
    <d v="2025-08-12T22:19:06"/>
    <s v="0 a 02 dias"/>
    <s v="0 a 02 dias"/>
    <s v="5GKVPO"/>
    <s v="TMS"/>
    <s v="BRUNA LOVATO"/>
    <s v="Tms"/>
    <s v="Tms"/>
    <x v="206"/>
    <n v="10540"/>
    <s v="Goiânia / GYN"/>
    <s v="ON LINE"/>
    <s v="Invoice"/>
    <s v="Faturado"/>
    <s v="Carro"/>
    <s v="N"/>
    <s v="Grupo Braskem"/>
    <s v="Braskem - Camacari"/>
    <s v="-"/>
    <s v="-"/>
    <s v="-"/>
    <s v="KON-OPE-SAO-PVI-BRASKEM"/>
    <s v="-"/>
    <x v="227"/>
    <n v="0"/>
    <n v="0"/>
    <n v="0"/>
    <n v="0"/>
    <n v="0"/>
    <n v="0"/>
    <s v="Reserva importada do Sistema TMS. OS: 10540"/>
    <s v="Fornecedor não preenchido! (ACC01)"/>
    <s v="ARGO(TMS)"/>
    <s v="Falta de Fornecedor"/>
    <s v="Campo Fornecedor"/>
    <s v="Dados do Fornecedor"/>
    <s v="Qualidade dos dados"/>
    <s v="KONTIK BUSINESS TRAVEL"/>
  </r>
  <r>
    <n v="22732761"/>
    <n v="23530186"/>
    <s v="ACC01"/>
    <x v="264"/>
    <d v="2025-08-12T22:19:07"/>
    <s v="0 a 02 dias"/>
    <s v="0 a 02 dias"/>
    <s v="5GNRBO"/>
    <s v="TMS"/>
    <s v="RENATO DITOMASO"/>
    <s v="Tms"/>
    <s v="Tms"/>
    <x v="226"/>
    <n v="10536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228"/>
    <n v="0"/>
    <n v="0"/>
    <n v="0"/>
    <n v="0"/>
    <n v="0"/>
    <n v="0"/>
    <s v="Reserva importada do Sistema TMS. OS: 10536"/>
    <s v="Fornecedor não preenchido! (ACC01)"/>
    <s v="ARGO(TMS)"/>
    <s v="Falta de Fornecedor"/>
    <s v="Campo Fornecedor"/>
    <s v="Dados do Fornecedor"/>
    <s v="Qualidade dos dados"/>
    <s v="KONTIK BUSINESS TRAVEL"/>
  </r>
  <r>
    <n v="22732770"/>
    <n v="23530195"/>
    <s v="ACC01"/>
    <x v="265"/>
    <d v="2025-08-12T20:41:13"/>
    <s v="0 a 02 dias"/>
    <s v="0 a 02 dias"/>
    <s v="5GR5PN"/>
    <s v="TMS"/>
    <s v="THIAGO MEYER"/>
    <s v="Tms"/>
    <s v="Tms"/>
    <x v="227"/>
    <n v="10529"/>
    <s v="Campinas / VCP"/>
    <s v="ON LINE"/>
    <s v="Invoice"/>
    <s v="Faturado"/>
    <s v="Carro"/>
    <s v="N"/>
    <s v="Grupo Braskem"/>
    <s v="Braskem - Camacari"/>
    <s v="-"/>
    <s v="-"/>
    <s v="-"/>
    <s v="KON-OPE-SAO-PVI-BRASKEM"/>
    <s v="-"/>
    <x v="229"/>
    <n v="0"/>
    <n v="0"/>
    <n v="0"/>
    <n v="0"/>
    <n v="0"/>
    <n v="0"/>
    <s v="Reserva importada do Sistema TMS. OS: 10529"/>
    <s v="Fornecedor não preenchido! (ACC01)"/>
    <s v="ARGO(TMS)"/>
    <s v="Falta de Fornecedor"/>
    <s v="Campo Fornecedor"/>
    <s v="Dados do Fornecedor"/>
    <s v="Qualidade dos dados"/>
    <s v="KONTIK BUSINESS TRAVEL"/>
  </r>
  <r>
    <n v="22729831"/>
    <n v="23527371"/>
    <s v="ACC01"/>
    <x v="266"/>
    <d v="2025-08-12T13:41:26"/>
    <s v="0 a 02 dias"/>
    <s v="0 a 02 dias"/>
    <s v="5GHCX8"/>
    <s v="TMS"/>
    <s v="DANILO GONSALVES"/>
    <s v="Tms"/>
    <s v="Tms"/>
    <x v="228"/>
    <n v="10522"/>
    <s v="Salvador / SSA"/>
    <s v="ON LINE"/>
    <s v="Invoice"/>
    <s v="Faturado"/>
    <s v="Carro"/>
    <s v="N"/>
    <s v="Grupo Braskem"/>
    <s v="Braskem - Camacari"/>
    <s v="-"/>
    <s v="-"/>
    <s v="-"/>
    <s v="KON-OPE-SAO-PVI-BRASKEM"/>
    <s v="-"/>
    <x v="230"/>
    <n v="0"/>
    <n v="0"/>
    <n v="0"/>
    <n v="0"/>
    <n v="0"/>
    <n v="0"/>
    <s v="Reserva importada do Sistema TMS. OS: 10522"/>
    <s v="Fornecedor não preenchido! (ACC01)"/>
    <s v="ARGO(TMS)"/>
    <s v="Falta de Fornecedor"/>
    <s v="Campo Fornecedor"/>
    <s v="Dados do Fornecedor"/>
    <s v="Qualidade dos dados"/>
    <s v="KONTIK BUSINESS TRAVEL"/>
  </r>
  <r>
    <n v="22700933"/>
    <n v="23503142"/>
    <s v="ACC01"/>
    <x v="267"/>
    <d v="2025-08-07T13:28:23"/>
    <s v="06 a 08 dias"/>
    <s v="06 a 08 dias"/>
    <s v="5GUK92"/>
    <s v="TMS"/>
    <s v="MARCELO NEVES"/>
    <s v="ADRIANA MIRANDA COUTINHO"/>
    <s v="ADRIANA MIRANDA COUTINHO"/>
    <x v="229"/>
    <n v="10120"/>
    <s v="-"/>
    <s v="OFF LINE"/>
    <s v="Cartão de crédito"/>
    <s v="Cartão de crédito"/>
    <s v="Hotel"/>
    <s v="N"/>
    <s v="Grupo Braskem"/>
    <s v="Braskem - Camacari"/>
    <s v="-"/>
    <s v="-"/>
    <s v="-"/>
    <s v="KON-OPE-SAO-PVI-BRASKEM"/>
    <s v="-"/>
    <x v="231"/>
    <n v="0"/>
    <n v="0"/>
    <n v="0"/>
    <n v="0"/>
    <n v="0"/>
    <n v="0"/>
    <s v="Reserva importada do Sistema TMS. OS: 10120"/>
    <s v="Fornecedor não preenchido! (ACC01)"/>
    <s v="ARGO(TMS)"/>
    <s v="Falta de Fornecedor"/>
    <s v="Campo Fornecedor"/>
    <s v="Dados do Fornecedor"/>
    <s v="Qualidade dos dados"/>
    <s v="KONTIK BUSINESS TRAVEL"/>
  </r>
  <r>
    <n v="22700934"/>
    <n v="23503143"/>
    <s v="ACC01"/>
    <x v="268"/>
    <d v="2025-08-07T22:19:26"/>
    <s v="06 a 08 dias"/>
    <s v="06 a 08 dias"/>
    <s v="5GK8NW"/>
    <s v="TMS"/>
    <s v="RENATO DITOMASO"/>
    <s v="ADRIANA MIRANDA COUTINHO"/>
    <s v="ADRIANA MIRANDA COUTINHO"/>
    <x v="230"/>
    <n v="10119"/>
    <s v="-"/>
    <s v="OFF LINE"/>
    <s v="Cartão de crédito"/>
    <s v="Cartão de crédito"/>
    <s v="Hotel"/>
    <s v="N"/>
    <s v="Grupo Braskem"/>
    <s v="Braskem - Camacari"/>
    <s v="-"/>
    <s v="-"/>
    <s v="-"/>
    <s v="KON-OPE-SAO-PVI-BRASKEM"/>
    <s v="-"/>
    <x v="231"/>
    <n v="0"/>
    <n v="0"/>
    <n v="0"/>
    <n v="0"/>
    <n v="0"/>
    <n v="0"/>
    <s v="Reserva importada do Sistema TMS. OS: 10119"/>
    <s v="Fornecedor não preenchido! (ACC01)"/>
    <s v="ARGO(TMS)"/>
    <s v="Falta de Fornecedor"/>
    <s v="Campo Fornecedor"/>
    <s v="Dados do Fornecedor"/>
    <s v="Qualidade dos dados"/>
    <s v="KONTIK BUSINESS TRAVEL"/>
  </r>
  <r>
    <n v="22732776"/>
    <n v="23530201"/>
    <s v="ACC01"/>
    <x v="269"/>
    <d v="2025-08-12T19:21:31"/>
    <s v="0 a 02 dias"/>
    <s v="0 a 02 dias"/>
    <s v="5GITB9"/>
    <s v="TMS"/>
    <s v="Arruda/Claudia"/>
    <s v="Bruna Carlos da Silva"/>
    <s v="Bruna Carlos da Silva"/>
    <x v="231"/>
    <n v="10525"/>
    <s v="-"/>
    <s v="OFF LINE"/>
    <s v="Invoice"/>
    <s v="Faturado"/>
    <s v="Aéreo"/>
    <s v="N"/>
    <s v="Grupo Braskem"/>
    <s v="Braskem - Camacari"/>
    <s v="-"/>
    <s v="Gol Linhas Aereas"/>
    <n v="4432049634"/>
    <s v="KON-OPE-SAO-PVI-BRASKEM"/>
    <s v="-"/>
    <x v="19"/>
    <n v="42.5"/>
    <n v="0"/>
    <n v="0"/>
    <n v="0"/>
    <n v="0"/>
    <n v="0"/>
    <s v="Reserva importada do Sistema TMS. OS: 10525"/>
    <s v="Empenho/departamento não preenchido! (ACC01) 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732783"/>
    <n v="23530208"/>
    <s v="ACC01"/>
    <x v="270"/>
    <d v="2025-08-12T20:41:34"/>
    <s v="0 a 02 dias"/>
    <s v="0 a 02 dias"/>
    <s v="5GZHMO"/>
    <s v="TMS"/>
    <s v="BRUNA LOVATO"/>
    <s v="Bruna Carlos da Silva"/>
    <s v="Bruna Carlos da Silva"/>
    <x v="232"/>
    <n v="10498"/>
    <s v="Curitiba / CWB"/>
    <s v="OFF LINE"/>
    <s v="Invoice"/>
    <s v="Faturado"/>
    <s v="Carro"/>
    <s v="N"/>
    <s v="Grupo Braskem"/>
    <s v="Braskem - Camacari"/>
    <s v="-"/>
    <s v="-"/>
    <s v="-"/>
    <s v="KON-OPE-SAO-PVI-BRASKEM"/>
    <s v="-"/>
    <x v="232"/>
    <n v="0"/>
    <n v="0"/>
    <n v="0"/>
    <n v="0"/>
    <n v="0"/>
    <n v="0"/>
    <s v="Reserva importada do Sistema TMS. OS: 10498"/>
    <s v="Fornecedor não preenchido! (ACC01)"/>
    <s v="ARGO(TMS)"/>
    <s v="Falta de Fornecedor"/>
    <s v="Campo Fornecedor"/>
    <s v="Dados do Fornecedor"/>
    <s v="Qualidade dos dados"/>
    <s v="KONTIK BUSINESS TRAVEL"/>
  </r>
  <r>
    <n v="22732786"/>
    <n v="23530211"/>
    <s v="ACC01"/>
    <x v="271"/>
    <d v="2025-08-12T22:22:28"/>
    <s v="0 a 02 dias"/>
    <s v="0 a 02 dias"/>
    <s v="5GDYP9"/>
    <s v="TMS"/>
    <s v="MAURO JUNIOR"/>
    <s v="Bruna Carlos da Silva"/>
    <s v="Bruna Carlos da Silva"/>
    <x v="233"/>
    <n v="10283"/>
    <s v="Salvador / SSA"/>
    <s v="OFF LINE"/>
    <s v="Invoice"/>
    <s v="Faturado"/>
    <s v="Carro"/>
    <s v="N"/>
    <s v="Grupo Braskem"/>
    <s v="Braskem - Camacari"/>
    <s v="-"/>
    <s v="-"/>
    <s v="-"/>
    <s v="KON-OPE-SAO-PVI-BRASKEM"/>
    <s v="-"/>
    <x v="128"/>
    <n v="0"/>
    <n v="0"/>
    <n v="0"/>
    <n v="0"/>
    <n v="0"/>
    <n v="0"/>
    <s v="Reserva importada do Sistema TMS. OS: 10283"/>
    <s v="Fornecedor não preenchido! (ACC01)"/>
    <s v="ARGO(TMS)"/>
    <s v="Falta de Fornecedor"/>
    <s v="Campo Fornecedor"/>
    <s v="Dados do Fornecedor"/>
    <s v="Qualidade dos dados"/>
    <s v="KONTIK BUSINESS TRAVEL"/>
  </r>
  <r>
    <n v="22732787"/>
    <n v="23530212"/>
    <s v="ACC01"/>
    <x v="272"/>
    <d v="2025-08-12T22:22:29"/>
    <s v="0 a 02 dias"/>
    <s v="0 a 02 dias"/>
    <s v="5GRY0O"/>
    <s v="TMS"/>
    <s v="MAURO JUNIOR"/>
    <s v="Bruna Carlos da Silva"/>
    <s v="Bruna Carlos da Silva"/>
    <x v="234"/>
    <n v="10281"/>
    <s v="Porto Alegre / POA"/>
    <s v="OFF LINE"/>
    <s v="Invoice"/>
    <s v="Faturado"/>
    <s v="Carro"/>
    <s v="N"/>
    <s v="Grupo Braskem"/>
    <s v="Braskem - Camacari"/>
    <s v="-"/>
    <s v="-"/>
    <s v="-"/>
    <s v="KON-OPE-SAO-PVI-BRASKEM"/>
    <s v="-"/>
    <x v="233"/>
    <n v="0"/>
    <n v="0"/>
    <n v="0"/>
    <n v="0"/>
    <n v="0"/>
    <n v="0"/>
    <s v="Reserva importada do Sistema TMS. OS: 10281"/>
    <s v="Fornecedor não preenchido! (ACC01)"/>
    <s v="ARGO(TMS)"/>
    <s v="Falta de Fornecedor"/>
    <s v="Campo Fornecedor"/>
    <s v="Dados do Fornecedor"/>
    <s v="Qualidade dos dados"/>
    <s v="KONTIK BUSINESS TRAVEL"/>
  </r>
  <r>
    <n v="22728522"/>
    <n v="23526103"/>
    <s v="ACC01"/>
    <x v="273"/>
    <d v="2025-08-12T10:16:44"/>
    <s v="0 a 02 dias"/>
    <s v="0 a 02 dias"/>
    <s v="SJMEWI"/>
    <s v="LEMONTECH"/>
    <s v="CAVALCANTI DE MEDEIROS/THIAGO"/>
    <s v="Maria Clara Landeira Mezavila"/>
    <s v="Maria Clara Landeira Mezavila"/>
    <x v="98"/>
    <n v="17266419"/>
    <s v="-"/>
    <s v="ON LINE"/>
    <s v="Cartão de crédito"/>
    <s v="Cartão AMEX"/>
    <s v="Aéreo"/>
    <s v="N"/>
    <s v="Grupo Aeroleo"/>
    <s v="Bristow"/>
    <s v="-"/>
    <s v="Latam Airlines Brasil"/>
    <n v="2952835556"/>
    <s v="KON-OPE-SAO-PVI-BTC-LEMON"/>
    <s v="-"/>
    <x v="234"/>
    <n v="34.11"/>
    <n v="0"/>
    <n v="0"/>
    <n v="0"/>
    <n v="0"/>
    <n v="0"/>
    <s v="Reserva importada do Sistema Lemontech. Solicitação: 17266419"/>
    <s v="Verificação de bilhetes: Bilhete 2952835556 já sendo utilizado para este fornecedor."/>
    <s v="LEMONTECH"/>
    <s v="Bilhete duplicado"/>
    <s v="Bilhete Já Contabilizado"/>
    <s v="Duplicidade de Contabilização"/>
    <s v="Qualidade dos dados"/>
    <s v="GRUPO KONTIK"/>
  </r>
  <r>
    <n v="22728525"/>
    <n v="23526105"/>
    <s v="ACC01"/>
    <x v="274"/>
    <d v="2025-08-12T10:16:46"/>
    <s v="0 a 02 dias"/>
    <s v="0 a 02 dias"/>
    <s v="FSQGPN"/>
    <s v="LEMONTECH"/>
    <s v="XIMENES KNUPP/ALEXANDRE"/>
    <s v="Maria Clara Landeira Mezavila"/>
    <s v="Maria Clara Landeira Mezavila"/>
    <x v="98"/>
    <n v="17266449"/>
    <s v="-"/>
    <s v="ON LINE"/>
    <s v="Cartão de crédito"/>
    <s v="Cartão AMEX"/>
    <s v="Aéreo"/>
    <s v="N"/>
    <s v="Grupo Aeroleo"/>
    <s v="Bristow"/>
    <s v="-"/>
    <s v="Latam Airlines Brasil"/>
    <n v="2952835557"/>
    <s v="KON-OPE-SAO-PVI-BTC-LEMON"/>
    <s v="-"/>
    <x v="234"/>
    <n v="34.11"/>
    <n v="0"/>
    <n v="0"/>
    <n v="0"/>
    <n v="0"/>
    <n v="0"/>
    <s v="Reserva importada do Sistema Lemontech. Solicitação: 17266449"/>
    <s v="Verificação de bilhetes: Bilhete 2952835557 já sendo utilizado para este fornecedor."/>
    <s v="LEMONTECH"/>
    <s v="Bilhete duplicado"/>
    <s v="Bilhete Já Contabilizado"/>
    <s v="Duplicidade de Contabilização"/>
    <s v="Qualidade dos dados"/>
    <s v="GRUPO KONTIK"/>
  </r>
  <r>
    <n v="22706933"/>
    <n v="23508378"/>
    <s v="ACC01"/>
    <x v="275"/>
    <d v="2025-08-08T10:05:05"/>
    <s v="03 a 05 dias"/>
    <s v="03 a 05 dias"/>
    <s v="K-NARARP01"/>
    <s v="GOVER"/>
    <s v="Debora Cardoso Vieira Oliver"/>
    <s v="GABRIEL ALVES MOURA"/>
    <s v="GABRIEL ALVES MOURA"/>
    <x v="235"/>
    <n v="4579033"/>
    <s v="-"/>
    <s v="OFF LINE"/>
    <s v="Invoice"/>
    <s v="Faturado"/>
    <s v="Aéreo"/>
    <s v="N"/>
    <s v="Grupo Energisa"/>
    <s v="Energisa Distribuicao de Gas S.a"/>
    <s v="-"/>
    <s v="Latam Airlines Brasil"/>
    <n v="2244662996"/>
    <s v="KON-OPE-SAO-PVI-ENERGISA"/>
    <s v="-"/>
    <x v="235"/>
    <n v="0"/>
    <n v="0"/>
    <n v="0"/>
    <n v="0"/>
    <n v="0"/>
    <n v="0"/>
    <s v="Reserva importada do sistema Gover. Id: 4579033"/>
    <s v="Verificação de bilhetes: Bilhete 2244662996 já sendo utilizado para este fornecedor."/>
    <s v="GOVER"/>
    <s v="Bilhete duplicado"/>
    <s v="Bilhete Já Contabilizado"/>
    <s v="Duplicidade de Contabilização"/>
    <s v="Qualidade dos dados"/>
    <s v="GRUPO KONTIK"/>
  </r>
  <r>
    <n v="22720944"/>
    <n v="23519346"/>
    <s v="ACC01"/>
    <x v="276"/>
    <d v="2025-08-11T09:32:18"/>
    <s v="0 a 02 dias"/>
    <s v="0 a 02 dias"/>
    <s v="K-CMFFIP01"/>
    <s v="GOVER"/>
    <s v="Mauricio Perez Botelho"/>
    <s v="GABRIEL ALVES MOURA"/>
    <s v="GABRIEL ALVES MOURA"/>
    <x v="236"/>
    <n v="4579790"/>
    <s v="-"/>
    <s v="OFF LINE"/>
    <s v="Cartão de crédito"/>
    <s v="Cartão AMEX"/>
    <s v="Aéreo"/>
    <s v="N"/>
    <s v="Grupo Energisa"/>
    <s v="Energisa S.a."/>
    <s v="-"/>
    <s v="Gol Linhas Aereas"/>
    <n v="2142999330"/>
    <s v="KON-OPE-SAO-PVI-ENERGISA"/>
    <s v="-"/>
    <x v="236"/>
    <n v="0"/>
    <n v="0"/>
    <n v="0"/>
    <n v="0"/>
    <n v="0"/>
    <n v="0"/>
    <s v="Reserva importada do sistema Gover. Id: 4579790"/>
    <s v="Verificação de bilhetes: Bilhete 2142999330 já sendo utilizado para este fornecedor."/>
    <s v="GOVER"/>
    <s v="Bilhete duplicado"/>
    <s v="Bilhete Já Contabilizado"/>
    <s v="Duplicidade de Contabilização"/>
    <s v="Qualidade dos dados"/>
    <s v="GRUPO KONTIK"/>
  </r>
  <r>
    <n v="22701567"/>
    <n v="23503717"/>
    <s v="ACC01"/>
    <x v="277"/>
    <d v="2025-08-07T15:15:29"/>
    <s v="06 a 08 dias"/>
    <s v="06 a 08 dias"/>
    <n v="19446829"/>
    <s v="GOVER"/>
    <s v="Brena Felix Rodrigues"/>
    <s v="Gover"/>
    <s v="Gover"/>
    <x v="237"/>
    <n v="4576986"/>
    <s v="-"/>
    <s v="OFF LINE"/>
    <s v="Invoice"/>
    <s v="Faturado"/>
    <s v="Hotel"/>
    <s v="N"/>
    <s v="Grupo Hypera"/>
    <s v="Hypera S.a."/>
    <s v="-"/>
    <s v="Pousada Santo Amaro"/>
    <s v="-"/>
    <s v="KON-OPE-SAO-PVI-HYPERA"/>
    <s v="-"/>
    <x v="237"/>
    <n v="0"/>
    <n v="0"/>
    <n v="0"/>
    <n v="0"/>
    <n v="0"/>
    <n v="0"/>
    <s v="Reserva importada do sistema Gover. Id: 4576986"/>
    <s v="Não foi possível encontrar um contrato válido para o fornecedor 16504 (Código fornecedor) "/>
    <s v="GOVER"/>
    <s v="Contrato de fornecedor"/>
    <s v="Análise Cadastro"/>
    <s v="Dados do Fornecedor"/>
    <s v="Qualidade dos dados"/>
    <s v="KONTIK BUSINESS TRAVEL"/>
  </r>
  <r>
    <n v="22574510"/>
    <n v="23398118"/>
    <s v="ACC01"/>
    <x v="278"/>
    <d v="2025-07-16T18:56:02"/>
    <s v="24 a 31 dias"/>
    <s v="24 a 31 dias"/>
    <n v="19197258"/>
    <s v="GOVER"/>
    <s v="Maira Da Conceição Moraes "/>
    <s v="Gover"/>
    <s v="Gover"/>
    <x v="238"/>
    <n v="4567637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38"/>
    <n v="0"/>
    <n v="0"/>
    <n v="0"/>
    <n v="0"/>
    <n v="0"/>
    <n v="0"/>
    <s v="Reserva importada do sistema Gover. Id: 4567637"/>
    <s v="Fornecedor não preenchido! (ACC01)"/>
    <s v="GOVER"/>
    <s v="Falta de Fornecedor"/>
    <s v="Campo Fornecedor"/>
    <s v="Dados do Fornecedor"/>
    <s v="Sistêmico"/>
    <s v="GRUPO KONTIK"/>
  </r>
  <r>
    <n v="22583919"/>
    <n v="23405726"/>
    <s v="ACC01"/>
    <x v="279"/>
    <d v="2025-07-18T11:23:10"/>
    <s v="24 a 31 dias"/>
    <s v="24 a 31 dias"/>
    <n v="19216215"/>
    <s v="GOVER"/>
    <s v="Caique  Nascimento De Araújo"/>
    <s v="Gover"/>
    <s v="Gover"/>
    <x v="239"/>
    <n v="4568443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39"/>
    <n v="0"/>
    <n v="0"/>
    <n v="0"/>
    <n v="0"/>
    <n v="0"/>
    <n v="0"/>
    <s v="Reserva importada do sistema Gover. Id: 4568443"/>
    <s v="Fornecedor não preenchido! (ACC01)"/>
    <s v="GOVER"/>
    <s v="Falta de Fornecedor"/>
    <s v="Campo Fornecedor"/>
    <s v="Dados do Fornecedor"/>
    <s v="Sistêmico"/>
    <s v="GRUPO KONTIK"/>
  </r>
  <r>
    <n v="22728593"/>
    <n v="23526160"/>
    <s v="ACC01"/>
    <x v="280"/>
    <d v="2025-08-12T10:20:17"/>
    <s v="0 a 02 dias"/>
    <s v="0 a 02 dias"/>
    <s v="MV1UHWXJR2BR"/>
    <s v="GOVER"/>
    <s v="Pedro Oliveira"/>
    <s v="WAGNER PAULINO"/>
    <s v="WAGNER PAULINO"/>
    <x v="240"/>
    <n v="4578711"/>
    <s v="Movida - Br - Ba - Vitoria da Conquista - Aeroport Endereço: Rodovia Rodovia Santos Dumont"/>
    <s v="OFF LINE"/>
    <s v="Invoice"/>
    <s v="Faturado"/>
    <s v="Carro"/>
    <s v="N"/>
    <s v="Grupo Hypera"/>
    <s v="Hypera S.a."/>
    <s v="-"/>
    <s v="-"/>
    <s v="-"/>
    <s v="KON-OPE-SAO-PVI-HYPERA"/>
    <s v="-"/>
    <x v="240"/>
    <n v="0"/>
    <n v="0"/>
    <n v="0"/>
    <n v="0"/>
    <n v="0"/>
    <n v="0"/>
    <s v="Reserva importada do sistema Gover. Id: 4578711"/>
    <s v="Fornecedor não preenchido! (ACC01)"/>
    <s v="GOVER"/>
    <s v="Falta de Fornecedor"/>
    <s v="Campo Fornecedor"/>
    <s v="Dados do Fornecedor"/>
    <s v="Qualidade dos dados"/>
    <s v="KONTIK BUSINESS TRAVEL"/>
  </r>
  <r>
    <n v="22680658"/>
    <n v="23485133"/>
    <s v="ACC01"/>
    <x v="281"/>
    <d v="2025-08-04T18:15:59"/>
    <s v="09 a 15 dias"/>
    <s v="09 a 15 dias"/>
    <n v="4576274"/>
    <s v="GOVER"/>
    <s v="Adriano Jose da Silva"/>
    <s v="Wilson Jose Araujo de Gusmao Junior"/>
    <s v="Wilson Jose Araujo de Gusmao Junior"/>
    <x v="241"/>
    <n v="4576274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241"/>
    <n v="0"/>
    <n v="0"/>
    <n v="0"/>
    <n v="0"/>
    <n v="0"/>
    <n v="0"/>
    <s v="Reserva importada do sistema Gover. Id: 4576274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684230"/>
    <n v="23488136"/>
    <s v="ACC01"/>
    <x v="282"/>
    <d v="2025-08-05T08:05:15"/>
    <s v="06 a 08 dias"/>
    <s v="06 a 08 dias"/>
    <n v="4576387"/>
    <s v="GOVER"/>
    <s v="Cesar Francisco Antunes Cavalheiro"/>
    <s v="Wilson Jose Araujo de Gusmao Junior"/>
    <s v="Wilson Jose Araujo de Gusmao Junior"/>
    <x v="242"/>
    <n v="4576387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241"/>
    <n v="0"/>
    <n v="0"/>
    <n v="0"/>
    <n v="0"/>
    <n v="0"/>
    <n v="0"/>
    <s v="Reserva importada do sistema Gover. Id: 4576387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730784"/>
    <n v="23528274"/>
    <s v="ACC01"/>
    <x v="283"/>
    <d v="2025-08-12T16:10:52"/>
    <s v="0 a 02 dias"/>
    <s v="0 a 02 dias"/>
    <s v="AV78VYK5LP"/>
    <s v="GOVER"/>
    <s v="Leticia Siqueira Mendes"/>
    <s v="Marcos de Oliveira Miklos"/>
    <s v="Marcos de Oliveira Miklos"/>
    <x v="243"/>
    <n v="4580640"/>
    <s v="Localiza - Br - Sp - Sao Jose dos Campos - Agencia Endereço: Av Andromeda, 100 - Agencia Centro "/>
    <s v="OFF LINE"/>
    <s v="Invoice"/>
    <s v="Faturado"/>
    <s v="Carro"/>
    <s v="N"/>
    <s v="Grupo Intercement"/>
    <s v="Intercement Nacoes Unidas"/>
    <s v="-"/>
    <s v="-"/>
    <s v="-"/>
    <s v="KON-OPE-SAO-PVI-MOVER"/>
    <s v="-"/>
    <x v="242"/>
    <n v="0"/>
    <n v="0"/>
    <n v="0"/>
    <n v="0"/>
    <n v="0"/>
    <n v="0"/>
    <s v="Reserva importada do sistema Gover. Id: 4580640"/>
    <s v="Fornecedor não preenchido! (ACC01)"/>
    <s v="GOVER"/>
    <s v="Falta de Fornecedor"/>
    <s v="Campo Fornecedor"/>
    <s v="Dados do Fornecedor"/>
    <s v="Qualidade dos dados"/>
    <s v="KONTIK BUSINESS TRAVEL"/>
  </r>
  <r>
    <n v="22730871"/>
    <n v="23528359"/>
    <s v="ACC01"/>
    <x v="284"/>
    <d v="2025-08-12T16:21:18"/>
    <s v="0 a 02 dias"/>
    <s v="0 a 02 dias"/>
    <s v="QGPROE"/>
    <s v="SABRE"/>
    <s v="GOMES/ELI EBER BATISTA DR"/>
    <s v="7S"/>
    <s v="Marcelo Pereira de Melo"/>
    <x v="244"/>
    <s v="QGPROE"/>
    <s v="-"/>
    <s v="ON LINE"/>
    <s v="?"/>
    <s v="TKT"/>
    <s v="Aéreo"/>
    <s v="N"/>
    <s v="Grupo Shell"/>
    <s v="Shell"/>
    <s v="-"/>
    <s v="Latam Airlines Brasil"/>
    <n v="2952834969"/>
    <s v="FCM-OPE-SAO-PVI-SHELL"/>
    <s v="-"/>
    <x v="19"/>
    <n v="0"/>
    <n v="8.84"/>
    <n v="0"/>
    <n v="8.84"/>
    <n v="0"/>
    <n v="0"/>
    <s v="Reserva importada por HubTravel"/>
    <s v="Falta informar o status no trecho da accounting aérea (Bilhete: 2952834969)"/>
    <s v="SABRE"/>
    <s v="Falta informação nos trechos"/>
    <s v="Atualização de Trechos"/>
    <s v="Dados do Fornecedor"/>
    <s v="Qualidade dos dados"/>
    <s v="KONTIK BUSINESS TRAVEL"/>
  </r>
  <r>
    <n v="22730871"/>
    <n v="23528360"/>
    <s v="ACC02"/>
    <x v="284"/>
    <d v="2025-08-12T16:21:18"/>
    <s v="0 a 02 dias"/>
    <s v="0 a 02 dias"/>
    <s v="QGPROE"/>
    <s v="SABRE"/>
    <s v="GOMES/ELI EBER BATISTA DR"/>
    <s v="7S"/>
    <s v="Marcelo Pereira de Melo"/>
    <x v="244"/>
    <s v="QGPROE"/>
    <s v="-"/>
    <s v="ON LINE"/>
    <s v="?"/>
    <s v="TKT"/>
    <s v="Aéreo"/>
    <s v="N"/>
    <s v="Grupo Shell"/>
    <s v="Shell"/>
    <s v="-"/>
    <s v="Latam Airlines Brasil"/>
    <n v="2952834969"/>
    <s v="FCM-OPE-SAO-PVI-SHELL"/>
    <s v="-"/>
    <x v="19"/>
    <n v="0"/>
    <n v="450"/>
    <n v="0"/>
    <n v="0"/>
    <n v="0"/>
    <n v="0"/>
    <s v="Reserva importada por HubTravel"/>
    <s v="Falta informar o status no trecho da accounting aérea (Bilhete: 2952834969)"/>
    <s v="SABRE"/>
    <s v="Falta informação nos trechos"/>
    <s v="Atualização de Trechos"/>
    <s v="Dados do Fornecedor"/>
    <s v="Qualidade dos dados"/>
    <s v="KONTIK BUSINESS TRAVEL"/>
  </r>
  <r>
    <n v="22731519"/>
    <n v="23528985"/>
    <s v="ACC01"/>
    <x v="285"/>
    <d v="2025-08-12T18:05:07"/>
    <s v="0 a 02 dias"/>
    <s v="0 a 02 dias"/>
    <s v="NUYDEJ"/>
    <s v="SABRE"/>
    <s v="PAES DE CASTRO BARRETO/ANA CA"/>
    <s v="Beatrys Ferreira Rocha"/>
    <s v="Vanessa Pereira Ribeiro Carlos"/>
    <x v="245"/>
    <s v="EMAIL"/>
    <s v="-"/>
    <s v="OFF LINE"/>
    <s v="?"/>
    <s v="TKT"/>
    <s v="Aéreo"/>
    <s v="N"/>
    <s v="Grupo Shell"/>
    <s v="Shell"/>
    <s v="-"/>
    <s v="Latam Airlines Brasil"/>
    <n v="2952834984"/>
    <s v="FCM-OPE-SAO-PVI-SHELL"/>
    <s v="-"/>
    <x v="19"/>
    <n v="0"/>
    <n v="450"/>
    <n v="0"/>
    <n v="33.0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31126"/>
    <n v="23528615"/>
    <s v="ACC01"/>
    <x v="286"/>
    <d v="2025-08-12T18:04:01"/>
    <s v="0 a 02 dias"/>
    <s v="0 a 02 dias"/>
    <s v="NRWYKO"/>
    <s v="SABRE"/>
    <s v="MACRINI/FERNANDA CERRI"/>
    <s v="Beatrys Ferreira Rocha"/>
    <s v="WS"/>
    <x v="246"/>
    <s v="CONCUR"/>
    <s v="-"/>
    <s v="ON LINE"/>
    <s v="?"/>
    <s v="TKT"/>
    <s v="Aéreo"/>
    <s v="N"/>
    <s v="Grupo Shell"/>
    <s v="Shell"/>
    <s v="-"/>
    <s v="Latam Airlines Brasil"/>
    <n v="2952834981"/>
    <s v="FCM-OPE-SAO-PVI-SHELL"/>
    <s v="-"/>
    <x v="19"/>
    <n v="0"/>
    <n v="412.63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31130"/>
    <n v="23528619"/>
    <s v="ACC01"/>
    <x v="287"/>
    <d v="2025-08-12T18:04:03"/>
    <s v="0 a 02 dias"/>
    <s v="0 a 02 dias"/>
    <s v="CLTSTU"/>
    <s v="SABRE"/>
    <s v="PASSADORE/JULIANA DE ALMEIDA"/>
    <s v="Beatrys Ferreira Rocha"/>
    <s v="WS"/>
    <x v="247"/>
    <s v="CONCUR"/>
    <s v="-"/>
    <s v="ON LINE"/>
    <s v="?"/>
    <s v="TKT"/>
    <s v="Aéreo"/>
    <s v="N"/>
    <s v="Grupo Shell"/>
    <s v="Shell"/>
    <s v="-"/>
    <s v="Latam Airlines Brasil"/>
    <n v="2952834982"/>
    <s v="FCM-OPE-SAO-PVI-SHELL"/>
    <s v="-"/>
    <x v="19"/>
    <n v="0"/>
    <n v="300.63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28486"/>
    <n v="23526068"/>
    <s v="ACC01"/>
    <x v="288"/>
    <d v="2025-08-12T16:08:55"/>
    <s v="0 a 02 dias"/>
    <s v="0 a 02 dias"/>
    <s v="WKDOWD"/>
    <s v="SABRE"/>
    <s v="MARIANO DA SILVA JUNIOR/CARLOS EDUARDO"/>
    <s v="Adriana Vieira de Freitas dos Santos"/>
    <s v="Adriana Vieira de Freitas dos Santos"/>
    <x v="248"/>
    <s v="FONE"/>
    <s v="-"/>
    <s v="OFF LINE"/>
    <s v="Cartão de crédito"/>
    <s v="Cartão de crédito"/>
    <s v="Aéreo"/>
    <s v="N"/>
    <s v="Grupo Shell"/>
    <s v="Shell"/>
    <s v="-"/>
    <s v="Gol Linhas Aereas"/>
    <n v="2143250893"/>
    <s v="FCM-OPE-SAO-PVI-SHELL"/>
    <s v="-"/>
    <x v="19"/>
    <n v="0"/>
    <n v="0"/>
    <n v="0"/>
    <n v="0"/>
    <n v="0"/>
    <n v="0"/>
    <s v="Reserva importada por HubTravel"/>
    <s v="Verificação de bilhetes: Bilhete 2143250893 já sendo utilizado para este fornecedor."/>
    <s v="SABRE"/>
    <s v="Bilhete duplicado"/>
    <s v="Bilhete Já Contabilizado"/>
    <s v="Duplicidade de Contabilização"/>
    <s v="Qualidade dos dados"/>
    <s v="GRUPO KONTIK"/>
  </r>
  <r>
    <n v="22729433"/>
    <n v="23526984"/>
    <s v="ACC01"/>
    <x v="289"/>
    <d v="2025-08-12T12:50:49"/>
    <s v="0 a 02 dias"/>
    <s v="0 a 02 dias"/>
    <s v="5GKAM8"/>
    <s v="TMS"/>
    <s v="ISRAEL CAVALCANTE"/>
    <s v="Tms"/>
    <s v="Tms"/>
    <x v="249"/>
    <n v="24991"/>
    <s v="Fortaleza / FOR"/>
    <s v="ON LINE"/>
    <s v="Invoice"/>
    <s v="Faturado"/>
    <s v="Carro"/>
    <s v="N"/>
    <s v="Grupo Enaex"/>
    <s v="Enaex"/>
    <s v="-"/>
    <s v="-"/>
    <s v="-"/>
    <s v="KON-OPE-RIO-PVI-ENAEX"/>
    <s v="-"/>
    <x v="243"/>
    <n v="0"/>
    <n v="0"/>
    <n v="0"/>
    <n v="0"/>
    <n v="0"/>
    <n v="0"/>
    <s v="Reserva importada do Sistema TMS. OS: 24991"/>
    <s v="Fornecedor não preenchido! (ACC01)"/>
    <s v="ARGO(TMS)"/>
    <s v="Falta de Fornecedor"/>
    <s v="Campo Fornecedor"/>
    <s v="Dados do Fornecedor"/>
    <s v="Qualidade dos dados"/>
    <s v="KONTIK BUSINESS TRAVEL"/>
  </r>
  <r>
    <n v="22726883"/>
    <n v="23524969"/>
    <s v="ACC01"/>
    <x v="290"/>
    <d v="2025-08-12T00:31:15"/>
    <s v="0 a 02 dias"/>
    <s v="0 a 02 dias"/>
    <s v="5GRGGU"/>
    <s v="TMS"/>
    <s v="EZEQUIEL TRAMUNTINN"/>
    <s v="Marcia Fernandes de Sousa"/>
    <s v="Marcia Fernandes de Sousa"/>
    <x v="250"/>
    <n v="24884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44"/>
    <n v="0"/>
    <n v="0"/>
    <n v="0"/>
    <n v="0"/>
    <n v="0"/>
    <n v="0"/>
    <s v="Reserva importada do Sistema TMS. OS: 24884"/>
    <s v="Fornecedor não preenchido! (ACC01)"/>
    <s v="ARGO(TMS)"/>
    <s v="Falta de Fornecedor"/>
    <s v="Campo Fornecedor"/>
    <s v="Dados do Fornecedor"/>
    <s v="Qualidade dos dados"/>
    <s v="KONTIK BUSINESS TRAVEL"/>
  </r>
  <r>
    <n v="22707834"/>
    <n v="23509291"/>
    <s v="ACC01"/>
    <x v="291"/>
    <d v="2025-08-08T12:31:52"/>
    <s v="03 a 05 dias"/>
    <s v="03 a 05 dias"/>
    <s v="5GE8TV"/>
    <s v="TMS"/>
    <s v="JOAO EDUARDO BUTURE BECKER"/>
    <s v="Marcia Fernandes de Sousa"/>
    <s v="Marcia Fernandes de Sousa"/>
    <x v="251"/>
    <n v="24909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45"/>
    <n v="0"/>
    <n v="0"/>
    <n v="0"/>
    <n v="0"/>
    <n v="0"/>
    <n v="0"/>
    <s v="Reserva importada do Sistema TMS. OS: 24909"/>
    <s v="Fornecedor não preenchido! (ACC01)"/>
    <s v="ARGO(TMS)"/>
    <s v="Falta de Fornecedor"/>
    <s v="Campo Fornecedor"/>
    <s v="Dados do Fornecedor"/>
    <s v="Qualidade dos dados"/>
    <s v="KONTIK BUSINESS TRAVEL"/>
  </r>
  <r>
    <n v="22722078"/>
    <n v="23520439"/>
    <s v="ACC01"/>
    <x v="292"/>
    <d v="2025-08-11T12:35:34"/>
    <s v="0 a 02 dias"/>
    <s v="0 a 02 dias"/>
    <s v="5G05EH"/>
    <s v="TMS"/>
    <s v="EDMUNDO ANJOS"/>
    <s v="Marcia Fernandes de Sousa"/>
    <s v="Marcia Fernandes de Sousa"/>
    <x v="252"/>
    <n v="24942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46"/>
    <n v="0"/>
    <n v="0"/>
    <n v="0"/>
    <n v="0"/>
    <n v="0"/>
    <n v="0"/>
    <s v="Reserva importada do Sistema TMS. OS: 24942"/>
    <s v="Fornecedor não preenchido! (ACC01)"/>
    <s v="ARGO(TMS)"/>
    <s v="Falta de Fornecedor"/>
    <s v="Campo Fornecedor"/>
    <s v="Dados do Fornecedor"/>
    <s v="Qualidade dos dados"/>
    <s v="KONTIK BUSINESS TRAVEL"/>
  </r>
  <r>
    <n v="22722079"/>
    <n v="23520440"/>
    <s v="ACC01"/>
    <x v="293"/>
    <d v="2025-08-11T12:35:35"/>
    <s v="0 a 02 dias"/>
    <s v="0 a 02 dias"/>
    <s v="5GAGDH"/>
    <s v="TMS"/>
    <s v="DENILSON PONTES"/>
    <s v="Marcia Fernandes de Sousa"/>
    <s v="Marcia Fernandes de Sousa"/>
    <x v="253"/>
    <n v="24941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46"/>
    <n v="0"/>
    <n v="0"/>
    <n v="0"/>
    <n v="0"/>
    <n v="0"/>
    <n v="0"/>
    <s v="Reserva importada do Sistema TMS. OS: 24941"/>
    <s v="Fornecedor não preenchido! (ACC01)"/>
    <s v="ARGO(TMS)"/>
    <s v="Falta de Fornecedor"/>
    <s v="Campo Fornecedor"/>
    <s v="Dados do Fornecedor"/>
    <s v="Qualidade dos dados"/>
    <s v="KONTIK BUSINESS TRAVEL"/>
  </r>
  <r>
    <n v="22649917"/>
    <n v="23459507"/>
    <s v="ACC01"/>
    <x v="294"/>
    <d v="2025-07-30T10:01:14"/>
    <s v="09 a 15 dias"/>
    <s v="09 a 15 dias"/>
    <s v="5FS8LZ"/>
    <s v="LEMONTECH"/>
    <s v="BANNI/MAICON"/>
    <s v="Fernando Augusto Santiago da Silva"/>
    <s v="Fernando Augusto Santiago da Silva"/>
    <x v="254"/>
    <n v="1707534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31"/>
    <n v="0"/>
    <n v="0"/>
    <n v="0"/>
    <n v="0"/>
    <n v="0"/>
    <n v="0"/>
    <s v="Reserva importada do Sistema Lemontech. Solicitação: 17075340"/>
    <s v="Fornecedor não preenchido! (ACC01)"/>
    <s v="LEMONTECH"/>
    <s v="Falta de Fornecedor"/>
    <s v="Campo Fornecedor"/>
    <s v="Dados do Fornecedor"/>
    <s v="Qualidade dos dados"/>
    <s v="KONTIK BUSINESS TRAVEL"/>
  </r>
  <r>
    <n v="22643645"/>
    <n v="23453915"/>
    <s v="ACC01"/>
    <x v="295"/>
    <d v="2025-07-29T09:01:20"/>
    <s v="09 a 15 dias"/>
    <s v="09 a 15 dias"/>
    <s v="5FZLHB"/>
    <s v="LEMONTECH"/>
    <s v="BANNI/MAICON"/>
    <s v="Fernando Augusto Santiago da Silva"/>
    <s v="Fernando Augusto Santiago da Silva"/>
    <x v="255"/>
    <n v="1707501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7"/>
    <n v="0"/>
    <n v="0"/>
    <n v="0"/>
    <n v="0"/>
    <n v="0"/>
    <n v="0"/>
    <s v="Reserva importada do Sistema Lemontech. Solicitação: 17075013"/>
    <s v="Fornecedor não preenchido! (ACC01)"/>
    <s v="LEMONTECH"/>
    <s v="Falta de Fornecedor"/>
    <s v="Campo Fornecedor"/>
    <s v="Dados do Fornecedor"/>
    <s v="Qualidade dos dados"/>
    <s v="KONTIK BUSINESS TRAVEL"/>
  </r>
  <r>
    <n v="22643646"/>
    <n v="23453916"/>
    <s v="ACC01"/>
    <x v="296"/>
    <d v="2025-07-29T09:01:20"/>
    <s v="09 a 15 dias"/>
    <s v="09 a 15 dias"/>
    <s v="5FXL60"/>
    <s v="LEMONTECH"/>
    <s v="BANNI/MAICON"/>
    <s v="Fernando Augusto Santiago da Silva"/>
    <s v="Fernando Augusto Santiago da Silva"/>
    <x v="256"/>
    <n v="1707526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31"/>
    <n v="0"/>
    <n v="0"/>
    <n v="0"/>
    <n v="0"/>
    <n v="0"/>
    <n v="0"/>
    <s v="Reserva importada do Sistema Lemontech. Solicitação: 17075260"/>
    <s v="Fornecedor não preenchido! (ACC01)"/>
    <s v="LEMONTECH"/>
    <s v="Falta de Fornecedor"/>
    <s v="Campo Fornecedor"/>
    <s v="Dados do Fornecedor"/>
    <s v="Qualidade dos dados"/>
    <s v="KONTIK BUSINESS TRAVEL"/>
  </r>
  <r>
    <n v="22643647"/>
    <n v="23453917"/>
    <s v="ACC01"/>
    <x v="297"/>
    <d v="2025-07-29T09:01:21"/>
    <s v="09 a 15 dias"/>
    <s v="09 a 15 dias"/>
    <s v="5FD9HB"/>
    <s v="LEMONTECH"/>
    <s v="BANNI/MAICON"/>
    <s v="Fernando Augusto Santiago da Silva"/>
    <s v="Fernando Augusto Santiago da Silva"/>
    <x v="257"/>
    <n v="1707527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8"/>
    <n v="0"/>
    <n v="0"/>
    <n v="0"/>
    <n v="0"/>
    <n v="0"/>
    <n v="0"/>
    <s v="Reserva importada do Sistema Lemontech. Solicitação: 17075278"/>
    <s v="Fornecedor não preenchido! (ACC01)"/>
    <s v="LEMONTECH"/>
    <s v="Falta de Fornecedor"/>
    <s v="Campo Fornecedor"/>
    <s v="Dados do Fornecedor"/>
    <s v="Qualidade dos dados"/>
    <s v="KONTIK BUSINESS TRAVEL"/>
  </r>
  <r>
    <n v="22656876"/>
    <n v="23465756"/>
    <s v="ACC01"/>
    <x v="298"/>
    <d v="2025-07-31T10:00:50"/>
    <s v="09 a 15 dias"/>
    <s v="09 a 15 dias"/>
    <s v="5F5FTE"/>
    <s v="LEMONTECH"/>
    <s v="NAKANO/RICARDO"/>
    <s v="Fernando Augusto Santiago da Silva"/>
    <s v="Fernando Augusto Santiago da Silva"/>
    <x v="258"/>
    <n v="1705425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9"/>
    <n v="0"/>
    <n v="0"/>
    <n v="0"/>
    <n v="0"/>
    <n v="0"/>
    <n v="0"/>
    <s v="Reserva importada do Sistema Lemontech. Solicitação: 17054255"/>
    <s v="Fornecedor não preenchido! (ACC01)"/>
    <s v="LEMONTECH"/>
    <s v="Falta de Fornecedor"/>
    <s v="Campo Fornecedor"/>
    <s v="Dados do Fornecedor"/>
    <s v="Qualidade dos dados"/>
    <s v="KONTIK BUSINESS TRAVEL"/>
  </r>
  <r>
    <n v="22656877"/>
    <n v="23465757"/>
    <s v="ACC01"/>
    <x v="299"/>
    <d v="2025-07-31T10:00:50"/>
    <s v="09 a 15 dias"/>
    <s v="09 a 15 dias"/>
    <s v="5FHVGC"/>
    <s v="LEMONTECH"/>
    <s v="BANNI/MAICON"/>
    <s v="Fernando Augusto Santiago da Silva"/>
    <s v="Fernando Augusto Santiago da Silva"/>
    <x v="259"/>
    <n v="1705428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0"/>
    <n v="0"/>
    <n v="0"/>
    <n v="0"/>
    <n v="0"/>
    <n v="0"/>
    <n v="0"/>
    <s v="Reserva importada do Sistema Lemontech. Solicitação: 17054289"/>
    <s v="Fornecedor não preenchido! (ACC01)"/>
    <s v="LEMONTECH"/>
    <s v="Falta de Fornecedor"/>
    <s v="Campo Fornecedor"/>
    <s v="Dados do Fornecedor"/>
    <s v="Qualidade dos dados"/>
    <s v="KONTIK BUSINESS TRAVEL"/>
  </r>
  <r>
    <n v="22656878"/>
    <n v="23465758"/>
    <s v="ACC01"/>
    <x v="300"/>
    <d v="2025-07-31T10:00:50"/>
    <s v="09 a 15 dias"/>
    <s v="09 a 15 dias"/>
    <s v="5F7V5C"/>
    <s v="LEMONTECH"/>
    <s v="NAKANO/RICARDO"/>
    <s v="Fernando Augusto Santiago da Silva"/>
    <s v="Fernando Augusto Santiago da Silva"/>
    <x v="260"/>
    <n v="17054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9"/>
    <n v="0"/>
    <n v="0"/>
    <n v="0"/>
    <n v="0"/>
    <n v="0"/>
    <n v="0"/>
    <s v="Reserva importada do Sistema Lemontech. Solicitação: 17054303"/>
    <s v="Fornecedor não preenchido! (ACC01)"/>
    <s v="LEMONTECH"/>
    <s v="Falta de Fornecedor"/>
    <s v="Campo Fornecedor"/>
    <s v="Dados do Fornecedor"/>
    <s v="Qualidade dos dados"/>
    <s v="KONTIK BUSINESS TRAVEL"/>
  </r>
  <r>
    <n v="22656879"/>
    <n v="23465759"/>
    <s v="ACC01"/>
    <x v="301"/>
    <d v="2025-07-31T10:00:51"/>
    <s v="09 a 15 dias"/>
    <s v="09 a 15 dias"/>
    <s v="5F8VGD"/>
    <s v="LEMONTECH"/>
    <s v="NAKANO/RICARDO"/>
    <s v="Fernando Augusto Santiago da Silva"/>
    <s v="Fernando Augusto Santiago da Silva"/>
    <x v="261"/>
    <n v="1705443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9"/>
    <n v="0"/>
    <n v="0"/>
    <n v="0"/>
    <n v="0"/>
    <n v="0"/>
    <n v="0"/>
    <s v="Reserva importada do Sistema Lemontech. Solicitação: 17054438"/>
    <s v="Fornecedor não preenchido! (ACC01)"/>
    <s v="LEMONTECH"/>
    <s v="Falta de Fornecedor"/>
    <s v="Campo Fornecedor"/>
    <s v="Dados do Fornecedor"/>
    <s v="Qualidade dos dados"/>
    <s v="KONTIK BUSINESS TRAVEL"/>
  </r>
  <r>
    <n v="22656880"/>
    <n v="23465760"/>
    <s v="ACC01"/>
    <x v="302"/>
    <d v="2025-07-31T10:00:51"/>
    <s v="09 a 15 dias"/>
    <s v="09 a 15 dias"/>
    <s v="5F9FTD"/>
    <s v="LEMONTECH"/>
    <s v="BANNI/MAICON"/>
    <s v="Fernando Augusto Santiago da Silva"/>
    <s v="Fernando Augusto Santiago da Silva"/>
    <x v="262"/>
    <n v="1705445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0"/>
    <n v="0"/>
    <n v="0"/>
    <n v="0"/>
    <n v="0"/>
    <n v="0"/>
    <n v="0"/>
    <s v="Reserva importada do Sistema Lemontech. Solicitação: 17054452"/>
    <s v="Fornecedor não preenchido! (ACC01)"/>
    <s v="LEMONTECH"/>
    <s v="Falta de Fornecedor"/>
    <s v="Campo Fornecedor"/>
    <s v="Dados do Fornecedor"/>
    <s v="Qualidade dos dados"/>
    <s v="KONTIK BUSINESS TRAVEL"/>
  </r>
  <r>
    <n v="22656881"/>
    <n v="23465761"/>
    <s v="ACC01"/>
    <x v="302"/>
    <d v="2025-07-31T10:00:52"/>
    <s v="09 a 15 dias"/>
    <s v="09 a 15 dias"/>
    <s v="5F0GGD"/>
    <s v="LEMONTECH"/>
    <s v="NAKANO/RICARDO"/>
    <s v="Fernando Augusto Santiago da Silva"/>
    <s v="Fernando Augusto Santiago da Silva"/>
    <x v="263"/>
    <n v="1706404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9"/>
    <n v="0"/>
    <n v="0"/>
    <n v="0"/>
    <n v="0"/>
    <n v="0"/>
    <n v="0"/>
    <s v="Reserva importada do Sistema Lemontech. Solicitação: 17064048"/>
    <s v="Fornecedor não preenchido! (ACC01)"/>
    <s v="LEMONTECH"/>
    <s v="Falta de Fornecedor"/>
    <s v="Campo Fornecedor"/>
    <s v="Dados do Fornecedor"/>
    <s v="Qualidade dos dados"/>
    <s v="KONTIK BUSINESS TRAVEL"/>
  </r>
  <r>
    <n v="22656882"/>
    <n v="23465762"/>
    <s v="ACC01"/>
    <x v="303"/>
    <d v="2025-07-31T10:06:04"/>
    <s v="09 a 15 dias"/>
    <s v="09 a 15 dias"/>
    <s v="5FQG5C"/>
    <s v="LEMONTECH"/>
    <s v="BANNI/MAICON"/>
    <s v="Fernando Augusto Santiago da Silva"/>
    <s v="Fernando Augusto Santiago da Silva"/>
    <x v="264"/>
    <n v="170754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31"/>
    <n v="0"/>
    <n v="0"/>
    <n v="0"/>
    <n v="0"/>
    <n v="0"/>
    <n v="0"/>
    <s v="Reserva importada do Sistema Lemontech. Solicitação: 17075499"/>
    <s v="Fornecedor não preenchido! (ACC01)"/>
    <s v="LEMONTECH"/>
    <s v="Falta de Fornecedor"/>
    <s v="Campo Fornecedor"/>
    <s v="Dados do Fornecedor"/>
    <s v="Qualidade dos dados"/>
    <s v="KONTIK BUSINESS TRAVEL"/>
  </r>
  <r>
    <n v="22619685"/>
    <n v="23435117"/>
    <s v="ACC01"/>
    <x v="304"/>
    <d v="2025-07-24T15:00:45"/>
    <s v="16 a 23 dias"/>
    <s v="16 a 23 dias"/>
    <s v="5EVMYH"/>
    <s v="LEMONTECH"/>
    <s v="NAKANO/RICARDO"/>
    <s v="Fernando Augusto Santiago da Silva"/>
    <s v="Fernando Augusto Santiago da Silva"/>
    <x v="265"/>
    <n v="1705422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9"/>
    <n v="0"/>
    <n v="0"/>
    <n v="0"/>
    <n v="0"/>
    <n v="0"/>
    <n v="0"/>
    <s v="Reserva importada do Sistema Lemontech. Solicitação: 17054223"/>
    <s v="Fornecedor não preenchido! (ACC01)"/>
    <s v="LEMONTECH"/>
    <s v="Falta de Fornecedor"/>
    <s v="Campo Fornecedor"/>
    <s v="Dados do Fornecedor"/>
    <s v="Qualidade dos dados"/>
    <s v="KONTIK BUSINESS TRAVEL"/>
  </r>
  <r>
    <n v="22638329"/>
    <n v="23449380"/>
    <s v="ACC01"/>
    <x v="305"/>
    <d v="2025-07-28T14:01:06"/>
    <s v="16 a 23 dias"/>
    <s v="16 a 23 dias"/>
    <s v="5EJW5O"/>
    <s v="LEMONTECH"/>
    <s v="BANNI/MAICON"/>
    <s v="Fernando Augusto Santiago da Silva"/>
    <s v="Fernando Augusto Santiago da Silva"/>
    <x v="266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31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0"/>
    <n v="23449381"/>
    <s v="ACC01"/>
    <x v="306"/>
    <d v="2025-07-28T14:01:07"/>
    <s v="16 a 23 dias"/>
    <s v="16 a 23 dias"/>
    <s v="5EISTL"/>
    <s v="LEMONTECH"/>
    <s v="BANNI/MAICON"/>
    <s v="Fernando Augusto Santiago da Silva"/>
    <s v="Fernando Augusto Santiago da Silva"/>
    <x v="267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31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1"/>
    <n v="23449382"/>
    <s v="ACC01"/>
    <x v="307"/>
    <d v="2025-07-28T14:01:08"/>
    <s v="16 a 23 dias"/>
    <s v="16 a 23 dias"/>
    <s v="5ENWGO"/>
    <s v="LEMONTECH"/>
    <s v="BANNI/MAICON"/>
    <s v="Fernando Augusto Santiago da Silva"/>
    <s v="Fernando Augusto Santiago da Silva"/>
    <x v="268"/>
    <n v="1707504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1"/>
    <n v="0"/>
    <n v="0"/>
    <n v="0"/>
    <n v="0"/>
    <n v="0"/>
    <n v="0"/>
    <s v="Reserva importada do Sistema Lemontech. Solicitação: 17075042"/>
    <s v="Fornecedor não preenchido! (ACC01)"/>
    <s v="LEMONTECH"/>
    <s v="Falta de Fornecedor"/>
    <s v="Campo Fornecedor"/>
    <s v="Dados do Fornecedor"/>
    <s v="Qualidade dos dados"/>
    <s v="KONTIK BUSINESS TRAVEL"/>
  </r>
  <r>
    <n v="22638332"/>
    <n v="23449383"/>
    <s v="ACC01"/>
    <x v="308"/>
    <d v="2025-07-28T14:01:08"/>
    <s v="16 a 23 dias"/>
    <s v="16 a 23 dias"/>
    <s v="5E0ET9"/>
    <s v="LEMONTECH"/>
    <s v="CAMPOS MUSSI/FILIPE"/>
    <s v="Fernando Augusto Santiago da Silva"/>
    <s v="Fernando Augusto Santiago da Silva"/>
    <x v="268"/>
    <n v="1707509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7"/>
    <n v="0"/>
    <n v="0"/>
    <n v="0"/>
    <n v="0"/>
    <n v="0"/>
    <n v="0"/>
    <s v="Reserva importada do Sistema Lemontech. Solicitação: 17075092"/>
    <s v="Fornecedor não preenchido! (ACC01)"/>
    <s v="LEMONTECH"/>
    <s v="Falta de Fornecedor"/>
    <s v="Campo Fornecedor"/>
    <s v="Dados do Fornecedor"/>
    <s v="Qualidade dos dados"/>
    <s v="KONTIK BUSINESS TRAVEL"/>
  </r>
  <r>
    <n v="22638333"/>
    <n v="23449384"/>
    <s v="ACC01"/>
    <x v="309"/>
    <d v="2025-07-28T14:01:08"/>
    <s v="16 a 23 dias"/>
    <s v="16 a 23 dias"/>
    <s v="5E1DGN"/>
    <s v="LEMONTECH"/>
    <s v="CAMPOS MUSSI/FILIPE"/>
    <s v="Fernando Augusto Santiago da Silva"/>
    <s v="Fernando Augusto Santiago da Silva"/>
    <x v="269"/>
    <n v="170751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8"/>
    <n v="0"/>
    <n v="0"/>
    <n v="0"/>
    <n v="0"/>
    <n v="0"/>
    <n v="0"/>
    <s v="Reserva importada do Sistema Lemontech. Solicitação: 17075165"/>
    <s v="Fornecedor não preenchido! (ACC01)"/>
    <s v="LEMONTECH"/>
    <s v="Falta de Fornecedor"/>
    <s v="Campo Fornecedor"/>
    <s v="Dados do Fornecedor"/>
    <s v="Qualidade dos dados"/>
    <s v="KONTIK BUSINESS TRAVEL"/>
  </r>
  <r>
    <n v="22638334"/>
    <n v="23449385"/>
    <s v="ACC01"/>
    <x v="310"/>
    <d v="2025-07-28T14:01:09"/>
    <s v="16 a 23 dias"/>
    <s v="16 a 23 dias"/>
    <s v="5EWD5O"/>
    <s v="LEMONTECH"/>
    <s v="CAMPOS MUSSI/FILIPE"/>
    <s v="Fernando Augusto Santiago da Silva"/>
    <s v="Fernando Augusto Santiago da Silva"/>
    <x v="270"/>
    <n v="1707519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8"/>
    <n v="0"/>
    <n v="0"/>
    <n v="0"/>
    <n v="0"/>
    <n v="0"/>
    <n v="0"/>
    <s v="Reserva importada do Sistema Lemontech. Solicitação: 17075193"/>
    <s v="Fornecedor não preenchido! (ACC01)"/>
    <s v="LEMONTECH"/>
    <s v="Falta de Fornecedor"/>
    <s v="Campo Fornecedor"/>
    <s v="Dados do Fornecedor"/>
    <s v="Qualidade dos dados"/>
    <s v="KONTIK BUSINESS TRAVEL"/>
  </r>
  <r>
    <n v="22638335"/>
    <n v="23449386"/>
    <s v="ACC01"/>
    <x v="311"/>
    <d v="2025-07-28T14:01:09"/>
    <s v="16 a 23 dias"/>
    <s v="16 a 23 dias"/>
    <s v="5E33GO"/>
    <s v="LEMONTECH"/>
    <s v="CAMPOS MUSSI/FILIPE"/>
    <s v="Fernando Augusto Santiago da Silva"/>
    <s v="Fernando Augusto Santiago da Silva"/>
    <x v="271"/>
    <n v="17075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31"/>
    <n v="0"/>
    <n v="0"/>
    <n v="0"/>
    <n v="0"/>
    <n v="0"/>
    <n v="0"/>
    <s v="Reserva importada do Sistema Lemontech. Solicitação: 17075303"/>
    <s v="Fornecedor não preenchido! (ACC01)"/>
    <s v="LEMONTECH"/>
    <s v="Falta de Fornecedor"/>
    <s v="Campo Fornecedor"/>
    <s v="Dados do Fornecedor"/>
    <s v="Qualidade dos dados"/>
    <s v="KONTIK BUSINESS TRAVEL"/>
  </r>
  <r>
    <n v="22638336"/>
    <n v="23449387"/>
    <s v="ACC01"/>
    <x v="312"/>
    <d v="2025-07-28T14:01:09"/>
    <s v="16 a 23 dias"/>
    <s v="16 a 23 dias"/>
    <s v="5EFETN"/>
    <s v="LEMONTECH"/>
    <s v="BANNI/MAICON"/>
    <s v="Fernando Augusto Santiago da Silva"/>
    <s v="Fernando Augusto Santiago da Silva"/>
    <x v="272"/>
    <n v="1707544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8"/>
    <n v="0"/>
    <n v="0"/>
    <n v="0"/>
    <n v="0"/>
    <n v="0"/>
    <n v="0"/>
    <s v="Reserva importada do Sistema Lemontech. Solicitação: 17075441"/>
    <s v="Fornecedor não preenchido! (ACC01)"/>
    <s v="LEMONTECH"/>
    <s v="Falta de Fornecedor"/>
    <s v="Campo Fornecedor"/>
    <s v="Dados do Fornecedor"/>
    <s v="Qualidade dos dados"/>
    <s v="KONTIK BUSINESS TRAVEL"/>
  </r>
  <r>
    <n v="22638988"/>
    <n v="23450028"/>
    <s v="ACC01"/>
    <x v="313"/>
    <d v="2025-07-28T16:00:54"/>
    <s v="16 a 23 dias"/>
    <s v="16 a 23 dias"/>
    <s v="5E5GH9"/>
    <s v="LEMONTECH"/>
    <s v="CAMPOS MUSSI/FILIPE"/>
    <s v="Fernando Augusto Santiago da Silva"/>
    <s v="Fernando Augusto Santiago da Silva"/>
    <x v="273"/>
    <n v="1707546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8"/>
    <n v="0"/>
    <n v="0"/>
    <n v="0"/>
    <n v="0"/>
    <n v="0"/>
    <n v="0"/>
    <s v="Reserva importada do Sistema Lemontech. Solicitação: 17075466"/>
    <s v="Fornecedor não preenchido! (ACC01)"/>
    <s v="LEMONTECH"/>
    <s v="Falta de Fornecedor"/>
    <s v="Campo Fornecedor"/>
    <s v="Dados do Fornecedor"/>
    <s v="Qualidade dos dados"/>
    <s v="KONTIK BUSINESS TRAVEL"/>
  </r>
  <r>
    <n v="22491919"/>
    <n v="23326323"/>
    <s v="ACC01"/>
    <x v="314"/>
    <d v="2025-07-03T11:42:19"/>
    <s v="31 dias ou +"/>
    <s v="31 dias ou +"/>
    <s v="5B49O8"/>
    <s v="LEMONTECH"/>
    <s v="CASTRO MARQUES/PAULO"/>
    <s v="Fernando Augusto Santiago da Silva"/>
    <s v="Fernando Augusto Santiago da Silva"/>
    <x v="274"/>
    <n v="16949647"/>
    <s v="-"/>
    <s v="OFF LINE"/>
    <s v="Invoice"/>
    <s v="Faturado"/>
    <s v="Serviço"/>
    <s v="S"/>
    <s v="Grupo Biolab"/>
    <s v="Biolab Centro Administrativo - Escritorio"/>
    <s v="-"/>
    <s v="-"/>
    <s v="-"/>
    <s v="KON-OPE-SAO-PVI-BIOLAB"/>
    <s v="-"/>
    <x v="19"/>
    <n v="0"/>
    <n v="0"/>
    <n v="0"/>
    <n v="0"/>
    <n v="0"/>
    <n v="0"/>
    <s v="Reserva importada do Sistema Lemontech. Solicitação: 16949647"/>
    <s v="Fornecedor não preenchido! (ACC01)"/>
    <s v="LEMONTECH"/>
    <s v="Falta de Fornecedor"/>
    <s v="Campo Fornecedor"/>
    <s v="Dados do Fornecedor"/>
    <s v="Qualidade dos dados"/>
    <s v="KONTIK BUSINESS TRAVEL"/>
  </r>
  <r>
    <n v="22573547"/>
    <n v="23397190"/>
    <s v="ACC01"/>
    <x v="315"/>
    <d v="2025-07-16T18:07:08"/>
    <s v="24 a 31 dias"/>
    <s v="24 a 31 dias"/>
    <s v="5D8Y86"/>
    <s v="LEMONTECH"/>
    <s v="SOUZA MENDES/WANDREA"/>
    <s v="Fernando Augusto Santiago da Silva"/>
    <s v="Fernando Augusto Santiago da Silva"/>
    <x v="275"/>
    <n v="170682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2"/>
    <n v="0"/>
    <n v="0"/>
    <n v="0"/>
    <n v="0"/>
    <n v="0"/>
    <n v="0"/>
    <s v="Reserva importada do Sistema Lemontech. Solicitação: 17068265"/>
    <s v="Fornecedor não preenchido! (ACC01)"/>
    <s v="LEMONTECH"/>
    <s v="Falta de Fornecedor"/>
    <s v="Campo Fornecedor"/>
    <s v="Dados do Fornecedor"/>
    <s v="Qualidade dos dados"/>
    <s v="KONTIK BUSINESS TRAVEL"/>
  </r>
  <r>
    <n v="22585625"/>
    <n v="23407310"/>
    <s v="ACC01"/>
    <x v="316"/>
    <d v="2025-07-18T15:06:31"/>
    <s v="24 a 31 dias"/>
    <s v="24 a 31 dias"/>
    <s v="5DN3I9"/>
    <s v="LEMONTECH"/>
    <s v="AMAZONAS/ROBERTO"/>
    <s v="Fernando Augusto Santiago da Silva"/>
    <s v="Fernando Augusto Santiago da Silva"/>
    <x v="276"/>
    <n v="1707599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3"/>
    <n v="0"/>
    <n v="0"/>
    <n v="0"/>
    <n v="0"/>
    <n v="0"/>
    <n v="0"/>
    <s v="Reserva importada do Sistema Lemontech. Solicitação: 17075997"/>
    <s v="Fornecedor não preenchido! (ACC01)"/>
    <s v="LEMONTECH"/>
    <s v="Falta de Fornecedor"/>
    <s v="Campo Fornecedor"/>
    <s v="Dados do Fornecedor"/>
    <s v="Qualidade dos dados"/>
    <s v="KONTIK BUSINESS TRAVEL"/>
  </r>
  <r>
    <n v="22585626"/>
    <n v="23407311"/>
    <s v="ACC01"/>
    <x v="317"/>
    <d v="2025-07-18T15:06:31"/>
    <s v="24 a 31 dias"/>
    <s v="24 a 31 dias"/>
    <s v="5DBRK9"/>
    <s v="LEMONTECH"/>
    <s v="BROSSI PELISSARI/FILIPE"/>
    <s v="Fernando Augusto Santiago da Silva"/>
    <s v="Fernando Augusto Santiago da Silva"/>
    <x v="277"/>
    <n v="1707599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4"/>
    <n v="0"/>
    <n v="0"/>
    <n v="0"/>
    <n v="0"/>
    <n v="0"/>
    <n v="0"/>
    <s v="Reserva importada do Sistema Lemontech. Solicitação: 17075998"/>
    <s v="Fornecedor não preenchido! (ACC01)"/>
    <s v="LEMONTECH"/>
    <s v="Falta de Fornecedor"/>
    <s v="Campo Fornecedor"/>
    <s v="Dados do Fornecedor"/>
    <s v="Qualidade dos dados"/>
    <s v="KONTIK BUSINESS TRAVEL"/>
  </r>
  <r>
    <n v="22585627"/>
    <n v="23407312"/>
    <s v="ACC01"/>
    <x v="318"/>
    <d v="2025-07-18T15:06:31"/>
    <s v="24 a 31 dias"/>
    <s v="24 a 31 dias"/>
    <s v="5DQRI9"/>
    <s v="LEMONTECH"/>
    <s v="GUEDES/MARCELO"/>
    <s v="Fernando Augusto Santiago da Silva"/>
    <s v="Fernando Augusto Santiago da Silva"/>
    <x v="278"/>
    <n v="170759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3"/>
    <n v="0"/>
    <n v="0"/>
    <n v="0"/>
    <n v="0"/>
    <n v="0"/>
    <n v="0"/>
    <s v="Reserva importada do Sistema Lemontech. Solicitação: 17075999"/>
    <s v="Fornecedor não preenchido! (ACC01)"/>
    <s v="LEMONTECH"/>
    <s v="Falta de Fornecedor"/>
    <s v="Campo Fornecedor"/>
    <s v="Dados do Fornecedor"/>
    <s v="Qualidade dos dados"/>
    <s v="KONTIK BUSINESS TRAVEL"/>
  </r>
  <r>
    <n v="22585628"/>
    <n v="23407313"/>
    <s v="ACC01"/>
    <x v="318"/>
    <d v="2025-07-18T15:06:31"/>
    <s v="24 a 31 dias"/>
    <s v="24 a 31 dias"/>
    <s v="5DWRIO"/>
    <s v="LEMONTECH"/>
    <s v="PAVAO/LEANDRO"/>
    <s v="Fernando Augusto Santiago da Silva"/>
    <s v="Fernando Augusto Santiago da Silva"/>
    <x v="279"/>
    <n v="1707600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3"/>
    <n v="0"/>
    <n v="0"/>
    <n v="0"/>
    <n v="0"/>
    <n v="0"/>
    <n v="0"/>
    <s v="Reserva importada do Sistema Lemontech. Solicitação: 17076001"/>
    <s v="Fornecedor não preenchido! (ACC01)"/>
    <s v="LEMONTECH"/>
    <s v="Falta de Fornecedor"/>
    <s v="Campo Fornecedor"/>
    <s v="Dados do Fornecedor"/>
    <s v="Qualidade dos dados"/>
    <s v="KONTIK BUSINESS TRAVEL"/>
  </r>
  <r>
    <n v="22585629"/>
    <n v="23407314"/>
    <s v="ACC01"/>
    <x v="319"/>
    <d v="2025-07-18T15:06:31"/>
    <s v="24 a 31 dias"/>
    <s v="24 a 31 dias"/>
    <s v="5D3R8L"/>
    <s v="LEMONTECH"/>
    <s v="BRITO/AMANDA"/>
    <s v="Fernando Augusto Santiago da Silva"/>
    <s v="Fernando Augusto Santiago da Silva"/>
    <x v="280"/>
    <n v="1707728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5"/>
    <n v="0"/>
    <n v="0"/>
    <n v="0"/>
    <n v="0"/>
    <n v="0"/>
    <n v="0"/>
    <s v="Reserva importada do Sistema Lemontech. Solicitação: 17077287"/>
    <s v="Fornecedor não preenchido! (ACC01)"/>
    <s v="LEMONTECH"/>
    <s v="Falta de Fornecedor"/>
    <s v="Campo Fornecedor"/>
    <s v="Dados do Fornecedor"/>
    <s v="Qualidade dos dados"/>
    <s v="KONTIK BUSINESS TRAVEL"/>
  </r>
  <r>
    <n v="22586517"/>
    <n v="23408193"/>
    <s v="ACC01"/>
    <x v="320"/>
    <d v="2025-07-18T16:07:18"/>
    <s v="24 a 31 dias"/>
    <s v="24 a 31 dias"/>
    <s v="5E25PM"/>
    <s v="LEMONTECH"/>
    <s v="OPPI/EGLE"/>
    <s v="Fernando Augusto Santiago da Silva"/>
    <s v="Fernando Augusto Santiago da Silva"/>
    <x v="281"/>
    <n v="17070514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6"/>
    <n v="0"/>
    <n v="0"/>
    <n v="0"/>
    <n v="0"/>
    <n v="0"/>
    <n v="0"/>
    <s v="Reserva importada do Sistema Lemontech. Solicitação: 17070514"/>
    <s v="Fornecedor não preenchido! (ACC01)"/>
    <s v="LEMONTECH"/>
    <s v="Falta de Fornecedor"/>
    <s v="Campo Fornecedor"/>
    <s v="Dados do Fornecedor"/>
    <s v="Qualidade dos dados"/>
    <s v="KONTIK BUSINESS TRAVEL"/>
  </r>
  <r>
    <n v="22586518"/>
    <n v="23408194"/>
    <s v="ACC01"/>
    <x v="321"/>
    <d v="2025-07-18T16:07:19"/>
    <s v="24 a 31 dias"/>
    <s v="24 a 31 dias"/>
    <s v="5EE50B"/>
    <s v="LEMONTECH"/>
    <s v="RANGEL GIOMETTI/ELLEN"/>
    <s v="Fernando Augusto Santiago da Silva"/>
    <s v="Fernando Augusto Santiago da Silva"/>
    <x v="282"/>
    <n v="1707056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6"/>
    <n v="0"/>
    <n v="0"/>
    <n v="0"/>
    <n v="0"/>
    <n v="0"/>
    <n v="0"/>
    <s v="Reserva importada do Sistema Lemontech. Solicitação: 17070561"/>
    <s v="Fornecedor não preenchido! (ACC01)"/>
    <s v="LEMONTECH"/>
    <s v="Falta de Fornecedor"/>
    <s v="Campo Fornecedor"/>
    <s v="Dados do Fornecedor"/>
    <s v="Qualidade dos dados"/>
    <s v="KONTIK BUSINESS TRAVEL"/>
  </r>
  <r>
    <n v="22607201"/>
    <n v="23424504"/>
    <s v="ACC01"/>
    <x v="322"/>
    <d v="2025-07-22T17:06:03"/>
    <s v="16 a 23 dias"/>
    <s v="16 a 23 dias"/>
    <s v="5E1SUD"/>
    <s v="LEMONTECH"/>
    <s v="NAKANO/RICARDO"/>
    <s v="Fernando Augusto Santiago da Silva"/>
    <s v="Fernando Augusto Santiago da Silva"/>
    <x v="283"/>
    <n v="1705099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9"/>
    <n v="0"/>
    <n v="0"/>
    <n v="0"/>
    <n v="0"/>
    <n v="0"/>
    <n v="0"/>
    <s v="Reserva importada do Sistema Lemontech. Solicitação: 17050995"/>
    <s v="Fornecedor não preenchido! (ACC01)"/>
    <s v="LEMONTECH"/>
    <s v="Falta de Fornecedor"/>
    <s v="Campo Fornecedor"/>
    <s v="Dados do Fornecedor"/>
    <s v="Qualidade dos dados"/>
    <s v="KONTIK BUSINESS TRAVEL"/>
  </r>
  <r>
    <n v="22607620"/>
    <n v="23424885"/>
    <s v="ACC01"/>
    <x v="323"/>
    <d v="2025-07-22T18:01:07"/>
    <s v="16 a 23 dias"/>
    <s v="16 a 23 dias"/>
    <s v="5EE083"/>
    <s v="LEMONTECH"/>
    <s v="NAKANO/RICARDO"/>
    <s v="Fernando Augusto Santiago da Silva"/>
    <s v="Fernando Augusto Santiago da Silva"/>
    <x v="284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7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07621"/>
    <n v="23424886"/>
    <s v="ACC01"/>
    <x v="324"/>
    <d v="2025-07-22T18:01:09"/>
    <s v="16 a 23 dias"/>
    <s v="16 a 23 dias"/>
    <s v="5EFMKD"/>
    <s v="LEMONTECH"/>
    <s v="NAKANO/RICARDO"/>
    <s v="Fernando Augusto Santiago da Silva"/>
    <s v="Fernando Augusto Santiago da Silva"/>
    <x v="285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57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11407"/>
    <n v="23427981"/>
    <s v="ACC01"/>
    <x v="325"/>
    <d v="2025-07-23T10:00:46"/>
    <s v="16 a 23 dias"/>
    <s v="16 a 23 dias"/>
    <s v="5ERD6V"/>
    <s v="LEMONTECH"/>
    <s v="NAKANO/RICARDO"/>
    <s v="Fernando Augusto Santiago da Silva"/>
    <s v="Fernando Augusto Santiago da Silva"/>
    <x v="286"/>
    <n v="1705447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49"/>
    <n v="0"/>
    <n v="0"/>
    <n v="0"/>
    <n v="0"/>
    <n v="0"/>
    <n v="0"/>
    <s v="Reserva importada do Sistema Lemontech. Solicitação: 17054472"/>
    <s v="Fornecedor não preenchido! (ACC01)"/>
    <s v="LEMONTECH"/>
    <s v="Falta de Fornecedor"/>
    <s v="Campo Fornecedor"/>
    <s v="Dados do Fornecedor"/>
    <s v="Qualidade dos dados"/>
    <s v="KONTIK BUSINESS TRAVEL"/>
  </r>
  <r>
    <n v="22720859"/>
    <n v="23519278"/>
    <s v="ACC01"/>
    <x v="326"/>
    <d v="2025-08-11T09:01:18"/>
    <s v="0 a 02 dias"/>
    <s v="0 a 02 dias"/>
    <s v="5GWAP6"/>
    <s v="LEMONTECH"/>
    <s v="OPPI/EGLE"/>
    <s v="Fernando Augusto Santiago da Silva"/>
    <s v="Fernando Augusto Santiago da Silva"/>
    <x v="287"/>
    <n v="17203729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258"/>
    <n v="0"/>
    <n v="0"/>
    <n v="0"/>
    <n v="0"/>
    <n v="0"/>
    <n v="0"/>
    <s v="Reserva importada do Sistema Lemontech. Solicitação: 17203729"/>
    <s v="Fornecedor não preenchido! (ACC01)"/>
    <s v="LEMONTECH"/>
    <s v="Falta de Fornecedor"/>
    <s v="Campo Fornecedor"/>
    <s v="Dados do Fornecedor"/>
    <s v="Qualidade dos dados"/>
    <s v="KONTIK BUSINESS TRAVEL"/>
  </r>
  <r>
    <n v="22720860"/>
    <n v="23519279"/>
    <s v="ACC01"/>
    <x v="327"/>
    <d v="2025-08-11T09:01:19"/>
    <s v="0 a 02 dias"/>
    <s v="0 a 02 dias"/>
    <s v="5G31MH"/>
    <s v="LEMONTECH"/>
    <s v="RANGEL GIOMETTI/ELLEN"/>
    <s v="Fernando Augusto Santiago da Silva"/>
    <s v="Fernando Augusto Santiago da Silva"/>
    <x v="288"/>
    <n v="17211366"/>
    <s v="-"/>
    <s v="OFF LINE"/>
    <s v="Cartão de crédito"/>
    <s v="Cartão de crédito"/>
    <s v="Serviço"/>
    <s v="N"/>
    <s v="Grupo Biolab"/>
    <s v="Biolab Centro Administrativo - Escritorio"/>
    <s v="-"/>
    <s v="-"/>
    <s v="-"/>
    <s v="KON-OPE-SAO-PVI-BIOLAB"/>
    <s v="-"/>
    <x v="259"/>
    <n v="0"/>
    <n v="0"/>
    <n v="0"/>
    <n v="0"/>
    <n v="0"/>
    <n v="0"/>
    <s v="Reserva importada do Sistema Lemontech. Solicitação: 17211366"/>
    <s v="Fornecedor não preenchido! (ACC01)"/>
    <s v="LEMONTECH"/>
    <s v="Falta de Fornecedor"/>
    <s v="Campo Fornecedor"/>
    <s v="Dados do Fornecedor"/>
    <s v="Qualidade dos dados"/>
    <s v="KONTIK BUSINESS TRAVEL"/>
  </r>
  <r>
    <n v="22677109"/>
    <n v="23481789"/>
    <s v="ACC01"/>
    <x v="328"/>
    <d v="2025-08-04T09:07:13"/>
    <s v="09 a 15 dias"/>
    <s v="09 a 15 dias"/>
    <s v="5FB41J"/>
    <s v="LEMONTECH"/>
    <s v="TORMEN/JULIA"/>
    <s v="Maria Clara Landeira Mezavila"/>
    <s v="Maria Clara Landeira Mezavila"/>
    <x v="289"/>
    <n v="17187934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0"/>
    <n v="0"/>
    <n v="0"/>
    <n v="0"/>
    <n v="0"/>
    <n v="7.25"/>
    <n v="0"/>
    <s v="Reserva importada do Sistema Lemontech. Solicitação: 17187934"/>
    <s v="Fornecedor não preenchido! (ACC01)"/>
    <s v="LEMONTECH"/>
    <s v="Falta de Fornecedor"/>
    <s v="Campo Fornecedor"/>
    <s v="Dados do Fornecedor"/>
    <s v="Qualidade dos dados"/>
    <s v="KONTIK BUSINESS TRAVEL"/>
  </r>
  <r>
    <n v="22677968"/>
    <n v="23482559"/>
    <s v="ACC01"/>
    <x v="329"/>
    <d v="2025-08-04T12:06:34"/>
    <s v="09 a 15 dias"/>
    <s v="09 a 15 dias"/>
    <s v="5FHZCU"/>
    <s v="LEMONTECH"/>
    <s v="MARQUES/MELISSA"/>
    <s v="Maria Clara Landeira Mezavila"/>
    <s v="Maria Clara Landeira Mezavila"/>
    <x v="289"/>
    <n v="1715889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1"/>
    <n v="0"/>
    <n v="0"/>
    <n v="0"/>
    <n v="0"/>
    <n v="0"/>
    <n v="0"/>
    <s v="Reserva importada do Sistema Lemontech. Solicitação: 17158893"/>
    <s v="Fornecedor não preenchido! (ACC01)"/>
    <s v="LEMONTECH"/>
    <s v="Falta de Fornecedor"/>
    <s v="Campo Fornecedor"/>
    <s v="Dados do Fornecedor"/>
    <s v="Qualidade dos dados"/>
    <s v="KONTIK BUSINESS TRAVEL"/>
  </r>
  <r>
    <n v="22687453"/>
    <n v="23491112"/>
    <s v="ACC01"/>
    <x v="330"/>
    <d v="2025-08-05T17:01:32"/>
    <s v="06 a 08 dias"/>
    <s v="06 a 08 dias"/>
    <s v="5FNBJL"/>
    <s v="LEMONTECH"/>
    <s v="CHRISTOFANO/EMERSON"/>
    <s v="Maria Clara Landeira Mezavila"/>
    <s v="Maria Clara Landeira Mezavila"/>
    <x v="210"/>
    <n v="1714169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28"/>
    <n v="0"/>
    <n v="0"/>
    <n v="0"/>
    <n v="0"/>
    <n v="0"/>
    <n v="0"/>
    <s v="Reserva importada do Sistema Lemontech. Solicitação: 17141693"/>
    <s v="Fornecedor não preenchido! (ACC01)"/>
    <s v="LEMONTECH"/>
    <s v="Falta de Fornecedor"/>
    <s v="Campo Fornecedor"/>
    <s v="Dados do Fornecedor"/>
    <s v="Qualidade dos dados"/>
    <s v="KONTIK BUSINESS TRAVEL"/>
  </r>
  <r>
    <n v="22709528"/>
    <n v="23510920"/>
    <s v="ACC01"/>
    <x v="331"/>
    <d v="2025-08-08T17:07:01"/>
    <s v="03 a 05 dias"/>
    <s v="03 a 05 dias"/>
    <s v="5GR29R"/>
    <s v="LEMONTECH"/>
    <s v="ESPOSITO FILHO/DANIEL"/>
    <s v="Maria Clara Landeira Mezavila"/>
    <s v="Maria Clara Landeira Mezavila"/>
    <x v="107"/>
    <n v="1724371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2"/>
    <n v="0"/>
    <n v="0"/>
    <n v="0"/>
    <n v="0"/>
    <n v="15.2"/>
    <n v="0"/>
    <s v="Reserva importada do Sistema Lemontech. Solicitação: 17243717"/>
    <s v="Fornecedor não preenchido! (ACC01)"/>
    <s v="LEMONTECH"/>
    <s v="Falta de Fornecedor"/>
    <s v="Campo Fornecedor"/>
    <s v="Dados do Fornecedor"/>
    <s v="Qualidade dos dados"/>
    <s v="KONTIK BUSINESS TRAVEL"/>
  </r>
  <r>
    <n v="22721840"/>
    <n v="23520202"/>
    <s v="ACC01"/>
    <x v="332"/>
    <d v="2025-08-11T12:07:32"/>
    <s v="0 a 02 dias"/>
    <s v="0 a 02 dias"/>
    <s v="5GOXSY"/>
    <s v="LEMONTECH"/>
    <s v="LACERDA DE ALENCAR/SUANA RAYSSA"/>
    <s v="Lemontech"/>
    <s v="Lemontech"/>
    <x v="98"/>
    <n v="1725592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3"/>
    <n v="0"/>
    <n v="0"/>
    <n v="0"/>
    <n v="0"/>
    <n v="150"/>
    <n v="0"/>
    <s v="Reserva importada do Sistema Lemontech. Solicitação: 17255925"/>
    <s v="Fornecedor não preenchido! (ACC01)"/>
    <s v="LEMONTECH"/>
    <s v="Falta de Fornecedor"/>
    <s v="Campo Fornecedor"/>
    <s v="Dados do Fornecedor"/>
    <s v="Qualidade dos dados"/>
    <s v="KONTIK BUSINESS TRAVEL"/>
  </r>
  <r>
    <n v="22692862"/>
    <n v="23495811"/>
    <s v="ACC01"/>
    <x v="333"/>
    <d v="2025-08-06T12:13:37"/>
    <s v="06 a 08 dias"/>
    <s v="06 a 08 dias"/>
    <s v="5GGDN0"/>
    <s v="LEMONTECH"/>
    <s v="SILVA MOURA/BRUNNO"/>
    <s v="Lemontech"/>
    <s v="Lemontech"/>
    <x v="184"/>
    <n v="172233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4"/>
    <n v="0"/>
    <n v="0"/>
    <n v="0"/>
    <n v="0"/>
    <n v="0"/>
    <n v="0"/>
    <s v="Reserva importada do Sistema Lemontech. Solicitação: 17223345"/>
    <s v="Fornecedor não preenchido! (ACC01)"/>
    <s v="LEMONTECH"/>
    <s v="Falta de Fornecedor"/>
    <s v="Campo Fornecedor"/>
    <s v="Dados do Fornecedor"/>
    <s v="Qualidade dos dados"/>
    <s v="KONTIK BUSINESS TRAVEL"/>
  </r>
  <r>
    <n v="22679625"/>
    <n v="23484082"/>
    <s v="ACC01"/>
    <x v="334"/>
    <d v="2025-08-04T16:06:51"/>
    <s v="09 a 15 dias"/>
    <s v="09 a 15 dias"/>
    <s v="5FAOKU"/>
    <s v="LEMONTECH"/>
    <s v="TRASSI/THAIS"/>
    <s v="Lemontech"/>
    <s v="Lemontech"/>
    <x v="289"/>
    <n v="1720244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5"/>
    <n v="0"/>
    <n v="0"/>
    <n v="0"/>
    <n v="0"/>
    <n v="180"/>
    <n v="0"/>
    <s v="Reserva importada do Sistema Lemontech. Solicitação: 17202443"/>
    <s v="Fornecedor não preenchido! (ACC01)"/>
    <s v="LEMONTECH"/>
    <s v="Falta de Fornecedor"/>
    <s v="Campo Fornecedor"/>
    <s v="Dados do Fornecedor"/>
    <s v="Qualidade dos dados"/>
    <s v="KONTIK BUSINESS TRAVEL"/>
  </r>
  <r>
    <n v="22677103"/>
    <n v="23481783"/>
    <s v="ACC01"/>
    <x v="335"/>
    <d v="2025-08-04T09:06:54"/>
    <s v="09 a 15 dias"/>
    <s v="09 a 15 dias"/>
    <s v="5F5CA7"/>
    <s v="LEMONTECH"/>
    <s v="GOMES/SAULL"/>
    <s v="Lemontech"/>
    <s v="Lemontech"/>
    <x v="109"/>
    <n v="1716922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6"/>
    <n v="0"/>
    <n v="0"/>
    <n v="0"/>
    <n v="0"/>
    <n v="0"/>
    <n v="0"/>
    <s v="Reserva importada do Sistema Lemontech. Solicitação: 17169221"/>
    <s v="Fornecedor não preenchido! (ACC01)"/>
    <s v="LEMONTECH"/>
    <s v="Falta de Fornecedor"/>
    <s v="Campo Fornecedor"/>
    <s v="Dados do Fornecedor"/>
    <s v="Qualidade dos dados"/>
    <s v="KONTIK BUSINESS TRAVEL"/>
  </r>
  <r>
    <n v="22649682"/>
    <n v="23459220"/>
    <s v="ACC01"/>
    <x v="336"/>
    <d v="2025-07-30T09:07:30"/>
    <s v="09 a 15 dias"/>
    <s v="09 a 15 dias"/>
    <s v="5FJ59A"/>
    <s v="LEMONTECH"/>
    <s v="ZAMBRANO CORREA/LUIS"/>
    <s v="Lemontech"/>
    <s v="Lemontech"/>
    <x v="109"/>
    <n v="171654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88"/>
    <n v="0"/>
    <n v="0"/>
    <n v="0"/>
    <n v="0"/>
    <n v="180"/>
    <n v="0"/>
    <s v="Reserva importada do Sistema Lemontech. Solicitação: 17165445"/>
    <s v="Fornecedor não preenchido! (ACC01)"/>
    <s v="LEMONTECH"/>
    <s v="Falta de Fornecedor"/>
    <s v="Campo Fornecedor"/>
    <s v="Dados do Fornecedor"/>
    <s v="Qualidade dos dados"/>
    <s v="KONTIK BUSINESS TRAVEL"/>
  </r>
  <r>
    <n v="22659143"/>
    <n v="23467925"/>
    <s v="ACC01"/>
    <x v="337"/>
    <d v="2025-07-31T16:13:12"/>
    <s v="09 a 15 dias"/>
    <s v="09 a 15 dias"/>
    <s v="5FIUQ4"/>
    <s v="LEMONTECH"/>
    <s v="DA COSTA/ANNIELLY"/>
    <s v="Lemontech"/>
    <s v="Lemontech"/>
    <x v="290"/>
    <n v="1718040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7"/>
    <n v="0"/>
    <n v="0"/>
    <n v="0"/>
    <n v="0"/>
    <n v="180"/>
    <n v="0"/>
    <s v="Reserva importada do Sistema Lemontech. Solicitação: 17180402"/>
    <s v="Fornecedor não preenchido! (ACC01)"/>
    <s v="LEMONTECH"/>
    <s v="Falta de Fornecedor"/>
    <s v="Campo Fornecedor"/>
    <s v="Dados do Fornecedor"/>
    <s v="Qualidade dos dados"/>
    <s v="KONTIK BUSINESS TRAVEL"/>
  </r>
  <r>
    <n v="22659144"/>
    <n v="23467926"/>
    <s v="ACC01"/>
    <x v="338"/>
    <d v="2025-07-31T16:13:13"/>
    <s v="09 a 15 dias"/>
    <s v="09 a 15 dias"/>
    <s v="5FLJQR"/>
    <s v="LEMONTECH"/>
    <s v="TRASSI/THAIS"/>
    <s v="Lemontech"/>
    <s v="Lemontech"/>
    <x v="290"/>
    <n v="1718049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7"/>
    <n v="0"/>
    <n v="0"/>
    <n v="0"/>
    <n v="0"/>
    <n v="180"/>
    <n v="0"/>
    <s v="Reserva importada do Sistema Lemontech. Solicitação: 17180492"/>
    <s v="Fornecedor não preenchido! (ACC01)"/>
    <s v="LEMONTECH"/>
    <s v="Falta de Fornecedor"/>
    <s v="Campo Fornecedor"/>
    <s v="Dados do Fornecedor"/>
    <s v="Qualidade dos dados"/>
    <s v="KONTIK BUSINESS TRAVEL"/>
  </r>
  <r>
    <n v="22529814"/>
    <n v="23357744"/>
    <s v="ACC01"/>
    <x v="339"/>
    <d v="2025-07-08T11:06:26"/>
    <s v="31 dias ou +"/>
    <s v="31 dias ou +"/>
    <s v="5CBBVY"/>
    <s v="LEMONTECH"/>
    <s v="WAGNER FLESCH/RICARDO"/>
    <s v="Lemontech"/>
    <s v="Lemontech"/>
    <x v="291"/>
    <n v="16994702"/>
    <s v="-"/>
    <s v="ON LINE"/>
    <s v="Cartão de crédito"/>
    <s v="Cartão de crédito"/>
    <s v="Hotel"/>
    <s v="N"/>
    <s v="Grupo Biolab"/>
    <s v="Biolab Centro Administrativo - Escritorio"/>
    <s v="-"/>
    <s v="Ibis Sao Paulo Ibirapuera"/>
    <s v="-"/>
    <s v="KON-OPE-SAO-PVI-BIOLAB"/>
    <s v="-"/>
    <x v="268"/>
    <n v="0"/>
    <n v="0"/>
    <n v="0"/>
    <n v="0"/>
    <n v="18.59"/>
    <n v="0"/>
    <s v="Reserva importada do Sistema Lemontech. Solicitação: 16994702"/>
    <s v="Fornecedor não preenchido! (ACC01)"/>
    <s v="LEMONTECH"/>
    <s v="Falta de Fornecedor"/>
    <s v="Campo Fornecedor"/>
    <s v="Dados do Fornecedor"/>
    <s v="Qualidade dos dados"/>
    <s v="KONTIK BUSINESS TRAVEL"/>
  </r>
  <r>
    <n v="22531721"/>
    <n v="23359539"/>
    <s v="ACC01"/>
    <x v="340"/>
    <d v="2025-07-08T16:08:44"/>
    <s v="31 dias ou +"/>
    <s v="31 dias ou +"/>
    <s v="5CLJ96"/>
    <s v="LEMONTECH"/>
    <s v="SPERLING VIANA/NANCY"/>
    <s v="Lemontech"/>
    <s v="Lemontech"/>
    <x v="292"/>
    <n v="1700933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9"/>
    <n v="0"/>
    <n v="0"/>
    <n v="0"/>
    <n v="0"/>
    <n v="0"/>
    <n v="0"/>
    <s v="Reserva importada do Sistema Lemontech. Solicitação: 17009338"/>
    <s v="Fornecedor não preenchido! (ACC01)"/>
    <s v="LEMONTECH"/>
    <s v="Falta de Fornecedor"/>
    <s v="Campo Fornecedor"/>
    <s v="Dados do Fornecedor"/>
    <s v="Qualidade dos dados"/>
    <s v="KONTIK BUSINESS TRAVEL"/>
  </r>
  <r>
    <n v="22730748"/>
    <n v="23528241"/>
    <s v="ACC01"/>
    <x v="341"/>
    <d v="2025-08-12T16:06:27"/>
    <s v="0 a 02 dias"/>
    <s v="0 a 02 dias"/>
    <s v="5GFGCI"/>
    <s v="LEMONTECH"/>
    <s v="DE SOUZA/MILENA"/>
    <s v="Lemontech"/>
    <s v="Lemontech"/>
    <x v="98"/>
    <n v="1726195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0"/>
    <n v="0"/>
    <n v="0"/>
    <n v="0"/>
    <n v="0"/>
    <n v="71.239999999999995"/>
    <n v="0"/>
    <s v="Reserva importada do Sistema Lemontech. Solicitação: 17261957"/>
    <s v="Fornecedor não preenchido! (ACC01)"/>
    <s v="LEMONTECH"/>
    <s v="Falta de Fornecedor"/>
    <s v="Campo Fornecedor"/>
    <s v="Dados do Fornecedor"/>
    <s v="Qualidade dos dados"/>
    <s v="KONTIK BUSINESS TRAVEL"/>
  </r>
  <r>
    <n v="22726010"/>
    <n v="23524191"/>
    <s v="ACC01"/>
    <x v="342"/>
    <d v="2025-08-11T21:06:21"/>
    <s v="0 a 02 dias"/>
    <s v="0 a 02 dias"/>
    <s v="5G3ER7"/>
    <s v="LEMONTECH"/>
    <s v="BARBOSA/RICARDO"/>
    <s v="Lemontech"/>
    <s v="Lemontech"/>
    <x v="98"/>
    <n v="1725319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1"/>
    <n v="0"/>
    <n v="0"/>
    <n v="0"/>
    <n v="0"/>
    <n v="0"/>
    <n v="0"/>
    <s v="Reserva importada do Sistema Lemontech. Solicitação: 17253199"/>
    <s v="Fornecedor não preenchido! (ACC01)"/>
    <s v="LEMONTECH"/>
    <s v="Falta de Fornecedor"/>
    <s v="Campo Fornecedor"/>
    <s v="Dados do Fornecedor"/>
    <s v="Qualidade dos dados"/>
    <s v="KONTIK BUSINESS TRAVEL"/>
  </r>
  <r>
    <n v="22732626"/>
    <n v="23530054"/>
    <s v="ACC01"/>
    <x v="343"/>
    <d v="2025-08-12T19:06:23"/>
    <s v="0 a 02 dias"/>
    <s v="0 a 02 dias"/>
    <s v="5G88NK"/>
    <s v="LEMONTECH"/>
    <s v="ALPES/YGOR"/>
    <s v="Isabela de Melo da Silva"/>
    <s v="Isabela de Melo da Silva"/>
    <x v="0"/>
    <n v="1720950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2"/>
    <n v="0"/>
    <n v="0"/>
    <n v="0"/>
    <n v="0"/>
    <n v="68.849999999999994"/>
    <n v="0"/>
    <s v="Reserva importada do Sistema Lemontech. Solicitação: 17209500"/>
    <s v="Fornecedor não preenchido! (ACC01)"/>
    <s v="LEMONTECH"/>
    <s v="Falta de Fornecedor"/>
    <s v="Campo Fornecedor"/>
    <s v="Dados do Fornecedor"/>
    <s v="Qualidade dos dados"/>
    <s v="KONTIK BUSINESS TRAVEL"/>
  </r>
  <r>
    <n v="22701252"/>
    <n v="23503438"/>
    <s v="ACC01"/>
    <x v="344"/>
    <d v="2025-08-07T14:07:10"/>
    <s v="06 a 08 dias"/>
    <s v="06 a 08 dias"/>
    <s v="5G3DMD"/>
    <s v="LEMONTECH"/>
    <s v="BANDEIRA/JOSE"/>
    <s v="Maria Clara Landeira Mezavila"/>
    <s v="Maria Clara Landeira Mezavila"/>
    <x v="74"/>
    <n v="17218296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3"/>
    <n v="0"/>
    <n v="0"/>
    <n v="0"/>
    <n v="0"/>
    <n v="0"/>
    <n v="0"/>
    <s v="Reserva importada do Sistema Lemontech. Solicitação: 17218296"/>
    <s v="Fornecedor não preenchido! (ACC01)"/>
    <s v="LEMONTECH"/>
    <s v="Falta de Fornecedor"/>
    <s v="Campo Fornecedor"/>
    <s v="Dados do Fornecedor"/>
    <s v="Qualidade dos dados"/>
    <s v="KONTIK BUSINESS TRAVEL"/>
  </r>
  <r>
    <n v="22701270"/>
    <n v="23503451"/>
    <s v="ACC01"/>
    <x v="345"/>
    <d v="2025-08-07T14:08:11"/>
    <s v="06 a 08 dias"/>
    <s v="06 a 08 dias"/>
    <s v="5GJFMC"/>
    <s v="LEMONTECH"/>
    <s v="ANCELMO/KAROLINNE"/>
    <s v="Maria Clara Landeira Mezavila"/>
    <s v="Maria Clara Landeira Mezavila"/>
    <x v="74"/>
    <n v="1723154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4"/>
    <n v="0"/>
    <n v="0"/>
    <n v="0"/>
    <n v="0"/>
    <n v="42.75"/>
    <n v="0"/>
    <s v="Reserva importada do Sistema Lemontech. Solicitação: 17231543"/>
    <s v="Fornecedor não preenchido! (ACC01)"/>
    <s v="LEMONTECH"/>
    <s v="Falta de Fornecedor"/>
    <s v="Campo Fornecedor"/>
    <s v="Dados do Fornecedor"/>
    <s v="Qualidade dos dados"/>
    <s v="KONTIK BUSINESS TRAVEL"/>
  </r>
  <r>
    <n v="22730190"/>
    <n v="23527709"/>
    <s v="ACC01"/>
    <x v="346"/>
    <d v="2025-08-12T14:06:40"/>
    <s v="0 a 02 dias"/>
    <s v="0 a 02 dias"/>
    <s v="5GSI28"/>
    <s v="LEMONTECH"/>
    <s v="MIELCZAREK JUNIOR/EDSON"/>
    <s v="Maria Clara Landeira Mezavila"/>
    <s v="Maria Clara Landeira Mezavila"/>
    <x v="293"/>
    <n v="17258268"/>
    <s v="AGENCIA CENTRO OSASC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75"/>
    <n v="0"/>
    <n v="0"/>
    <n v="0"/>
    <n v="0"/>
    <n v="0"/>
    <n v="0"/>
    <s v="Reserva importada do Sistema Lemontech. Solicitação: 17258268"/>
    <s v="Fornecedor não preenchido! (ACC01)"/>
    <s v="LEMONTECH"/>
    <s v="Falta de Fornecedor"/>
    <s v="Campo Fornecedor"/>
    <s v="Dados do Fornecedor"/>
    <s v="Qualidade dos dados"/>
    <s v="KONTIK BUSINESS TRAVEL"/>
  </r>
  <r>
    <n v="22730749"/>
    <n v="23528242"/>
    <s v="ACC01"/>
    <x v="347"/>
    <d v="2025-08-12T16:06:28"/>
    <s v="0 a 02 dias"/>
    <s v="0 a 02 dias"/>
    <s v="5GTTCI"/>
    <s v="LEMONTECH"/>
    <s v="NEVES/DAIANE"/>
    <s v="Maria Clara Landeira Mezavila"/>
    <s v="Maria Clara Landeira Mezavila"/>
    <x v="294"/>
    <n v="17262161"/>
    <s v="MACAPA/AP - AEROPORTO MACAPA II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76"/>
    <n v="0"/>
    <n v="0"/>
    <n v="0"/>
    <n v="0"/>
    <n v="0"/>
    <n v="0"/>
    <s v="Reserva importada do Sistema Lemontech. Solicitação: 17262161"/>
    <s v="Fornecedor não preenchido! (ACC01)"/>
    <s v="LEMONTECH"/>
    <s v="Falta de Fornecedor"/>
    <s v="Campo Fornecedor"/>
    <s v="Dados do Fornecedor"/>
    <s v="Qualidade dos dados"/>
    <s v="KONTIK BUSINESS TRAVEL"/>
  </r>
  <r>
    <n v="22730743"/>
    <n v="23528236"/>
    <s v="ACC01"/>
    <x v="348"/>
    <d v="2025-08-12T16:06:18"/>
    <s v="0 a 02 dias"/>
    <s v="0 a 02 dias"/>
    <s v="5G1GC8"/>
    <s v="LEMONTECH"/>
    <s v="AVELAR FINCO/ERIKA"/>
    <s v="Maria Clara Landeira Mezavila"/>
    <s v="Maria Clara Landeira Mezavila"/>
    <x v="89"/>
    <n v="17253797"/>
    <s v="BRAGANCA PAULISTA/SP - AG CENTR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77"/>
    <n v="0"/>
    <n v="0"/>
    <n v="0"/>
    <n v="0"/>
    <n v="0"/>
    <n v="0"/>
    <s v="Reserva importada do Sistema Lemontech. Solicitação: 17253797"/>
    <s v="Fornecedor não preenchido! (ACC01)"/>
    <s v="LEMONTECH"/>
    <s v="Falta de Fornecedor"/>
    <s v="Campo Fornecedor"/>
    <s v="Dados do Fornecedor"/>
    <s v="Qualidade dos dados"/>
    <s v="KONTIK BUSINESS TRAVEL"/>
  </r>
  <r>
    <n v="22686476"/>
    <n v="23490201"/>
    <s v="ACC01"/>
    <x v="349"/>
    <d v="2025-08-05T14:20:49"/>
    <s v="06 a 08 dias"/>
    <s v="06 a 08 dias"/>
    <s v="MZHWRT"/>
    <s v="GOVER"/>
    <s v="Elder  Souza da Fonseca"/>
    <s v="Juliana dos Santos Pinto"/>
    <s v="Juliana dos Santos Pinto"/>
    <x v="295"/>
    <n v="4576769"/>
    <s v="-"/>
    <s v="OFF LINE"/>
    <s v="Invoice"/>
    <s v="Faturado"/>
    <s v="Aéreo"/>
    <s v="N"/>
    <s v="Grupo Occ"/>
    <s v="Consorcio Nova Doca"/>
    <s v="-"/>
    <s v="Latam Airlines Brasil"/>
    <n v="2971589631"/>
    <s v="KON-OPE-RIO-PVI-BTC RJ"/>
    <s v="-"/>
    <x v="278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86477"/>
    <n v="23490202"/>
    <s v="ACC01"/>
    <x v="350"/>
    <d v="2025-08-05T14:20:50"/>
    <s v="06 a 08 dias"/>
    <s v="06 a 08 dias"/>
    <s v="QEOQKW"/>
    <s v="GOVER"/>
    <s v="Elder  Souza da Fonseca"/>
    <s v="Juliana dos Santos Pinto"/>
    <s v="Juliana dos Santos Pinto"/>
    <x v="296"/>
    <n v="4576769"/>
    <s v="-"/>
    <s v="OFF LINE"/>
    <s v="Invoice"/>
    <s v="Faturado"/>
    <s v="Aéreo"/>
    <s v="N"/>
    <s v="Grupo Occ"/>
    <s v="Consorcio Nova Doca"/>
    <s v="-"/>
    <s v="Latam Airlines Brasil"/>
    <n v="2971589633"/>
    <s v="KON-OPE-RIO-PVI-BTC RJ"/>
    <s v="-"/>
    <x v="279"/>
    <n v="450"/>
    <n v="0"/>
    <n v="0"/>
    <n v="0"/>
    <n v="0"/>
    <n v="0"/>
    <s v="Reserva importada do sistema Gover. Id: 457676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95720"/>
    <n v="23498571"/>
    <s v="ACC01"/>
    <x v="351"/>
    <d v="2025-08-06T18:41:45"/>
    <s v="06 a 08 dias"/>
    <s v="06 a 08 dias"/>
    <s v="DNBJIC"/>
    <s v="GOVER"/>
    <s v="Ana Lúcia Ferreira Coutinho"/>
    <s v="Michelly Andrade Leandro da Silva"/>
    <s v="Michelly Andrade Leandro da Silva"/>
    <x v="297"/>
    <n v="4575390"/>
    <s v="-"/>
    <s v="ON LINE"/>
    <s v="Cartão de crédito"/>
    <s v="Cartão AMEX"/>
    <s v="Aéreo"/>
    <s v="N"/>
    <s v="Grupo Isdin"/>
    <s v="Isdin Sp"/>
    <s v="-"/>
    <s v="Latam Airlines Brasil"/>
    <n v="2971575248"/>
    <s v="KON-OPE-RIO-PVI-BTC RJ"/>
    <s v="-"/>
    <x v="280"/>
    <n v="414.37"/>
    <n v="0"/>
    <n v="0"/>
    <n v="0"/>
    <n v="0"/>
    <n v="0"/>
    <s v="Reserva importada do sistema Gover. Id: 4575390"/>
    <s v="Verificação de bilhetes: Bilhete 2971575248 já sendo utilizado para este fornecedor."/>
    <s v="GOVER"/>
    <s v="Bilhete duplicado"/>
    <s v="Bilhete Já Contabilizado"/>
    <s v="Duplicidade de Contabilização"/>
    <s v="Qualidade dos dados"/>
    <s v="GRUPO KONTIK"/>
  </r>
  <r>
    <n v="22734788"/>
    <n v="23531749"/>
    <s v="ACC01"/>
    <x v="352"/>
    <d v="2025-08-13T06:15:26"/>
    <s v="0 a 02 dias"/>
    <s v="0 a 02 dias"/>
    <s v="5GUNXL"/>
    <s v="TMS"/>
    <s v="FELIPE SOUZA PINTO"/>
    <s v="Tms"/>
    <s v="Tms"/>
    <x v="298"/>
    <n v="76060"/>
    <s v="São Luís / SLZ"/>
    <s v="ON LINE"/>
    <s v="Invoice"/>
    <s v="Faturado"/>
    <s v="Carro"/>
    <s v="N"/>
    <s v="Grupo Ocean Pact"/>
    <s v="Environpact Sustentabilidade e Resiliencia"/>
    <s v="-"/>
    <s v="-"/>
    <s v="-"/>
    <s v="KON-OPE-RIO-POS-OCEANPACT"/>
    <s v="-"/>
    <x v="281"/>
    <n v="0"/>
    <n v="0"/>
    <n v="0"/>
    <n v="0"/>
    <n v="0"/>
    <n v="0"/>
    <s v="Reserva importada do Sistema TMS. OS: 76060"/>
    <s v="Fornecedor não preenchido! (ACC01)"/>
    <s v="ARGO(TMS)"/>
    <s v="Falta de Fornecedor"/>
    <s v="Campo Fornecedor"/>
    <s v="Dados do Fornecedor"/>
    <s v="Qualidade dos dados"/>
    <s v="KONTIK BUSINESS TRAVEL"/>
  </r>
  <r>
    <n v="22734789"/>
    <n v="23531750"/>
    <s v="ACC01"/>
    <x v="353"/>
    <d v="2025-08-13T06:15:27"/>
    <s v="0 a 02 dias"/>
    <s v="0 a 02 dias"/>
    <s v="5GINSN"/>
    <s v="TMS"/>
    <s v="MARCOS DE ANDRADE"/>
    <s v="Tms"/>
    <s v="Tms"/>
    <x v="299"/>
    <n v="76059"/>
    <s v="São Luís / SLZ"/>
    <s v="ON LINE"/>
    <s v="Invoice"/>
    <s v="Faturado"/>
    <s v="Carro"/>
    <s v="N"/>
    <s v="Grupo Ocean Pact"/>
    <s v="Environpact Sustentabilidade e Resiliencia"/>
    <s v="-"/>
    <s v="-"/>
    <s v="-"/>
    <s v="KON-OPE-RIO-POS-OCEANPACT"/>
    <s v="-"/>
    <x v="282"/>
    <n v="0"/>
    <n v="0"/>
    <n v="0"/>
    <n v="0"/>
    <n v="0"/>
    <n v="0"/>
    <s v="Reserva importada do Sistema TMS. OS: 76059"/>
    <s v="Fornecedor não preenchido! (ACC01)"/>
    <s v="ARGO(TMS)"/>
    <s v="Falta de Fornecedor"/>
    <s v="Campo Fornecedor"/>
    <s v="Dados do Fornecedor"/>
    <s v="Qualidade dos dados"/>
    <s v="KONTIK BUSINESS TRAVEL"/>
  </r>
  <r>
    <n v="22724888"/>
    <n v="23523121"/>
    <s v="ACC01"/>
    <x v="354"/>
    <d v="2025-08-11T19:25:35"/>
    <s v="0 a 02 dias"/>
    <s v="0 a 02 dias"/>
    <s v="5G1117"/>
    <s v="TMS"/>
    <s v="BRUNA ALVES MENDES"/>
    <s v="MICHELI FERENZINI TORRES"/>
    <s v="MICHELI FERENZINI TORRES"/>
    <x v="300"/>
    <n v="7576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83"/>
    <n v="0"/>
    <n v="0"/>
    <n v="0"/>
    <n v="0"/>
    <n v="0"/>
    <n v="0"/>
    <s v="Reserva importada do Sistema TMS. OS: 75767"/>
    <s v="Fornecedor não preenchido! (ACC01)"/>
    <s v="ARGO(TMS)"/>
    <s v="Falta de Fornecedor"/>
    <s v="Campo Fornecedor"/>
    <s v="Dados do Fornecedor"/>
    <s v="Qualidade dos dados"/>
    <s v="KONTIK BUSINESS TRAVEL"/>
  </r>
  <r>
    <n v="22732285"/>
    <n v="23529724"/>
    <s v="ACC01"/>
    <x v="355"/>
    <d v="2025-08-12T19:16:26"/>
    <s v="0 a 02 dias"/>
    <s v="0 a 02 dias"/>
    <s v="5GZSKI"/>
    <s v="TMS"/>
    <s v="JOSE RODRIGUES JUNIOR"/>
    <s v="Tms"/>
    <s v="Tms"/>
    <x v="301"/>
    <n v="75986"/>
    <s v="São Luís / SLZ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284"/>
    <n v="0"/>
    <n v="0"/>
    <n v="0"/>
    <n v="0"/>
    <n v="0"/>
    <n v="0"/>
    <s v="Reserva importada do Sistema TMS. OS: 75986"/>
    <s v="Fornecedor não preenchido! (ACC01)"/>
    <s v="ARGO(TMS)"/>
    <s v="Falta de Fornecedor"/>
    <s v="Campo Fornecedor"/>
    <s v="Dados do Fornecedor"/>
    <s v="Qualidade dos dados"/>
    <s v="KONTIK BUSINESS TRAVEL"/>
  </r>
  <r>
    <n v="22732310"/>
    <n v="23529752"/>
    <s v="ACC01"/>
    <x v="356"/>
    <d v="2025-08-12T19:20:33"/>
    <s v="0 a 02 dias"/>
    <s v="0 a 02 dias"/>
    <s v="5GAD8K"/>
    <s v="TMS"/>
    <s v="VICTOR HUGO PINTO"/>
    <s v="Tms"/>
    <s v="Tms"/>
    <x v="302"/>
    <n v="75957"/>
    <s v="Niteroi / QNT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285"/>
    <n v="0"/>
    <n v="0"/>
    <n v="0"/>
    <n v="0"/>
    <n v="0"/>
    <n v="0"/>
    <s v="Reserva importada do Sistema TMS. OS: 75957"/>
    <s v="Fornecedor não preenchido! (ACC01)"/>
    <s v="ARGO(TMS)"/>
    <s v="Falta de Fornecedor"/>
    <s v="Campo Fornecedor"/>
    <s v="Dados do Fornecedor"/>
    <s v="Qualidade dos dados"/>
    <s v="KONTIK BUSINESS TRAVEL"/>
  </r>
  <r>
    <n v="22567713"/>
    <n v="23392097"/>
    <s v="ACC01"/>
    <x v="357"/>
    <d v="2025-07-15T19:41:02"/>
    <s v="24 a 31 dias"/>
    <s v="24 a 31 dias"/>
    <s v="5DUMK5"/>
    <s v="TMS"/>
    <s v="RICARDO COELHO DIAS"/>
    <s v="Tms"/>
    <s v="Tms"/>
    <x v="303"/>
    <n v="7152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69"/>
    <n v="0"/>
    <n v="0"/>
    <n v="0"/>
    <n v="0"/>
    <n v="0"/>
    <n v="0"/>
    <s v="Reserva importada do Sistema TMS. OS: 71529"/>
    <s v="Fornecedor não preenchido! (ACC01)"/>
    <s v="ARGO(TMS)"/>
    <s v="Falta de Fornecedor"/>
    <s v="Campo Fornecedor"/>
    <s v="Dados do Fornecedor"/>
    <s v="Qualidade dos dados"/>
    <s v="KONTIK BUSINESS TRAVEL"/>
  </r>
  <r>
    <n v="22678463"/>
    <n v="23483036"/>
    <s v="ACC01"/>
    <x v="358"/>
    <d v="2025-08-04T12:58:29"/>
    <s v="09 a 15 dias"/>
    <s v="09 a 15 dias"/>
    <s v="5FYJGU"/>
    <s v="TMS"/>
    <s v="CARLOS HENRIQUE AZEVEDO"/>
    <s v="Nataly Franca Regal de Castro"/>
    <s v="Nataly Franca Regal de Castro"/>
    <x v="304"/>
    <n v="74380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137"/>
    <n v="0"/>
    <n v="0"/>
    <n v="0"/>
    <n v="0"/>
    <n v="0"/>
    <n v="0"/>
    <s v="Reserva importada do Sistema TMS. OS: 74380"/>
    <s v="Fornecedor não preenchido! (ACC01)"/>
    <s v="ARGO(TMS)"/>
    <s v="Falta de Fornecedor"/>
    <s v="Campo Fornecedor"/>
    <s v="Dados do Fornecedor"/>
    <s v="Qualidade dos dados"/>
    <s v="KONTIK BUSINESS TRAVEL"/>
  </r>
  <r>
    <n v="22708045"/>
    <n v="23509490"/>
    <s v="ACC01"/>
    <x v="359"/>
    <d v="2025-08-08T12:46:53"/>
    <s v="03 a 05 dias"/>
    <s v="03 a 05 dias"/>
    <s v="5G3664"/>
    <s v="TMS"/>
    <s v="JOSE SILVA TAVARES"/>
    <s v="JOSE ALEXANDRE SOARES CALDAS"/>
    <s v="JOSE ALEXANDRE SOARES CALDAS"/>
    <x v="305"/>
    <n v="7516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86"/>
    <n v="0"/>
    <n v="0"/>
    <n v="0"/>
    <n v="0"/>
    <n v="0"/>
    <n v="0"/>
    <s v="Reserva importada do Sistema TMS. OS: 75160"/>
    <s v="Fornecedor não preenchido! (ACC01)"/>
    <s v="ARGO(TMS)"/>
    <s v="Falta de Fornecedor"/>
    <s v="Campo Fornecedor"/>
    <s v="Dados do Fornecedor"/>
    <s v="Qualidade dos dados"/>
    <s v="KONTIK BUSINESS TRAVEL"/>
  </r>
  <r>
    <n v="22710822"/>
    <n v="23512155"/>
    <s v="ACC01"/>
    <x v="360"/>
    <d v="2025-08-08T19:18:18"/>
    <s v="03 a 05 dias"/>
    <s v="03 a 05 dias"/>
    <s v="YBHHCT1"/>
    <s v="TMS"/>
    <s v="EDWIN ARANA SUXO"/>
    <s v="JOSE ALEXANDRE SOARES CALDAS"/>
    <s v="JOSE ALEXANDRE SOARES CALDAS"/>
    <x v="306"/>
    <n v="72633"/>
    <s v="-"/>
    <s v="OFF LINE"/>
    <s v="Cartão de crédito"/>
    <s v="Cartão AMEX"/>
    <s v="Aéreo"/>
    <s v="N"/>
    <s v="Grupo Ocean Pact"/>
    <s v="Oceanpact Servicos Maritimos"/>
    <s v="-"/>
    <s v="Latam Airlines Brasil"/>
    <n v="2971294092"/>
    <s v="KON-OPE-RIO-POS-OCEANPACT"/>
    <s v="-"/>
    <x v="287"/>
    <n v="344.08"/>
    <n v="0"/>
    <n v="0"/>
    <n v="0"/>
    <n v="0"/>
    <n v="0"/>
    <s v="Reserva importada do Sistema TMS. OS: 72633"/>
    <s v="Verificação de bilhetes: Bilhete 2971294092 já sendo utilizado para este fornecedor."/>
    <s v="ARGO(TMS)"/>
    <s v="Bilhete duplicado"/>
    <s v="Bilhete Já Contabilizado"/>
    <s v="Duplicidade de Contabilização"/>
    <s v="Qualidade dos dados"/>
    <s v="GRUPO KONTIK"/>
  </r>
  <r>
    <n v="22710823"/>
    <n v="23512156"/>
    <s v="ACC01"/>
    <x v="361"/>
    <d v="2025-08-08T19:18:19"/>
    <s v="03 a 05 dias"/>
    <s v="03 a 05 dias"/>
    <s v="YBHHCTA"/>
    <s v="TMS"/>
    <s v="EDWIN ARANA SUXO"/>
    <s v="JOSE ALEXANDRE SOARES CALDAS"/>
    <s v="JOSE ALEXANDRE SOARES CALDAS"/>
    <x v="306"/>
    <n v="72633"/>
    <s v="-"/>
    <s v="OFF LINE"/>
    <s v="Cartão de crédito"/>
    <s v="Cartão AMEX"/>
    <s v="Aéreo"/>
    <s v="N"/>
    <s v="Grupo Ocean Pact"/>
    <s v="Oceanpact Servicos Maritimos"/>
    <s v="-"/>
    <s v="Boa - Boliviana de Aviacion"/>
    <n v="2971294091"/>
    <s v="KON-OPE-RIO-POS-OCEANPACT"/>
    <s v="-"/>
    <x v="288"/>
    <n v="0"/>
    <n v="0"/>
    <n v="0"/>
    <n v="0"/>
    <n v="0"/>
    <n v="0"/>
    <s v="Reserva importada do Sistema TMS. OS: 72633"/>
    <s v="Verificação de bilhetes: Bilhete 2971294091 já sendo utilizado para este fornecedor."/>
    <s v="ARGO(TMS)"/>
    <s v="Bilhete duplicado"/>
    <s v="Bilhete Já Contabilizado"/>
    <s v="Duplicidade de Contabilização"/>
    <s v="Qualidade dos dados"/>
    <s v="GRUPO KONTIK"/>
  </r>
  <r>
    <n v="22725046"/>
    <n v="23523269"/>
    <s v="ACC01"/>
    <x v="362"/>
    <d v="2025-08-11T19:41:20"/>
    <s v="0 a 02 dias"/>
    <s v="0 a 02 dias"/>
    <s v="5GANAU"/>
    <s v="TMS"/>
    <s v="CAMILLA SILVA"/>
    <s v="JOSE ALEXANDRE SOARES CALDAS"/>
    <s v="JOSE ALEXANDRE SOARES CALDAS"/>
    <x v="307"/>
    <n v="74272"/>
    <s v="-"/>
    <s v="OFF LINE"/>
    <s v="Invoice"/>
    <s v="Faturado"/>
    <s v="Hotel"/>
    <s v="N"/>
    <s v="Grupo Ocean Pact"/>
    <s v="Oceanpact Servicos Maritimos"/>
    <s v="-"/>
    <s v="-"/>
    <s v="-"/>
    <s v="KON-OPE-RIO-POS-OCEANPACT"/>
    <s v="-"/>
    <x v="289"/>
    <n v="0"/>
    <n v="0"/>
    <n v="0"/>
    <n v="0"/>
    <n v="0"/>
    <n v="0"/>
    <s v="Reserva importada do Sistema TMS. OS: 74272"/>
    <s v="Fornecedor não preenchido! (ACC01)"/>
    <s v="ARGO(TMS)"/>
    <s v="Falta de Fornecedor"/>
    <s v="Campo Fornecedor"/>
    <s v="Dados do Fornecedor"/>
    <s v="Qualidade dos dados"/>
    <s v="KONTIK BUSINESS TRAVEL"/>
  </r>
  <r>
    <n v="22722236"/>
    <n v="23520592"/>
    <s v="ACC01"/>
    <x v="363"/>
    <d v="2025-08-11T12:50:23"/>
    <s v="0 a 02 dias"/>
    <s v="0 a 02 dias"/>
    <s v="SRNTYY0"/>
    <s v="TMS"/>
    <s v="ALDO OMAR PORTAL"/>
    <s v="JOSE ALEXANDRE SOARES CALDAS"/>
    <s v="JOSE ALEXANDRE SOARES CALDAS"/>
    <x v="308"/>
    <n v="75577"/>
    <s v="-"/>
    <s v="OFF LINE"/>
    <s v="Cartão de crédito"/>
    <s v="Cartão AMEX"/>
    <s v="Aéreo"/>
    <s v="N"/>
    <s v="Grupo Ocean Pact"/>
    <s v="Oceanpact Servicos Maritimos"/>
    <s v="-"/>
    <s v="Latam Airlines Brasil"/>
    <n v="2952815374"/>
    <s v="KON-OPE-RIO-POS-OCEANPACT"/>
    <s v="-"/>
    <x v="290"/>
    <n v="0"/>
    <n v="0"/>
    <n v="0"/>
    <n v="0"/>
    <n v="0"/>
    <n v="0"/>
    <s v="Reserva importada do Sistema TMS. OS: 75577"/>
    <s v="Verificação de bilhetes: Bilhete 2952815374 já sendo utilizado para este fornecedor."/>
    <s v="ARGO(TMS)"/>
    <s v="Bilhete duplicado"/>
    <s v="Bilhete Já Contabilizado"/>
    <s v="Duplicidade de Contabilização"/>
    <s v="Qualidade dos dados"/>
    <s v="GRUPO KONTIK"/>
  </r>
  <r>
    <n v="22621072"/>
    <n v="23436532"/>
    <s v="ACC01"/>
    <x v="364"/>
    <d v="2025-07-24T19:25:51"/>
    <s v="16 a 23 dias"/>
    <s v="16 a 23 dias"/>
    <s v="5EDJ0J"/>
    <s v="TMS"/>
    <s v="JOSE SILVA TAVARES"/>
    <s v="JOSE ALEXANDRE SOARES CALDAS"/>
    <s v="JOSE ALEXANDRE SOARES CALDAS"/>
    <x v="309"/>
    <n v="7356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91"/>
    <n v="0"/>
    <n v="0"/>
    <n v="0"/>
    <n v="0"/>
    <n v="0"/>
    <n v="0"/>
    <s v="Reserva importada do Sistema TMS. OS: 73566"/>
    <s v="Fornecedor não preenchido! (ACC01)"/>
    <s v="ARGO(TMS)"/>
    <s v="Falta de Fornecedor"/>
    <s v="Campo Fornecedor"/>
    <s v="Dados do Fornecedor"/>
    <s v="Qualidade dos dados"/>
    <s v="KONTIK BUSINESS TRAVEL"/>
  </r>
  <r>
    <n v="22624843"/>
    <n v="23439592"/>
    <s v="ACC01"/>
    <x v="365"/>
    <d v="2025-07-25T12:51:19"/>
    <s v="16 a 23 dias"/>
    <s v="16 a 23 dias"/>
    <s v="5E3FIU"/>
    <s v="TMS"/>
    <s v="JOSE SILVA TAVARES"/>
    <s v="JOSE ALEXANDRE SOARES CALDAS"/>
    <s v="JOSE ALEXANDRE SOARES CALDAS"/>
    <x v="310"/>
    <n v="7359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92"/>
    <n v="0"/>
    <n v="0"/>
    <n v="0"/>
    <n v="0"/>
    <n v="0"/>
    <n v="0"/>
    <s v="Reserva importada do Sistema TMS. OS: 73594"/>
    <s v="Fornecedor não preenchido! (ACC01)"/>
    <s v="ARGO(TMS)"/>
    <s v="Falta de Fornecedor"/>
    <s v="Campo Fornecedor"/>
    <s v="Dados do Fornecedor"/>
    <s v="Qualidade dos dados"/>
    <s v="KONTIK BUSINESS TRAVEL"/>
  </r>
  <r>
    <n v="22611726"/>
    <n v="23428259"/>
    <s v="ACC01"/>
    <x v="366"/>
    <d v="2025-08-07T15:18:29"/>
    <s v="06 a 08 dias"/>
    <s v="16 a 23 dias"/>
    <s v="WFODSV"/>
    <s v="SABRE"/>
    <s v="FERNANDES GOMES/FELIPE"/>
    <s v="Beatrys Ferreira Rocha"/>
    <s v="CT"/>
    <x v="311"/>
    <s v="WFODSV"/>
    <s v="-"/>
    <s v="ON LINE"/>
    <s v="Cartão de crédito"/>
    <s v="Cartão de crédito"/>
    <s v="Aéreo"/>
    <s v="N"/>
    <s v="Grupo Basf"/>
    <s v="Basf Sa"/>
    <s v="-"/>
    <s v="Latam Airlines Brasil"/>
    <n v="2971499806"/>
    <s v="FCM-OPE-SAO-PVI-BASF"/>
    <s v="-"/>
    <x v="293"/>
    <n v="55.65"/>
    <n v="0"/>
    <n v="0"/>
    <n v="55.65"/>
    <n v="0"/>
    <n v="0"/>
    <s v="Reserva importada por HubTravel"/>
    <s v="Verificação de bilhetes: Bilhete 2971499806 já sendo utilizado para este fornecedor."/>
    <s v="SABRE"/>
    <s v="Bilhete duplicado"/>
    <s v="Bilhete Já Contabilizado"/>
    <s v="Duplicidade de Contabilização"/>
    <s v="Qualidade dos dados"/>
    <s v="GRUPO KONTIK"/>
  </r>
  <r>
    <n v="22696508"/>
    <n v="23499347"/>
    <s v="ACC01"/>
    <x v="367"/>
    <d v="2025-08-06T19:20:14"/>
    <s v="06 a 08 dias"/>
    <s v="06 a 08 dias"/>
    <s v="HDLPBN"/>
    <s v="SABRE"/>
    <s v="BRANDA PAULETTI/GIOVANA"/>
    <s v="Itamar de Souza"/>
    <s v="CT"/>
    <x v="312"/>
    <s v="HDLPBN"/>
    <s v="-"/>
    <s v="ON LINE"/>
    <s v="?"/>
    <s v="TKT"/>
    <s v="Aéreo"/>
    <s v="N"/>
    <s v="Grupo Basf"/>
    <s v="Basf Sa"/>
    <s v="-"/>
    <s v="Latam Airlines Brasil"/>
    <n v="2971622800"/>
    <s v="FCM-OPE-SAO-PVI-BASF"/>
    <s v="-"/>
    <x v="19"/>
    <n v="0"/>
    <n v="450"/>
    <n v="0"/>
    <n v="9.7899999999999991"/>
    <n v="0"/>
    <n v="0"/>
    <s v="Reserva importada por HubTravel"/>
    <s v="Verificação de bilhetes: Bilhete 2971622800 já sendo utilizado para este fornecedor."/>
    <s v="SABRE"/>
    <s v="Bilhete duplicado"/>
    <s v="Bilhete Já Contabilizado"/>
    <s v="Duplicidade de Contabilização"/>
    <s v="Qualidade dos dados"/>
    <s v="GRUPO KONTIK"/>
  </r>
  <r>
    <n v="22694284"/>
    <n v="23497133"/>
    <s v="ACC01"/>
    <x v="368"/>
    <d v="2025-08-06T15:36:22"/>
    <s v="06 a 08 dias"/>
    <s v="06 a 08 dias"/>
    <s v="NQUJHUT"/>
    <s v="SABRE"/>
    <s v="MYAGUSHICU/DANIELA MRS"/>
    <s v="Felipe Anderson da Silva"/>
    <s v="Felipe Anderson da Silva"/>
    <x v="313"/>
    <s v="BA0608251442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4"/>
    <n v="23497134"/>
    <s v="ACC02"/>
    <x v="368"/>
    <d v="2025-08-06T15:36:22"/>
    <s v="06 a 08 dias"/>
    <s v="06 a 08 dias"/>
    <s v="NQUJHUT"/>
    <s v="SABRE"/>
    <s v="MYAGUSHICU/DANIELA MRS"/>
    <s v="Felipe Anderson da Silva"/>
    <s v="Felipe Anderson da Silva"/>
    <x v="313"/>
    <s v="BA0608251442"/>
    <s v="-"/>
    <s v="OFF LINE"/>
    <s v="Pagamento direto"/>
    <s v="Pagamento direto"/>
    <s v="Hotel"/>
    <s v="N"/>
    <s v="Grupo Basf"/>
    <s v="Basf Sa"/>
    <s v="-"/>
    <s v="Lefel Hotel"/>
    <s v="-"/>
    <s v="FCM-OPE-SAO-PVI-BASF"/>
    <s v="-"/>
    <x v="29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5"/>
    <n v="23497135"/>
    <s v="ACC01"/>
    <x v="369"/>
    <d v="2025-08-06T15:36:24"/>
    <s v="06 a 08 dias"/>
    <s v="06 a 08 dias"/>
    <s v="NQTOPYT"/>
    <s v="SABRE"/>
    <s v="DAMELIO/ALDANA"/>
    <s v="Felipe Anderson da Silva"/>
    <s v="Felipe Anderson da Silva"/>
    <x v="314"/>
    <s v="BA060825144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5"/>
    <n v="23497136"/>
    <s v="ACC02"/>
    <x v="369"/>
    <d v="2025-08-06T15:36:24"/>
    <s v="06 a 08 dias"/>
    <s v="06 a 08 dias"/>
    <s v="NQTOPYT"/>
    <s v="SABRE"/>
    <s v="DAMELIO/ALDANA"/>
    <s v="Felipe Anderson da Silva"/>
    <s v="Felipe Anderson da Silva"/>
    <x v="314"/>
    <s v="BA0608251444"/>
    <s v="-"/>
    <s v="OFF LINE"/>
    <s v="Pagamento direto"/>
    <s v="Pagamento direto"/>
    <s v="Hotel"/>
    <s v="N"/>
    <s v="Grupo Basf"/>
    <s v="Basf Sa"/>
    <s v="-"/>
    <s v="Lefel Hotel"/>
    <s v="-"/>
    <s v="FCM-OPE-SAO-PVI-BASF"/>
    <s v="-"/>
    <x v="29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6"/>
    <n v="23497137"/>
    <s v="ACC01"/>
    <x v="370"/>
    <d v="2025-08-06T15:36:24"/>
    <s v="06 a 08 dias"/>
    <s v="06 a 08 dias"/>
    <s v="NNPOBOT"/>
    <s v="SABRE"/>
    <s v="CARDOZO/ALEJANDRA"/>
    <s v="Felipe Anderson da Silva"/>
    <s v="Felipe Anderson da Silva"/>
    <x v="315"/>
    <s v="BA060825144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286"/>
    <n v="23497138"/>
    <s v="ACC02"/>
    <x v="370"/>
    <d v="2025-08-06T15:36:24"/>
    <s v="06 a 08 dias"/>
    <s v="06 a 08 dias"/>
    <s v="NNPOBOT"/>
    <s v="SABRE"/>
    <s v="CARDOZO/ALEJANDRA"/>
    <s v="Felipe Anderson da Silva"/>
    <s v="Felipe Anderson da Silva"/>
    <x v="315"/>
    <s v="BA0608251445"/>
    <s v="-"/>
    <s v="OFF LINE"/>
    <s v="Pagamento direto"/>
    <s v="Pagamento direto"/>
    <s v="Hotel"/>
    <s v="N"/>
    <s v="Grupo Basf"/>
    <s v="Basf Sa"/>
    <s v="-"/>
    <s v="Lefel Hotel"/>
    <s v="-"/>
    <s v="FCM-OPE-SAO-PVI-BASF"/>
    <s v="-"/>
    <x v="29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2769"/>
    <n v="23495717"/>
    <s v="ACC01"/>
    <x v="371"/>
    <d v="2025-08-06T12:06:20"/>
    <s v="06 a 08 dias"/>
    <s v="06 a 08 dias"/>
    <s v="OBYQLFT"/>
    <s v="SABRE"/>
    <s v="LAVACH SANTANA/FLAVIO LUIZ MR"/>
    <s v="Felipe Anderson da Silva"/>
    <s v="Felipe Anderson da Silva"/>
    <x v="316"/>
    <s v="BA0608251128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7065"/>
    <n v="23490754"/>
    <s v="ACC01"/>
    <x v="372"/>
    <d v="2025-08-05T16:06:56"/>
    <s v="06 a 08 dias"/>
    <s v="06 a 08 dias"/>
    <s v="YLHRXMC"/>
    <s v="SABRE"/>
    <s v="GIAVENO/CARLOS DANIEL MR"/>
    <s v="Felipe Anderson da Silva"/>
    <s v="Felipe Anderson da Silva"/>
    <x v="317"/>
    <s v="BA0508251439"/>
    <s v="RDU"/>
    <s v="OFF LINE"/>
    <s v="Invoice"/>
    <s v="Faturado"/>
    <s v="Carro"/>
    <s v="N"/>
    <s v="Grupo Basf"/>
    <s v="Basf Sa"/>
    <s v="-"/>
    <s v="-"/>
    <s v="-"/>
    <s v="FCM-OPE-SAO-PVI-BASF"/>
    <s v="-"/>
    <x v="296"/>
    <n v="131.1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3077"/>
    <n v="23521362"/>
    <s v="ACC01"/>
    <x v="373"/>
    <d v="2025-08-11T15:07:12"/>
    <s v="0 a 02 dias"/>
    <s v="0 a 02 dias"/>
    <s v="YJSUHHT"/>
    <s v="SABRE"/>
    <s v="FISCHER/EVELYN CHRISTIANE MRS"/>
    <s v="Felipe Anderson da Silva"/>
    <s v="Felipe Anderson da Silva"/>
    <x v="318"/>
    <s v="BA1108251343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9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3153"/>
    <n v="23521428"/>
    <s v="ACC01"/>
    <x v="374"/>
    <d v="2025-08-11T15:18:59"/>
    <s v="0 a 02 dias"/>
    <s v="0 a 02 dias"/>
    <s v="DZUKJST"/>
    <s v="SABRE"/>
    <s v="SARDASHTI/POUYAN"/>
    <s v="Felipe Anderson da Silva"/>
    <s v="Felipe Anderson da Silva"/>
    <x v="319"/>
    <s v="BA1108251412"/>
    <s v="-"/>
    <s v="OFF LINE"/>
    <s v="Pagamento direto"/>
    <s v="Pagamento direto"/>
    <s v="Hotel"/>
    <s v="N"/>
    <s v="Grupo Basf"/>
    <s v="Basf Sa"/>
    <s v="-"/>
    <s v="Blue Tree Premium Morumbi"/>
    <s v="-"/>
    <s v="FCM-OPE-SAO-PVI-BASF"/>
    <s v="-"/>
    <x v="29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23153"/>
    <n v="23521429"/>
    <s v="ACC02"/>
    <x v="374"/>
    <d v="2025-08-11T15:18:59"/>
    <s v="0 a 02 dias"/>
    <s v="0 a 02 dias"/>
    <s v="DZUKJST"/>
    <s v="SABRE"/>
    <s v="SARDASHTI/POUYAN"/>
    <s v="Felipe Anderson da Silva"/>
    <s v="Felipe Anderson da Silva"/>
    <x v="319"/>
    <s v="BA1108251412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9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21226"/>
    <n v="23519595"/>
    <s v="ACC01"/>
    <x v="375"/>
    <d v="2025-08-11T10:19:21"/>
    <s v="0 a 02 dias"/>
    <s v="0 a 02 dias"/>
    <s v="EAFITET"/>
    <s v="SABRE"/>
    <s v="BORGES/ROBSON JAYME MR"/>
    <s v="Felipe Anderson da Silva"/>
    <s v="Felipe Anderson da Silva"/>
    <x v="320"/>
    <s v="BA1108250906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00"/>
    <n v="124.1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911"/>
    <n v="23505029"/>
    <s v="ACC01"/>
    <x v="376"/>
    <d v="2025-08-07T18:18:50"/>
    <s v="06 a 08 dias"/>
    <s v="06 a 08 dias"/>
    <s v="WZGUDAT"/>
    <s v="SABRE"/>
    <s v="SANTOS/JOSE RIBEIRO DOS MR"/>
    <s v="Felipe Anderson da Silva"/>
    <s v="Felipe Anderson da Silva"/>
    <x v="321"/>
    <s v="BA070825172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01"/>
    <n v="49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038"/>
    <n v="23528531"/>
    <s v="ACC01"/>
    <x v="377"/>
    <d v="2025-08-12T16:48:59"/>
    <s v="0 a 02 dias"/>
    <s v="0 a 02 dias"/>
    <s v="NRQEMKC"/>
    <s v="SABRE"/>
    <s v="VIANA SANTIAGO/VITOR MR"/>
    <s v="Felipe Anderson da Silva"/>
    <s v="Felipe Anderson da Silva"/>
    <x v="322"/>
    <s v="BA1208251545"/>
    <s v="SAO"/>
    <s v="OFF LINE"/>
    <s v="Invoice"/>
    <s v="Faturado"/>
    <s v="Carro"/>
    <s v="N"/>
    <s v="Grupo Basf"/>
    <s v="Basf Sa"/>
    <s v="-"/>
    <s v="-"/>
    <s v="-"/>
    <s v="FCM-OPE-SAO-PVI-BASF"/>
    <s v="-"/>
    <x v="302"/>
    <n v="207.8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475"/>
    <n v="23528938"/>
    <s v="ACC01"/>
    <x v="378"/>
    <d v="2025-08-12T18:06:29"/>
    <s v="0 a 02 dias"/>
    <s v="0 a 02 dias"/>
    <s v="GZLSYHT"/>
    <s v="SABRE"/>
    <s v="BARONI/REGIANE"/>
    <s v="Felipe Anderson da Silva"/>
    <s v="Felipe Anderson da Silva"/>
    <x v="323"/>
    <s v="BA1208251745"/>
    <s v="-"/>
    <s v="OFF LINE"/>
    <s v="Invoice"/>
    <s v="Faturado"/>
    <s v="Hotel"/>
    <s v="N"/>
    <s v="Grupo Basf"/>
    <s v="Suvinil"/>
    <s v="-"/>
    <s v="-"/>
    <s v="-"/>
    <s v="FCM-OPE-SAO-PVI-BASF"/>
    <s v="-"/>
    <x v="30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094"/>
    <n v="23528584"/>
    <s v="ACC01"/>
    <x v="379"/>
    <d v="2025-08-12T18:03:58"/>
    <s v="0 a 02 dias"/>
    <s v="0 a 02 dias"/>
    <s v="SCWNVR"/>
    <s v="SABRE"/>
    <s v="ISHIKAWA SUZART/MARINA"/>
    <s v="Beatrys Ferreira Rocha"/>
    <s v="Felipe Anderson da Silva"/>
    <x v="324"/>
    <s v="BA1208251342"/>
    <s v="-"/>
    <s v="OFF LINE"/>
    <s v="?"/>
    <s v="TKT"/>
    <s v="Aéreo"/>
    <s v="N"/>
    <s v="Grupo Basf"/>
    <s v="Basf Sa"/>
    <s v="-"/>
    <s v="Latam Airlines Brasil"/>
    <n v="2952834983"/>
    <s v="FCM-OPE-SAO-PVI-BASF"/>
    <s v="-"/>
    <x v="19"/>
    <n v="0"/>
    <n v="450"/>
    <n v="0"/>
    <n v="51.3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07066"/>
    <n v="23508499"/>
    <s v="ACC01"/>
    <x v="380"/>
    <d v="2025-08-08T10:20:03"/>
    <s v="03 a 05 dias"/>
    <s v="03 a 05 dias"/>
    <s v="HSRZEAC"/>
    <s v="SABRE"/>
    <s v="VIEIRA BRANCO/PAULO MR"/>
    <s v="CT"/>
    <s v="CT"/>
    <x v="325"/>
    <s v="C2MOMWYP0"/>
    <s v="NVT"/>
    <s v="ON LINE"/>
    <s v="Invoice"/>
    <s v="Faturado"/>
    <s v="Carro"/>
    <s v="N"/>
    <s v="Grupo Basf"/>
    <s v="Basf Sa"/>
    <s v="-"/>
    <s v="-"/>
    <s v="-"/>
    <s v="FCM-OPE-SAO-PVI-BASF"/>
    <s v="-"/>
    <x v="304"/>
    <n v="37.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7217"/>
    <n v="23508642"/>
    <s v="ACC01"/>
    <x v="381"/>
    <d v="2025-08-08T10:48:41"/>
    <s v="03 a 05 dias"/>
    <s v="03 a 05 dias"/>
    <s v="WBUIFH"/>
    <s v="SABRE"/>
    <s v="BRANDAO/ALESSANDRO PEREIRA"/>
    <s v="CT"/>
    <s v="CT"/>
    <x v="326"/>
    <s v="F2HRC26SJ"/>
    <s v="-"/>
    <s v="ON LINE"/>
    <s v="Cartão de crédito"/>
    <s v="Cartão AMEX"/>
    <s v="Aéreo"/>
    <s v="N"/>
    <s v="Grupo Basf"/>
    <s v="Suvinil"/>
    <s v="-"/>
    <s v="Gol Linhas Aereas"/>
    <n v="7700075136"/>
    <s v="FCM-OPE-SAO-PVI-BASF"/>
    <s v="-"/>
    <x v="305"/>
    <n v="59.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23974"/>
    <n v="23522234"/>
    <s v="ACC01"/>
    <x v="382"/>
    <d v="2025-08-11T17:37:31"/>
    <s v="0 a 02 dias"/>
    <s v="0 a 02 dias"/>
    <s v="OMVBSZT"/>
    <s v="SABRE"/>
    <s v="ZANUTTO PIVA/LARISSA MISS"/>
    <s v="CT"/>
    <s v="CT"/>
    <x v="327"/>
    <s v="183304969-50896"/>
    <s v="-"/>
    <s v="ON LINE"/>
    <s v="Pagamento direto"/>
    <s v="Pagamento direto"/>
    <s v="Hotel"/>
    <s v="N"/>
    <s v="Grupo Basf"/>
    <s v="Basf Sa"/>
    <s v="-"/>
    <s v="Moxy Ludwigshafen"/>
    <s v="-"/>
    <s v="FCM-OPE-SAO-PVI-BASF"/>
    <s v="-"/>
    <x v="30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23974"/>
    <n v="23522235"/>
    <s v="ACC02"/>
    <x v="382"/>
    <d v="2025-08-11T17:37:31"/>
    <s v="0 a 02 dias"/>
    <s v="0 a 02 dias"/>
    <s v="OMVBSZT"/>
    <s v="SABRE"/>
    <s v="ZANUTTO PIVA/LARISSA MISS"/>
    <s v="CT"/>
    <s v="CT"/>
    <x v="327"/>
    <s v="183304969-5089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0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709769"/>
    <n v="23511141"/>
    <s v="ACC01"/>
    <x v="383"/>
    <d v="2025-08-08T17:36:31"/>
    <s v="03 a 05 dias"/>
    <s v="03 a 05 dias"/>
    <s v="UMKSJOT"/>
    <s v="SABRE"/>
    <s v="PIERRO/ANTONIO MR"/>
    <s v="CT"/>
    <s v="CT"/>
    <x v="328"/>
    <s v="183263704-61833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3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9770"/>
    <n v="23511142"/>
    <s v="ACC01"/>
    <x v="384"/>
    <d v="2025-08-08T17:36:32"/>
    <s v="03 a 05 dias"/>
    <s v="03 a 05 dias"/>
    <s v="KCBRNHT"/>
    <s v="SABRE"/>
    <s v="PIERRO/ANTONIO MR"/>
    <s v="CT"/>
    <s v="CT"/>
    <x v="329"/>
    <s v="183263820-65509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3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9774"/>
    <n v="23511144"/>
    <s v="ACC01"/>
    <x v="385"/>
    <d v="2025-08-08T17:36:32"/>
    <s v="03 a 05 dias"/>
    <s v="03 a 05 dias"/>
    <s v="YZCFLVT"/>
    <s v="SABRE"/>
    <s v="PIERRO/ANTONIO MR"/>
    <s v="CT"/>
    <s v="CT"/>
    <x v="330"/>
    <s v="183263947-78912"/>
    <s v="-"/>
    <s v="ON LINE"/>
    <s v="Pagamento direto"/>
    <s v="Pagamento direto"/>
    <s v="Hotel"/>
    <s v="N"/>
    <s v="Grupo Basf"/>
    <s v="Ca Pesquisa e Comercio de Sementes"/>
    <s v="-"/>
    <s v="-"/>
    <s v="-"/>
    <s v="FCM-OPE-SAO-PVI-BASF"/>
    <s v="-"/>
    <x v="3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3619"/>
    <n v="23505715"/>
    <s v="ACC01"/>
    <x v="386"/>
    <d v="2025-08-07T19:06:30"/>
    <s v="06 a 08 dias"/>
    <s v="06 a 08 dias"/>
    <s v="KXTHKBT"/>
    <s v="SABRE"/>
    <s v="LA TORRE/DANIELLA CAMPOS MRS"/>
    <s v="CT"/>
    <s v="CT"/>
    <x v="331"/>
    <s v="183241241-7884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94290"/>
    <n v="23497143"/>
    <s v="ACC01"/>
    <x v="387"/>
    <d v="2025-08-06T15:34:52"/>
    <s v="06 a 08 dias"/>
    <s v="06 a 08 dias"/>
    <s v="MEOMSF"/>
    <s v="SABRE"/>
    <s v="RENZI/CEZAR EDUARDO"/>
    <s v="CT"/>
    <s v="CT"/>
    <x v="190"/>
    <s v="D27E8KWTP"/>
    <s v="-"/>
    <s v="ON LINE"/>
    <s v="Cartão de crédito"/>
    <s v="Cartão AMEX"/>
    <s v="Aéreo"/>
    <s v="N"/>
    <s v="Grupo Basf"/>
    <s v="Suvinil"/>
    <s v="-"/>
    <s v="Gol Linhas Aereas"/>
    <n v="7700074988"/>
    <s v="FCM-OPE-SAO-PVI-BASF"/>
    <s v="-"/>
    <x v="312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29016"/>
    <n v="23526564"/>
    <s v="ACC01"/>
    <x v="388"/>
    <d v="2025-08-12T11:48:35"/>
    <s v="0 a 02 dias"/>
    <s v="0 a 02 dias"/>
    <s v="KDAQYDT"/>
    <s v="SABRE"/>
    <s v="FERNANDES GOMES/FELIPE MR"/>
    <s v="CT"/>
    <s v="CT"/>
    <x v="332"/>
    <s v="KDAQYD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3"/>
    <n v="1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28219"/>
    <n v="23525823"/>
    <s v="ACC01"/>
    <x v="389"/>
    <d v="2025-08-12T09:06:28"/>
    <s v="0 a 02 dias"/>
    <s v="0 a 02 dias"/>
    <s v="AHMALPT"/>
    <s v="SABRE"/>
    <s v="FERNANDES GOMES/FELIPE MR"/>
    <s v="CT"/>
    <s v="CT"/>
    <x v="333"/>
    <s v="183306747-28216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31026"/>
    <n v="23528519"/>
    <s v="ACC01"/>
    <x v="390"/>
    <d v="2025-08-12T16:51:18"/>
    <s v="0 a 02 dias"/>
    <s v="0 a 02 dias"/>
    <s v="NNJIQO"/>
    <s v="SABRE"/>
    <s v="CIUCCIO/CARLOS EDUARDO PARISI"/>
    <s v="Beatrys Ferreira Rocha"/>
    <s v="CT"/>
    <x v="246"/>
    <s v="NNJIQO"/>
    <s v="-"/>
    <s v="ON LINE"/>
    <s v="?"/>
    <s v="TKT"/>
    <s v="Aéreo"/>
    <s v="N"/>
    <s v="Grupo Basf"/>
    <s v="Basf Sa"/>
    <s v="-"/>
    <s v="Latam Airlines Brasil"/>
    <n v="2952834980"/>
    <s v="FCM-OPE-SAO-PVI-BASF"/>
    <s v="-"/>
    <x v="19"/>
    <n v="0"/>
    <n v="450"/>
    <n v="0"/>
    <n v="6.06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09100"/>
    <n v="23510512"/>
    <s v="ACC01"/>
    <x v="391"/>
    <d v="2025-08-08T15:48:36"/>
    <s v="03 a 05 dias"/>
    <s v="03 a 05 dias"/>
    <s v="OLSHUE"/>
    <s v="SABRE"/>
    <s v="COSTA/ERICA CRISTINA MEIRELES"/>
    <s v="Itamar de Souza"/>
    <s v="CT"/>
    <x v="334"/>
    <s v="OLSHUE"/>
    <s v="-"/>
    <s v="ON LINE"/>
    <s v="?"/>
    <s v="TKT"/>
    <s v="Aéreo"/>
    <s v="N"/>
    <s v="Grupo Basf"/>
    <s v="Suvinil"/>
    <s v="-"/>
    <s v="Latam Airlines Brasil"/>
    <n v="2952816567"/>
    <s v="FCM-OPE-SAO-PVI-BASF"/>
    <s v="-"/>
    <x v="19"/>
    <n v="0"/>
    <n v="450"/>
    <n v="0"/>
    <n v="0"/>
    <n v="0"/>
    <n v="0"/>
    <s v="Reserva importada por HubTravel"/>
    <s v="Verificação de bilhetes: Bilhete 2952816567 já sendo utilizado para este fornecedor."/>
    <s v="SABRE"/>
    <s v="Bilhete duplicado"/>
    <s v="Bilhete Já Contabilizado"/>
    <s v="Duplicidade de Contabilização"/>
    <s v="Qualidade dos dados"/>
    <s v="GRUPO KONTIK"/>
  </r>
  <r>
    <n v="22707837"/>
    <n v="23509294"/>
    <s v="ACC01"/>
    <x v="392"/>
    <d v="2025-08-08T12:18:28"/>
    <s v="03 a 05 dias"/>
    <s v="03 a 05 dias"/>
    <s v="AIERFD"/>
    <s v="SABRE"/>
    <s v="DA SILVA/ADRIEL CARLOS"/>
    <s v="Itamar de Souza"/>
    <s v="CT"/>
    <x v="335"/>
    <s v="AIERFD"/>
    <s v="-"/>
    <s v="ON LINE"/>
    <s v="Invoice"/>
    <s v="Faturado"/>
    <s v="Aéreo"/>
    <s v="N"/>
    <s v="Grupo Basf"/>
    <s v="Basf Sa"/>
    <s v="-"/>
    <s v="Latam Airlines Brasil"/>
    <n v="2971499788"/>
    <s v="FCM-OPE-SAO-PVI-BASF"/>
    <s v="-"/>
    <x v="315"/>
    <n v="48.3"/>
    <n v="0"/>
    <n v="0"/>
    <n v="48.3"/>
    <n v="0"/>
    <n v="0"/>
    <s v="Reserva importada por HubTravel"/>
    <s v="Verificação de bilhetes: Bilhete 2971499788 já sendo utilizado para este fornecedor."/>
    <s v="SABRE"/>
    <s v="Bilhete duplicado"/>
    <s v="Bilhete Já Contabilizado"/>
    <s v="Duplicidade de Contabilização"/>
    <s v="Qualidade dos dados"/>
    <s v="GRUPO KONTIK"/>
  </r>
  <r>
    <n v="22730469"/>
    <n v="23527963"/>
    <s v="ACC01"/>
    <x v="393"/>
    <d v="2025-08-12T16:26:36"/>
    <s v="0 a 02 dias"/>
    <s v="0 a 02 dias"/>
    <s v="QWNHFY"/>
    <s v="SABRE"/>
    <s v="DOS SANTOS/ALEX PADILHA"/>
    <s v="Itamar de Souza"/>
    <s v="CT"/>
    <x v="336"/>
    <s v="QWNHFY"/>
    <s v="-"/>
    <s v="ON LINE"/>
    <s v="?"/>
    <s v="TKT"/>
    <s v="Aéreo"/>
    <s v="N"/>
    <s v="Grupo Basf"/>
    <s v="Suvinil"/>
    <s v="-"/>
    <s v="Latam Airlines Brasil"/>
    <n v="2952834976"/>
    <s v="FCM-OPE-SAO-PVI-BASF"/>
    <s v="-"/>
    <x v="19"/>
    <n v="0"/>
    <n v="450"/>
    <n v="0"/>
    <n v="17.7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30896"/>
    <n v="23528405"/>
    <s v="ACC01"/>
    <x v="394"/>
    <d v="2025-08-12T16:36:47"/>
    <s v="0 a 02 dias"/>
    <s v="0 a 02 dias"/>
    <s v="AOGKTN"/>
    <s v="SABRE"/>
    <s v="BATISTA DE OLIVEIRA/WALISSON"/>
    <s v="Itamar de Souza"/>
    <s v="CT"/>
    <x v="337"/>
    <s v="AOGKTN"/>
    <s v="-"/>
    <s v="ON LINE"/>
    <s v="?"/>
    <s v="TKT"/>
    <s v="Aéreo"/>
    <s v="N"/>
    <s v="Grupo Basf"/>
    <s v="Basf Sa"/>
    <s v="-"/>
    <s v="Latam Airlines Brasil"/>
    <n v="2952834978"/>
    <s v="FCM-OPE-SAO-PVI-BASF"/>
    <s v="-"/>
    <x v="19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79705"/>
    <n v="23484160"/>
    <s v="ACC01"/>
    <x v="395"/>
    <d v="2025-08-05T07:34:00"/>
    <s v="06 a 08 dias"/>
    <s v="09 a 15 dias"/>
    <s v="STLHGX"/>
    <s v="SABRE"/>
    <s v="FREDERICO DE MESQUITA/RENATA"/>
    <s v="CT"/>
    <s v="CT"/>
    <x v="338"/>
    <s v="H2EOZUM89"/>
    <s v="-"/>
    <s v="ON LINE"/>
    <s v="Cartão de crédito"/>
    <s v="Cartão AMEX"/>
    <s v="Aéreo"/>
    <s v="N"/>
    <s v="Grupo Basf"/>
    <s v="Basf Sa"/>
    <s v="-"/>
    <s v="Gol Linhas Aereas"/>
    <n v="7700074822"/>
    <s v="FCM-OPE-SAO-PVI-BASF"/>
    <s v="-"/>
    <x v="316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79705"/>
    <n v="23484497"/>
    <s v="ACC02"/>
    <x v="395"/>
    <d v="2025-08-05T07:34:00"/>
    <s v="06 a 08 dias"/>
    <s v="09 a 15 dias"/>
    <s v="STLHGX"/>
    <s v="SABRE"/>
    <s v="FREDERICO DE MESQUITA/RENATA"/>
    <s v="CT"/>
    <s v="CT"/>
    <x v="338"/>
    <s v="H2EOZUM89"/>
    <s v="-"/>
    <s v="ON LINE"/>
    <s v="Cartão de crédito"/>
    <s v="Cartão AMEX"/>
    <s v="Aéreo"/>
    <s v="N"/>
    <s v="Grupo Basf"/>
    <s v="Basf Sa"/>
    <s v="-"/>
    <s v="Gol Linhas Aereas"/>
    <n v="2142674468"/>
    <s v="FCM-OPE-SAO-PVI-BASF"/>
    <s v="-"/>
    <x v="316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722710"/>
    <n v="23521031"/>
    <s v="ACC01"/>
    <x v="396"/>
    <d v="2025-08-11T13:48:30"/>
    <s v="0 a 02 dias"/>
    <s v="0 a 02 dias"/>
    <s v="FYWRYDC"/>
    <s v="SABRE"/>
    <s v="DAVILA/JOAO FRANCISCO DE ANDRADE MR"/>
    <s v="CT"/>
    <s v="CT"/>
    <x v="339"/>
    <s v="FYWRYD"/>
    <s v="ORD"/>
    <s v="ON LINE"/>
    <s v="Invoice"/>
    <s v="Faturado"/>
    <s v="Carro"/>
    <s v="N"/>
    <s v="Grupo Basf"/>
    <s v="Ca Pesquisa e Comercio de Sementes"/>
    <s v="-"/>
    <s v="-"/>
    <s v="-"/>
    <s v="FCM-OPE-SAO-PVI-BASF"/>
    <s v="-"/>
    <x v="317"/>
    <n v="89.7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6296"/>
    <n v="23474141"/>
    <s v="ACC01"/>
    <x v="397"/>
    <d v="2025-08-05T07:33:43"/>
    <s v="06 a 08 dias"/>
    <s v="09 a 15 dias"/>
    <s v="YOUEDK"/>
    <s v="SABRE"/>
    <s v="SAEZ/AMANDA FELIX DA COSTA"/>
    <s v="CT"/>
    <s v="CT"/>
    <x v="340"/>
    <s v="L2IZGVFD6"/>
    <s v="-"/>
    <s v="ON LINE"/>
    <s v="Cartão de crédito"/>
    <s v="Cartão AMEX"/>
    <s v="Aéreo"/>
    <s v="N"/>
    <s v="Grupo Basf"/>
    <s v="Basf Sa"/>
    <s v="-"/>
    <s v="Gol Linhas Aereas"/>
    <n v="7700074761"/>
    <s v="FCM-OPE-SAO-PVI-BASF"/>
    <s v="-"/>
    <x v="318"/>
    <n v="31.4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93935"/>
    <n v="23496816"/>
    <s v="ACC01"/>
    <x v="398"/>
    <d v="2025-08-06T14:18:35"/>
    <s v="06 a 08 dias"/>
    <s v="06 a 08 dias"/>
    <s v="AOBZBMT"/>
    <s v="SABRE"/>
    <s v="DA SILVA/GIOVANNE JOSE MR"/>
    <s v="CT"/>
    <s v="CT"/>
    <x v="341"/>
    <s v="183216610-31702"/>
    <s v="-"/>
    <s v="ON LINE"/>
    <s v="Pagamento direto"/>
    <s v="Pagamento direto"/>
    <s v="Hotel"/>
    <s v="N"/>
    <s v="Grupo Basf"/>
    <s v="Chemetall do Brasil"/>
    <s v="-"/>
    <s v="-"/>
    <s v="-"/>
    <s v="FCM-OPE-SAO-PVI-BASF"/>
    <s v="-"/>
    <x v="3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93936"/>
    <n v="23496817"/>
    <s v="ACC01"/>
    <x v="399"/>
    <d v="2025-08-06T14:18:36"/>
    <s v="06 a 08 dias"/>
    <s v="06 a 08 dias"/>
    <s v="NQKJNUT"/>
    <s v="SABRE"/>
    <s v="SILVA/CICERO DIONISIO DA MR"/>
    <s v="CT"/>
    <s v="CT"/>
    <x v="342"/>
    <s v="183216679-27885"/>
    <s v="-"/>
    <s v="ON LINE"/>
    <s v="Pagamento direto"/>
    <s v="Pagamento direto"/>
    <s v="Hotel"/>
    <s v="N"/>
    <s v="Grupo Basf"/>
    <s v="Chemetall do Brasil"/>
    <s v="-"/>
    <s v="-"/>
    <s v="-"/>
    <s v="FCM-OPE-SAO-PVI-BASF"/>
    <s v="-"/>
    <x v="3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93993"/>
    <n v="23496866"/>
    <s v="ACC01"/>
    <x v="400"/>
    <d v="2025-08-06T14:36:24"/>
    <s v="06 a 08 dias"/>
    <s v="06 a 08 dias"/>
    <s v="AYDZPQT"/>
    <s v="SABRE"/>
    <s v="CORREIA/LEILANE MISS"/>
    <s v="CT"/>
    <s v="CT"/>
    <x v="343"/>
    <s v="183216563-90811"/>
    <s v="-"/>
    <s v="ON LINE"/>
    <s v="Pagamento direto"/>
    <s v="Pagamento direto"/>
    <s v="Hotel"/>
    <s v="N"/>
    <s v="Grupo Basf"/>
    <s v="Basf Sa"/>
    <s v="-"/>
    <s v="Novotel Lima San Isidro"/>
    <s v="-"/>
    <s v="FCM-OPE-SAO-PVI-BASF"/>
    <s v="-"/>
    <x v="32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93993"/>
    <n v="23496867"/>
    <s v="ACC02"/>
    <x v="400"/>
    <d v="2025-08-06T14:36:24"/>
    <s v="06 a 08 dias"/>
    <s v="06 a 08 dias"/>
    <s v="AYDZPQT"/>
    <s v="SABRE"/>
    <s v="CORREIA/LEILANE MISS"/>
    <s v="CT"/>
    <s v="CT"/>
    <x v="343"/>
    <s v="183216563-90811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2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84556"/>
    <n v="23488413"/>
    <s v="ACC01"/>
    <x v="401"/>
    <d v="2025-08-05T09:36:55"/>
    <s v="06 a 08 dias"/>
    <s v="06 a 08 dias"/>
    <s v="EXIBKMT"/>
    <s v="SABRE"/>
    <s v="LA TORRE/DANIELLA CAMPOS MRS"/>
    <s v="CT"/>
    <s v="CT"/>
    <x v="344"/>
    <s v="EXIBKM"/>
    <s v="-"/>
    <s v="ON LINE"/>
    <s v="Pagamento direto"/>
    <s v="Pagamento direto"/>
    <s v="Hotel"/>
    <s v="N"/>
    <s v="Grupo Basf"/>
    <s v="Basf Sa"/>
    <s v="-"/>
    <s v="Hilton Garden Inn Houston Energy Corridor"/>
    <s v="-"/>
    <s v="FCM-OPE-SAO-PVI-BASF"/>
    <s v="-"/>
    <x v="32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84556"/>
    <n v="23488414"/>
    <s v="ACC02"/>
    <x v="401"/>
    <d v="2025-08-05T09:36:55"/>
    <s v="06 a 08 dias"/>
    <s v="06 a 08 dias"/>
    <s v="EXIBKMT"/>
    <s v="SABRE"/>
    <s v="LA TORRE/DANIELLA CAMPOS MRS"/>
    <s v="CT"/>
    <s v="CT"/>
    <x v="344"/>
    <s v="EXIBKM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23"/>
    <n v="3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2681347"/>
    <n v="23485816"/>
    <s v="ACC01"/>
    <x v="402"/>
    <d v="2025-08-05T09:36:25"/>
    <s v="06 a 08 dias"/>
    <s v="09 a 15 dias"/>
    <s v="MSVYWLT"/>
    <s v="SABRE"/>
    <s v="LA TORRE/DANIELLA CAMPOS MRS"/>
    <s v="CT"/>
    <s v="CT"/>
    <x v="345"/>
    <s v="MSVYW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29097"/>
    <n v="23526659"/>
    <s v="ACC01"/>
    <x v="403"/>
    <d v="2025-08-12T12:09:32"/>
    <s v="0 a 02 dias"/>
    <s v="0 a 02 dias"/>
    <s v="HPUXMPC"/>
    <s v="SABRE"/>
    <s v="ARAUJO SILVA/DEIDSON MR"/>
    <s v="Marcelo Pereira de Melo"/>
    <s v="Marcelo Pereira de Melo"/>
    <x v="346"/>
    <s v="BA12082025"/>
    <s v="PET"/>
    <s v="OFF LINE"/>
    <s v="Invoice"/>
    <s v="Faturado"/>
    <s v="Carro"/>
    <s v="N"/>
    <s v="Grupo Basf"/>
    <s v="Basf Sa"/>
    <s v="-"/>
    <s v="-"/>
    <s v="-"/>
    <s v="FCM-OPE-SAO-PVI-BASF"/>
    <s v="-"/>
    <x v="325"/>
    <n v="413.1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9106"/>
    <n v="23526668"/>
    <s v="ACC01"/>
    <x v="404"/>
    <d v="2025-08-12T12:09:33"/>
    <s v="0 a 02 dias"/>
    <s v="0 a 02 dias"/>
    <s v="KFFMAGT"/>
    <s v="SABRE"/>
    <s v="ARAUJO SILVA/DEIDSON MR"/>
    <s v="Marcelo Pereira de Melo"/>
    <s v="Marcelo Pereira de Melo"/>
    <x v="347"/>
    <s v="BA12082025"/>
    <s v="-"/>
    <s v="OFF LINE"/>
    <s v="Invoice"/>
    <s v="Faturado"/>
    <s v="Hotel"/>
    <s v="N"/>
    <s v="Grupo Basf"/>
    <s v="Basf Sa"/>
    <s v="-"/>
    <s v="-"/>
    <s v="-"/>
    <s v="FCM-OPE-SAO-PVI-BASF"/>
    <s v="-"/>
    <x v="3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9117"/>
    <n v="23526679"/>
    <s v="ACC01"/>
    <x v="405"/>
    <d v="2025-08-12T12:09:34"/>
    <s v="0 a 02 dias"/>
    <s v="0 a 02 dias"/>
    <s v="KGFBAKT"/>
    <s v="SABRE"/>
    <s v="ARAUJO SILVA/DEIDSON MR"/>
    <s v="Marcelo Pereira de Melo"/>
    <s v="Marcelo Pereira de Melo"/>
    <x v="348"/>
    <s v="BA12082025"/>
    <s v="-"/>
    <s v="OFF LINE"/>
    <s v="Invoice"/>
    <s v="Faturado"/>
    <s v="Hotel"/>
    <s v="N"/>
    <s v="Grupo Basf"/>
    <s v="Basf Sa"/>
    <s v="-"/>
    <s v="-"/>
    <s v="-"/>
    <s v="FCM-OPE-SAO-PVI-BASF"/>
    <s v="-"/>
    <x v="21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9024"/>
    <n v="23526574"/>
    <s v="ACC01"/>
    <x v="406"/>
    <d v="2025-08-12T11:51:45"/>
    <s v="0 a 02 dias"/>
    <s v="0 a 02 dias"/>
    <s v="OSVISST"/>
    <s v="SABRE"/>
    <s v="RODRIGUES/RICARDO RODRIGO MR"/>
    <s v="Marcelo Pereira de Melo"/>
    <s v="Marcelo Pereira de Melo"/>
    <x v="349"/>
    <s v="BA12082025"/>
    <s v="-"/>
    <s v="OFF LINE"/>
    <s v="Invoice"/>
    <s v="Faturado"/>
    <s v="Hotel"/>
    <s v="N"/>
    <s v="Grupo Basf"/>
    <s v="Basf Sa"/>
    <s v="-"/>
    <s v="-"/>
    <s v="-"/>
    <s v="FCM-OPE-SAO-PVI-BASF"/>
    <s v="-"/>
    <x v="3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2439"/>
    <n v="23529872"/>
    <s v="ACC01"/>
    <x v="407"/>
    <d v="2025-08-12T19:06:24"/>
    <s v="0 a 02 dias"/>
    <s v="0 a 02 dias"/>
    <s v="QLESED"/>
    <s v="SABRE"/>
    <s v="DE MORAIS/MIRELEN MOREIRA"/>
    <s v="Marcelo Pereira de Melo"/>
    <s v="Marcelo Pereira de Melo"/>
    <x v="350"/>
    <s v="QLESED"/>
    <s v="-"/>
    <s v="OFF LINE"/>
    <s v="Cartão de crédito"/>
    <s v="Cartão AMEX"/>
    <s v="Aéreo"/>
    <s v="N"/>
    <s v="Grupo Basf"/>
    <s v="Basf Sa"/>
    <s v="-"/>
    <s v="Gol Linhas Aereas"/>
    <n v="2143299560"/>
    <s v="FCM-OPE-SAO-PVI-BASF"/>
    <s v="-"/>
    <x v="328"/>
    <n v="98.07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707851"/>
    <n v="23509305"/>
    <s v="ACC01"/>
    <x v="408"/>
    <d v="2025-08-08T12:27:48"/>
    <s v="03 a 05 dias"/>
    <s v="03 a 05 dias"/>
    <s v="OMFEOFT"/>
    <s v="SABRE"/>
    <s v="GENOVEVA DE SOUZA ROBERTO/FERNANDA MRS"/>
    <s v="Marcelo Pereira de Melo"/>
    <s v="Marcelo Pereira de Melo"/>
    <x v="351"/>
    <s v="BA08082025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329"/>
    <n v="21.5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9102"/>
    <n v="23510514"/>
    <s v="ACC01"/>
    <x v="409"/>
    <d v="2025-08-08T15:54:26"/>
    <s v="03 a 05 dias"/>
    <s v="03 a 05 dias"/>
    <s v="AFQGCOT"/>
    <s v="SABRE"/>
    <s v="MARASCHIN GRANJA/HENRIQUE SIR"/>
    <s v="Marcelo Pereira de Melo"/>
    <s v="Marcelo Pereira de Melo"/>
    <x v="352"/>
    <s v="BA08082025"/>
    <s v="-"/>
    <s v="OFF LINE"/>
    <s v="Cartão de crédito"/>
    <s v="Cartão de crédito"/>
    <s v="Hotel"/>
    <s v="N"/>
    <s v="Grupo Basf"/>
    <s v="Suvinil"/>
    <s v="-"/>
    <s v="-"/>
    <s v="-"/>
    <s v="FCM-OPE-SAO-PVI-BASF"/>
    <s v="-"/>
    <x v="330"/>
    <n v="271.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888"/>
    <n v="23505006"/>
    <s v="ACC01"/>
    <x v="410"/>
    <d v="2025-08-07T18:27:31"/>
    <s v="06 a 08 dias"/>
    <s v="06 a 08 dias"/>
    <s v="AMIABWT"/>
    <s v="SABRE"/>
    <s v="RIBEIRO/ALEXANDRE MARQUES MR"/>
    <s v="Marcelo Pereira de Melo"/>
    <s v="Marcelo Pereira de Melo"/>
    <x v="353"/>
    <s v="BA07082025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331"/>
    <n v="104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6314"/>
    <n v="23490061"/>
    <s v="ACC01"/>
    <x v="411"/>
    <d v="2025-08-05T13:57:25"/>
    <s v="06 a 08 dias"/>
    <s v="06 a 08 dias"/>
    <s v="CQJFIGC"/>
    <s v="SABRE"/>
    <s v="BORGES/ROBSON JAYME MR"/>
    <s v="Marcelo Pereira de Melo"/>
    <s v="Marcelo Pereira de Melo"/>
    <x v="354"/>
    <s v="BA05082025"/>
    <s v="FAR"/>
    <s v="OFF LINE"/>
    <s v="Invoice"/>
    <s v="Faturado"/>
    <s v="Carro"/>
    <s v="N"/>
    <s v="Grupo Basf"/>
    <s v="Basf Sa"/>
    <s v="-"/>
    <s v="-"/>
    <s v="-"/>
    <s v="FCM-OPE-SAO-PVI-BASF"/>
    <s v="-"/>
    <x v="332"/>
    <n v="521.0599999999999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9107"/>
    <n v="23510518"/>
    <s v="ACC01"/>
    <x v="412"/>
    <d v="2025-08-08T15:51:00"/>
    <s v="03 a 05 dias"/>
    <s v="03 a 05 dias"/>
    <s v="AHCPAIT"/>
    <s v="SABRE"/>
    <s v="ISMAEL/MARCELO MANIERO MR"/>
    <s v="Marcelo de Freitas"/>
    <s v="Marcelo de Freitas"/>
    <x v="355"/>
    <s v="BA0808251321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33"/>
    <n v="11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914"/>
    <n v="23505033"/>
    <s v="ACC01"/>
    <x v="413"/>
    <d v="2025-08-07T18:31:19"/>
    <s v="06 a 08 dias"/>
    <s v="06 a 08 dias"/>
    <s v="LZUBCV"/>
    <s v="SABRE"/>
    <s v="DE OLIVEIRA/ANDRE"/>
    <s v="Beatrys Ferreira Rocha"/>
    <s v="Marcelo de Freitas"/>
    <x v="184"/>
    <s v="BA0608251144"/>
    <s v="-"/>
    <s v="OFF LINE"/>
    <s v="Cartão de crédito"/>
    <s v="Cartão AMEX"/>
    <s v="Aéreo"/>
    <s v="N"/>
    <s v="Grupo Basf"/>
    <s v="Basf Sa"/>
    <s v="-"/>
    <s v="Latam Airlines Brasil"/>
    <n v="2971606798"/>
    <s v="FCM-OPE-SAO-PVI-BASF"/>
    <s v="-"/>
    <x v="334"/>
    <n v="59.54"/>
    <n v="421.08"/>
    <n v="0"/>
    <n v="59.54"/>
    <n v="0"/>
    <n v="0"/>
    <s v="Reserva importada por HubTravel"/>
    <s v="Verificação de bilhetes: Bilhete 2971606798 já sendo utilizado para este fornecedor."/>
    <s v="SABRE"/>
    <s v="Bilhete duplicado"/>
    <s v="Bilhete Já Contabilizado"/>
    <s v="Duplicidade de Contabilização"/>
    <s v="Qualidade dos dados"/>
    <s v="GRUPO KONTIK"/>
  </r>
  <r>
    <n v="22707214"/>
    <n v="23508639"/>
    <s v="ACC01"/>
    <x v="414"/>
    <d v="2025-08-08T10:48:38"/>
    <s v="03 a 05 dias"/>
    <s v="03 a 05 dias"/>
    <s v="QVMOHZT"/>
    <s v="SABRE"/>
    <s v="CARNEIRO/CARLOS ALMEIDA DURSO MR"/>
    <s v="Fabiola Lima de Oliveira"/>
    <s v="Fabiola Lima de Oliveira"/>
    <x v="356"/>
    <s v="BA0808250901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35"/>
    <n v="22.6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3427"/>
    <n v="23521707"/>
    <s v="ACC01"/>
    <x v="415"/>
    <d v="2025-08-11T16:09:36"/>
    <s v="0 a 02 dias"/>
    <s v="0 a 02 dias"/>
    <s v="SKKLTLT"/>
    <s v="SABRE"/>
    <s v="FERNANDES/RAFAEL PAPA MR"/>
    <s v="Fabiola Lima de Oliveira"/>
    <s v="Fabiola Lima de Oliveira"/>
    <x v="357"/>
    <s v="BA1108251544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336"/>
    <n v="75.5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1122"/>
    <n v="23519513"/>
    <s v="ACC01"/>
    <x v="416"/>
    <d v="2025-08-11T10:07:41"/>
    <s v="0 a 02 dias"/>
    <s v="0 a 02 dias"/>
    <s v="JDGMQQT"/>
    <s v="SABRE"/>
    <s v="MEDEIROS RIEKES/AUGUSTO MR"/>
    <s v="Fabiola Lima de Oliveira"/>
    <s v="Fabiola Lima de Oliveira"/>
    <x v="358"/>
    <s v="BA1108250854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3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5512"/>
    <n v="23473416"/>
    <s v="ACC01"/>
    <x v="417"/>
    <d v="2025-08-05T07:36:18"/>
    <s v="06 a 08 dias"/>
    <s v="09 a 15 dias"/>
    <s v="DMAPRQT"/>
    <s v="SABRE"/>
    <s v="GABIN/ADOLFO LUIS MR"/>
    <s v="WS"/>
    <s v="WS"/>
    <x v="359"/>
    <s v="DMAPRQ"/>
    <s v="-"/>
    <s v="ON LINE"/>
    <s v="Cartão de crédito"/>
    <s v="Cartão de crédito"/>
    <s v="Hotel"/>
    <s v="N"/>
    <s v="Grupo Chanel"/>
    <s v="Chanel"/>
    <s v="-"/>
    <s v="Ruby Claire Hotel &amp; Bar"/>
    <s v="-"/>
    <s v="FCM-OPE-SAO-PVI-BTC-CONCUR-CHANEL"/>
    <s v="-"/>
    <x v="338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30879"/>
    <n v="23528375"/>
    <s v="ACC01"/>
    <x v="418"/>
    <d v="2025-08-12T16:21:20"/>
    <s v="0 a 02 dias"/>
    <s v="0 a 02 dias"/>
    <s v="DNDSBV"/>
    <s v="SABRE"/>
    <s v="SANTOS/MARIA"/>
    <s v="Itamar de Souza"/>
    <s v="Marcia Pereira dos Santos Soares"/>
    <x v="360"/>
    <s v="CH2507251510"/>
    <s v="-"/>
    <s v="OFF LINE"/>
    <s v="Invoice"/>
    <s v="Faturado"/>
    <s v="Aéreo"/>
    <s v="N"/>
    <s v="Grupo Chanel"/>
    <s v="Chanel"/>
    <s v="-"/>
    <s v="Latam Airlines Brasil"/>
    <n v="2952834974"/>
    <s v="FCM-OPE-SAO-PVI-BTC-CONCUR-CHANEL"/>
    <s v="-"/>
    <x v="339"/>
    <n v="173.08"/>
    <n v="0"/>
    <n v="0"/>
    <n v="173.08"/>
    <n v="0"/>
    <n v="0"/>
    <s v="Reserva importada por HubTravel"/>
    <s v="Falta informar o status no trecho da accounting aérea (Bilhete: 2952834974)"/>
    <s v="SABRE"/>
    <s v="Falta informação nos trechos"/>
    <s v="Atualização de Trechos"/>
    <s v="Dados do Fornecedor"/>
    <s v="Qualidade dos dados"/>
    <s v="KONTIK BUSINESS TRAVEL"/>
  </r>
  <r>
    <n v="22730879"/>
    <n v="23528376"/>
    <s v="ACC02"/>
    <x v="418"/>
    <d v="2025-08-12T16:21:20"/>
    <s v="0 a 02 dias"/>
    <s v="0 a 02 dias"/>
    <s v="DNDSBV"/>
    <s v="SABRE"/>
    <s v="SANTOS/MARIA"/>
    <s v="Itamar de Souza"/>
    <s v="Marcia Pereira dos Santos Soares"/>
    <x v="360"/>
    <s v="CH2507251510"/>
    <s v="-"/>
    <s v="OFF LINE"/>
    <s v="?"/>
    <s v="TKT"/>
    <s v="Aéreo"/>
    <s v="N"/>
    <s v="Grupo Chanel"/>
    <s v="Chanel"/>
    <s v="-"/>
    <s v="Latam Airlines Brasil"/>
    <n v="2952834974"/>
    <s v="FCM-OPE-SAO-PVI-BTC-CONCUR-CHANEL"/>
    <s v="-"/>
    <x v="19"/>
    <n v="0"/>
    <n v="0"/>
    <n v="0"/>
    <n v="0"/>
    <n v="0"/>
    <n v="0"/>
    <s v="Reserva importada por HubTravel"/>
    <s v="Falta informar o status no trecho da accounting aérea (Bilhete: 2952834974)"/>
    <s v="SABRE"/>
    <s v="Falta informação nos trechos"/>
    <s v="Atualização de Trechos"/>
    <s v="Dados do Fornecedor"/>
    <s v="Qualidade dos dados"/>
    <s v="KONTIK BUSINESS TRAVEL"/>
  </r>
  <r>
    <n v="22730879"/>
    <n v="23528377"/>
    <s v="ACC03"/>
    <x v="418"/>
    <d v="2025-08-12T16:21:20"/>
    <s v="0 a 02 dias"/>
    <s v="0 a 02 dias"/>
    <s v="DNDSBV"/>
    <s v="SABRE"/>
    <s v="SANTOS/MARIA"/>
    <s v="Itamar de Souza"/>
    <s v="Marcia Pereira dos Santos Soares"/>
    <x v="360"/>
    <s v="CH2507251510"/>
    <s v="-"/>
    <s v="OFF LINE"/>
    <s v="?"/>
    <s v="TKT"/>
    <s v="Aéreo"/>
    <s v="N"/>
    <s v="Grupo Chanel"/>
    <s v="Chanel"/>
    <s v="-"/>
    <s v="Latam Airlines Brasil"/>
    <n v="2952834974"/>
    <s v="FCM-OPE-SAO-PVI-BTC-CONCUR-CHANEL"/>
    <s v="-"/>
    <x v="19"/>
    <n v="0"/>
    <n v="0"/>
    <n v="0"/>
    <n v="53.57"/>
    <n v="0"/>
    <n v="0"/>
    <s v="Reserva importada por HubTravel"/>
    <s v="Falta informar o status no trecho da accounting aérea (Bilhete: 2952834974)"/>
    <s v="SABRE"/>
    <s v="Falta informação nos trechos"/>
    <s v="Atualização de Trechos"/>
    <s v="Dados do Fornecedor"/>
    <s v="Qualidade dos dados"/>
    <s v="KONTIK BUSINESS TRAVEL"/>
  </r>
  <r>
    <n v="22730882"/>
    <n v="23528384"/>
    <s v="ACC01"/>
    <x v="419"/>
    <d v="2025-08-12T16:27:21"/>
    <s v="0 a 02 dias"/>
    <s v="0 a 02 dias"/>
    <s v="YAREHZ"/>
    <s v="SABRE"/>
    <s v="SANTOS/JULIANA"/>
    <s v="Itamar de Souza"/>
    <s v="Marcia Pereira dos Santos Soares"/>
    <x v="361"/>
    <s v="CH2507251450"/>
    <s v="-"/>
    <s v="OFF LINE"/>
    <s v="Invoice"/>
    <s v="Faturado"/>
    <s v="Aéreo"/>
    <s v="N"/>
    <s v="Grupo Chanel"/>
    <s v="Chanel"/>
    <s v="-"/>
    <s v="Latam Airlines Brasil"/>
    <n v="2952834975"/>
    <s v="FCM-OPE-SAO-PVI-BTC-CONCUR-CHANEL"/>
    <s v="-"/>
    <x v="339"/>
    <n v="0"/>
    <n v="493.98"/>
    <n v="0"/>
    <n v="173.08"/>
    <n v="0"/>
    <n v="0"/>
    <s v="Reserva importada por HubTravel"/>
    <s v="Falta informar o status no trecho da accounting aérea (Bilhete: 2952834975)"/>
    <s v="SABRE"/>
    <s v="Falta informação nos trechos"/>
    <s v="Atualização de Trechos"/>
    <s v="Dados do Fornecedor"/>
    <s v="Qualidade dos dados"/>
    <s v="KONTIK BUSINESS TRAVEL"/>
  </r>
  <r>
    <n v="22730882"/>
    <n v="23528385"/>
    <s v="ACC02"/>
    <x v="419"/>
    <d v="2025-08-12T16:27:21"/>
    <s v="0 a 02 dias"/>
    <s v="0 a 02 dias"/>
    <s v="YAREHZ"/>
    <s v="SABRE"/>
    <s v="SANTOS/JULIANA"/>
    <s v="Itamar de Souza"/>
    <s v="Marcia Pereira dos Santos Soares"/>
    <x v="361"/>
    <s v="CH2507251450"/>
    <s v="-"/>
    <s v="OFF LINE"/>
    <s v="?"/>
    <s v="TKT"/>
    <s v="Aéreo"/>
    <s v="N"/>
    <s v="Grupo Chanel"/>
    <s v="Chanel"/>
    <s v="-"/>
    <s v="Latam Airlines Brasil"/>
    <n v="2952834975"/>
    <s v="FCM-OPE-SAO-PVI-BTC-CONCUR-CHANEL"/>
    <s v="-"/>
    <x v="19"/>
    <n v="0"/>
    <n v="0"/>
    <n v="0"/>
    <n v="0"/>
    <n v="0"/>
    <n v="0"/>
    <s v="Reserva importada por HubTravel"/>
    <s v="Falta informar o status no trecho da accounting aérea (Bilhete: 2952834975)"/>
    <s v="SABRE"/>
    <s v="Falta informação nos trechos"/>
    <s v="Atualização de Trechos"/>
    <s v="Dados do Fornecedor"/>
    <s v="Qualidade dos dados"/>
    <s v="KONTIK BUSINESS TRAVEL"/>
  </r>
  <r>
    <n v="22730882"/>
    <n v="23528386"/>
    <s v="ACC03"/>
    <x v="419"/>
    <d v="2025-08-12T16:27:21"/>
    <s v="0 a 02 dias"/>
    <s v="0 a 02 dias"/>
    <s v="YAREHZ"/>
    <s v="SABRE"/>
    <s v="SANTOS/JULIANA"/>
    <s v="Itamar de Souza"/>
    <s v="Marcia Pereira dos Santos Soares"/>
    <x v="361"/>
    <s v="CH2507251450"/>
    <s v="-"/>
    <s v="OFF LINE"/>
    <s v="?"/>
    <s v="TKT"/>
    <s v="Aéreo"/>
    <s v="N"/>
    <s v="Grupo Chanel"/>
    <s v="Chanel"/>
    <s v="-"/>
    <s v="Latam Airlines Brasil"/>
    <n v="2952834975"/>
    <s v="FCM-OPE-SAO-PVI-BTC-CONCUR-CHANEL"/>
    <s v="-"/>
    <x v="19"/>
    <n v="0"/>
    <n v="0"/>
    <n v="0"/>
    <n v="53.57"/>
    <n v="0"/>
    <n v="0"/>
    <s v="Reserva importada por HubTravel"/>
    <s v="Falta informar o status no trecho da accounting aérea (Bilhete: 2952834975)"/>
    <s v="SABRE"/>
    <s v="Falta informação nos trechos"/>
    <s v="Atualização de Trechos"/>
    <s v="Dados do Fornecedor"/>
    <s v="Qualidade dos dados"/>
    <s v="KONTIK BUSINESS TRAVEL"/>
  </r>
  <r>
    <n v="22707072"/>
    <n v="23508507"/>
    <s v="ACC01"/>
    <x v="420"/>
    <d v="2025-08-08T10:18:35"/>
    <s v="03 a 05 dias"/>
    <s v="03 a 05 dias"/>
    <s v="GEHKMA"/>
    <s v="SABRE"/>
    <s v="PERIM DRAGO/CRISTINA"/>
    <s v="Itamar de Souza"/>
    <s v="Marcia Pereira dos Santos Soares"/>
    <x v="362"/>
    <s v="CH0708251903"/>
    <s v="-"/>
    <s v="OFF LINE"/>
    <s v="?"/>
    <s v="TKT"/>
    <s v="Aéreo"/>
    <s v="N"/>
    <s v="Grupo Chanel"/>
    <s v="Chanel"/>
    <s v="-"/>
    <s v="Latam Airlines Brasil"/>
    <n v="2952816553"/>
    <s v="FCM-OPE-SAO-PVI-BTC-CONCUR-CHANEL"/>
    <s v="-"/>
    <x v="19"/>
    <n v="0"/>
    <n v="450"/>
    <n v="0"/>
    <n v="67.209999999999994"/>
    <n v="0"/>
    <n v="0"/>
    <s v="Reserva importada por HubTravel"/>
    <s v="Verificação de bilhetes: Bilhete 2952816553 já sendo utilizado para este fornecedor."/>
    <s v="SABRE"/>
    <s v="Bilhete duplicado"/>
    <s v="Bilhete Já Contabilizado"/>
    <s v="Duplicidade de Contabilização"/>
    <s v="Qualidade dos dados"/>
    <s v="GRUPO KONTIK"/>
  </r>
  <r>
    <n v="22677867"/>
    <n v="23482464"/>
    <s v="ACC01"/>
    <x v="421"/>
    <d v="2025-08-05T07:36:20"/>
    <s v="06 a 08 dias"/>
    <s v="09 a 15 dias"/>
    <s v="EZHMTUT"/>
    <s v="SABRE"/>
    <s v="SANTOS GOMES II/LUANA SANTOS GOMES MISS"/>
    <s v="Karen Aparecida Ferreira"/>
    <s v="Karen Aparecida Ferreira"/>
    <x v="363"/>
    <s v="NI3107250906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19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77868"/>
    <n v="23482465"/>
    <s v="ACC01"/>
    <x v="422"/>
    <d v="2025-08-05T07:36:20"/>
    <s v="06 a 08 dias"/>
    <s v="09 a 15 dias"/>
    <s v="QLJMYNT"/>
    <s v="SABRE"/>
    <s v="JOSE CRISPIM/FABRICIO"/>
    <s v="Karen Aparecida Ferreira"/>
    <s v="Karen Aparecida Ferreira"/>
    <x v="364"/>
    <s v="NI3107250942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19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731397"/>
    <n v="23528863"/>
    <s v="ACC01"/>
    <x v="423"/>
    <d v="2025-08-13T05:21:12"/>
    <s v="0 a 02 dias"/>
    <s v="0 a 02 dias"/>
    <s v="CLFJBPT"/>
    <s v="SABRE"/>
    <s v="ABREU/JOAO PEDRO DE OLIVEIRA"/>
    <s v="Marcia Pereira dos Santos Soares"/>
    <s v="Marcia Pereira dos Santos Soares"/>
    <x v="365"/>
    <s v="NI1208251723_0"/>
    <s v="-"/>
    <s v="OFF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340"/>
    <n v="0"/>
    <n v="0"/>
    <n v="0"/>
    <n v="0"/>
    <n v="0"/>
    <n v="43.58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9284"/>
    <n v="23510695"/>
    <s v="ACC01"/>
    <x v="424"/>
    <d v="2025-08-09T05:21:22"/>
    <s v="03 a 05 dias"/>
    <s v="03 a 05 dias"/>
    <s v="AJCZAET"/>
    <s v="SABRE"/>
    <s v="NEVES DE OLIVEIRA/GUILHERME MR"/>
    <s v="WS"/>
    <s v="WS"/>
    <x v="366"/>
    <s v="AJCZAE"/>
    <s v="-"/>
    <s v="ON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341"/>
    <n v="819"/>
    <n v="0"/>
    <n v="0"/>
    <n v="0"/>
    <n v="0"/>
    <n v="27.4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39240"/>
    <n v="23450273"/>
    <s v="ACC01"/>
    <x v="425"/>
    <d v="2025-07-28T16:36:05"/>
    <s v="16 a 23 dias"/>
    <s v="16 a 23 dias"/>
    <s v="WLHAOCT"/>
    <s v="SABRE"/>
    <s v="COSTA/MARCOS ROGERIO MR"/>
    <s v="Eliane da Silva Souza Paula"/>
    <s v="Eliane da Silva Souza Paula"/>
    <x v="367"/>
    <s v="LU"/>
    <s v="-"/>
    <s v="OFF LINE"/>
    <s v="Invoice"/>
    <s v="Faturado"/>
    <s v="Hotel"/>
    <s v="N"/>
    <s v="Grupo Sibelco"/>
    <s v="Sibelco - Pedra do Indaia - Matriz"/>
    <s v="-"/>
    <s v="-"/>
    <s v="-"/>
    <s v="FCM-OPE-SAO-PVI-BTC-CONCUR-SIBELCO"/>
    <s v="-"/>
    <x v="34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3434"/>
    <n v="23505533"/>
    <s v="ACC01"/>
    <x v="426"/>
    <d v="2025-08-08T05:48:40"/>
    <s v="03 a 05 dias"/>
    <s v="06 a 08 dias"/>
    <s v="ITRJBM"/>
    <s v="SABRE"/>
    <s v="DE ANDRADE BALTIERI/BEATRIZ"/>
    <s v="WS"/>
    <s v="WS"/>
    <x v="368"/>
    <s v="ITRJBM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2913928"/>
    <s v="FCM-OPE-SAO-PVI-BTC-CYTRIC-S&amp;P"/>
    <s v="-"/>
    <x v="19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701015"/>
    <n v="23503212"/>
    <s v="ACC01"/>
    <x v="427"/>
    <d v="2025-08-08T05:24:24"/>
    <s v="03 a 05 dias"/>
    <s v="06 a 08 dias"/>
    <s v="OZGZRD"/>
    <s v="SABRE"/>
    <s v="MONTEIRO LOPES/JOAO VITOR"/>
    <s v="WS"/>
    <s v="WS"/>
    <x v="369"/>
    <s v="OZGZRD"/>
    <s v="-"/>
    <s v="ON LINE"/>
    <s v="Cartão de crédito"/>
    <s v="Cartão de crédito"/>
    <s v="Aéreo"/>
    <s v="N"/>
    <s v="Grupo Sep"/>
    <s v="Ihs Informacoes Rio de Janeiro"/>
    <s v="Cliente FEE no POS"/>
    <s v="Gol Linhas Aereas"/>
    <n v="2142860774"/>
    <s v="FCM-OPE-SAO-PVI-BTC-CYTRIC-S&amp;P"/>
    <s v="-"/>
    <x v="19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66258"/>
    <n v="23474104"/>
    <s v="ACC01"/>
    <x v="428"/>
    <d v="2025-08-05T07:33:43"/>
    <s v="06 a 08 dias"/>
    <s v="09 a 15 dias"/>
    <s v="AMPJWB"/>
    <s v="SABRE"/>
    <s v="SILVA/ANNE MS"/>
    <s v="WS"/>
    <s v="WS"/>
    <x v="370"/>
    <s v="AMPJWB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509971"/>
    <s v="FCM-OPE-SAO-PVI-BTC-CYTRIC-S&amp;P"/>
    <s v="-"/>
    <x v="19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63487"/>
    <n v="23471535"/>
    <s v="ACC01"/>
    <x v="429"/>
    <d v="2025-08-05T07:33:41"/>
    <s v="06 a 08 dias"/>
    <s v="09 a 15 dias"/>
    <s v="EVWVYE"/>
    <s v="SABRE"/>
    <s v="DA SILVA/RODRIGO"/>
    <s v="WS"/>
    <s v="WS"/>
    <x v="371"/>
    <s v="EVWVYE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2457250"/>
    <s v="FCM-OPE-SAO-PVI-BTC-CYTRIC-S&amp;P"/>
    <s v="-"/>
    <x v="19"/>
    <n v="0"/>
    <n v="0"/>
    <n v="0"/>
    <n v="0"/>
    <n v="0"/>
    <n v="0"/>
    <s v="Reserva importada por HubTravel"/>
    <s v="Tarifa máxima não preenchida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2732386"/>
    <n v="23529824"/>
    <s v="ACC01"/>
    <x v="430"/>
    <d v="2025-08-12T19:11:51"/>
    <s v="0 a 02 dias"/>
    <s v="0 a 02 dias"/>
    <s v="JGQJOV"/>
    <s v="TMS"/>
    <s v="THALES SILVA"/>
    <s v="Alexandre Isidio da Silva"/>
    <s v="Alexandre Isidio da Silva"/>
    <x v="372"/>
    <n v="17120"/>
    <s v="-"/>
    <s v="OFF LINE"/>
    <s v="Cartão de crédito"/>
    <s v="Cartão de crédito"/>
    <s v="Aéreo"/>
    <s v="N"/>
    <s v="Grupo Petroreconcavo"/>
    <s v="Petroreconcavo"/>
    <s v="-"/>
    <s v="Air Canada"/>
    <n v="2971622843"/>
    <s v="KON-OPE-RIO-PVI-BTC-PETRORECONCAVO"/>
    <s v="-"/>
    <x v="343"/>
    <n v="0"/>
    <n v="0"/>
    <n v="0"/>
    <n v="0"/>
    <n v="0"/>
    <n v="0"/>
    <s v="Reserva importada do Sistema TMS. OS: 17120"/>
    <s v="Verificação de bilhetes: Bilhete 2971622843 já sendo utilizado para este fornecedor."/>
    <s v="ARGO(TMS)"/>
    <s v="Bilhete duplicado"/>
    <s v="Bilhete Já Contabilizado"/>
    <s v="Duplicidade de Contabilização"/>
    <s v="Qualidade dos dados"/>
    <s v="GRUPO KONTIK"/>
  </r>
  <r>
    <n v="22646034"/>
    <n v="23456182"/>
    <s v="ACC01"/>
    <x v="431"/>
    <d v="2025-07-29T16:51:07"/>
    <s v="09 a 15 dias"/>
    <s v="09 a 15 dias"/>
    <n v="19351827"/>
    <s v="GOVER"/>
    <s v="Gustavo FRANCA"/>
    <s v="Gover"/>
    <s v="Gover"/>
    <x v="373"/>
    <n v="4573938"/>
    <s v="-"/>
    <s v="OFF LINE"/>
    <s v="Invoice"/>
    <s v="Faturado"/>
    <s v="Hotel"/>
    <s v="N"/>
    <s v="Grupo Arcadis"/>
    <s v="Arcadis"/>
    <s v="-"/>
    <s v="Mhajol Plaza Hotel"/>
    <s v="-"/>
    <s v="FCM-OPE-SAO-PVI-ARCADIS"/>
    <s v="-"/>
    <x v="344"/>
    <n v="16.899999999999999"/>
    <n v="0"/>
    <n v="0"/>
    <n v="0"/>
    <n v="0"/>
    <n v="0"/>
    <s v="Reserva importada do sistema Gover. Id: 4573938"/>
    <s v="Não foi possível encontrar um contrato válido para o fornecedor 24774 (Código fornecedor) "/>
    <s v="GOVER"/>
    <s v="Contrato de fornecedor"/>
    <s v="Análise Cadastro"/>
    <s v="Dados do Fornecedor"/>
    <s v="Qualidade dos dados"/>
    <s v="KONTIK BUSINESS TRAVEL"/>
  </r>
  <r>
    <n v="22646070"/>
    <n v="23456209"/>
    <s v="ACC01"/>
    <x v="432"/>
    <d v="2025-07-29T16:51:25"/>
    <s v="09 a 15 dias"/>
    <s v="09 a 15 dias"/>
    <n v="19352264"/>
    <s v="GOVER"/>
    <s v="Ana B CONCEICAO DE AMORIM COELHO"/>
    <s v="Gover"/>
    <s v="Gover"/>
    <x v="374"/>
    <n v="4573950"/>
    <s v="-"/>
    <s v="OFF LINE"/>
    <s v="Invoice"/>
    <s v="Faturado"/>
    <s v="Hotel"/>
    <s v="N"/>
    <s v="Grupo Arcadis"/>
    <s v="Arcadis"/>
    <s v="-"/>
    <s v="Mhajol Plaza Hotel"/>
    <s v="-"/>
    <s v="FCM-OPE-SAO-PVI-ARCADIS"/>
    <s v="-"/>
    <x v="344"/>
    <n v="16.899999999999999"/>
    <n v="0"/>
    <n v="0"/>
    <n v="0"/>
    <n v="0"/>
    <n v="0"/>
    <s v="Reserva importada do sistema Gover. Id: 4573950"/>
    <s v="Não foi possível encontrar um contrato válido para o fornecedor 24774 (Código fornecedor) "/>
    <s v="GOVER"/>
    <s v="Contrato de fornecedor"/>
    <s v="Análise Cadastro"/>
    <s v="Dados do Fornecedor"/>
    <s v="Qualidade dos dados"/>
    <s v="KONTIK BUSINESS TRAVEL"/>
  </r>
  <r>
    <n v="22729895"/>
    <n v="23527422"/>
    <s v="ACC01"/>
    <x v="433"/>
    <d v="2025-08-12T12:55:21"/>
    <s v="0 a 02 dias"/>
    <s v="0 a 02 dias"/>
    <s v="MV2M9OAHSIBR"/>
    <s v="GOVER"/>
    <s v="Tais AVELAR GUIMARAES"/>
    <s v="Ana Carolina da Silva"/>
    <s v="Ana Carolina da Silva"/>
    <x v="246"/>
    <n v="4580746"/>
    <s v="Movida - Br - Sp - Sao Paulo - Bela Vista - Shoppi Endereço: Rua Rua Treze de Maio 1947"/>
    <s v="OFF LINE"/>
    <s v="Invoice"/>
    <s v="Faturado"/>
    <s v="Carro"/>
    <s v="N"/>
    <s v="Grupo Arcadis"/>
    <s v="Arcadis"/>
    <s v="-"/>
    <s v="-"/>
    <s v="-"/>
    <s v="FCM-OPE-SAO-PVI-ARCADIS"/>
    <s v="-"/>
    <x v="345"/>
    <n v="0"/>
    <n v="0"/>
    <n v="0"/>
    <n v="0"/>
    <n v="0"/>
    <n v="0"/>
    <s v="Reserva importada do sistema Gover. Id: 4580746"/>
    <s v="Fornecedor não preenchido! (ACC01)"/>
    <s v="GOVER"/>
    <s v="Falta de Fornecedor"/>
    <s v="Campo Fornecedor"/>
    <s v="Dados do Fornecedor"/>
    <s v="Qualidade dos dados"/>
    <s v="KONTIK BUSINESS TRAVEL"/>
  </r>
  <r>
    <n v="22729856"/>
    <n v="23527388"/>
    <s v="ACC01"/>
    <x v="434"/>
    <d v="2025-08-12T12:45:23"/>
    <s v="0 a 02 dias"/>
    <s v="0 a 02 dias"/>
    <s v="MV3024FG78BR"/>
    <s v="GOVER"/>
    <s v="Wilson LIMA GOMES JUNIOR"/>
    <s v="Ana Carolina da Silva"/>
    <s v="Ana Carolina da Silva"/>
    <x v="375"/>
    <n v="4580142"/>
    <s v="Movida - Br - Sp - Sao Paulo - Pinheiros Endereço: Avenida Reboucas, 3970 Pinheiros"/>
    <s v="OFF LINE"/>
    <s v="Invoice"/>
    <s v="Faturado"/>
    <s v="Carro"/>
    <s v="N"/>
    <s v="Grupo Arcadis"/>
    <s v="Arcadis"/>
    <s v="-"/>
    <s v="-"/>
    <s v="-"/>
    <s v="FCM-OPE-SAO-PVI-ARCADIS"/>
    <s v="-"/>
    <x v="346"/>
    <n v="0"/>
    <n v="0"/>
    <n v="0"/>
    <n v="0"/>
    <n v="0"/>
    <n v="0"/>
    <s v="Reserva importada do sistema Gover. Id: 4580142"/>
    <s v="Fornecedor não preenchido! (ACC01)"/>
    <s v="GOVER"/>
    <s v="Falta de Fornecedor"/>
    <s v="Campo Fornecedor"/>
    <s v="Dados do Fornecedor"/>
    <s v="Qualidade dos dados"/>
    <s v="KONTIK BUSINESS TRAVEL"/>
  </r>
  <r>
    <n v="22680436"/>
    <n v="23484905"/>
    <s v="ACC01"/>
    <x v="435"/>
    <d v="2025-08-04T18:15:54"/>
    <s v="09 a 15 dias"/>
    <s v="09 a 15 dias"/>
    <s v="5FYE0K"/>
    <s v="TMS"/>
    <s v="MERIELEN SILVA"/>
    <s v="Mauricio Almeida de Lima"/>
    <s v="Mauricio Almeida de Lima"/>
    <x v="376"/>
    <n v="798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47"/>
    <n v="0"/>
    <n v="0"/>
    <n v="0"/>
    <n v="0"/>
    <n v="0"/>
    <n v="0"/>
    <s v="Reserva importada do Sistema TMS. OS: 79826"/>
    <s v="Fornecedor não preenchido! (ACC01)"/>
    <s v="ARGO(TMS)"/>
    <s v="Falta de Fornecedor"/>
    <s v="Campo Fornecedor"/>
    <s v="Dados do Fornecedor"/>
    <s v="Qualidade dos dados"/>
    <s v="KONTIK BUSINESS TRAVEL"/>
  </r>
  <r>
    <n v="22702790"/>
    <n v="23504914"/>
    <s v="ACC01"/>
    <x v="436"/>
    <d v="2025-08-11T14:35:29"/>
    <s v="0 a 02 dias"/>
    <s v="06 a 08 dias"/>
    <s v="5GLHCD"/>
    <s v="TMS"/>
    <s v="ASSIS MONTI NETO"/>
    <s v="Giovanna Duarte Pereira"/>
    <s v="Giovanna Duarte Pereira"/>
    <x v="377"/>
    <n v="79043"/>
    <s v="-"/>
    <s v="OFF LINE"/>
    <s v="Pagamento direto"/>
    <s v="Pagamento direto"/>
    <s v="Hotel"/>
    <s v="S"/>
    <s v="Grupo Ache"/>
    <s v="Ache Laboratorios Farmaceuticos Sa"/>
    <s v="-"/>
    <s v="-"/>
    <s v="-"/>
    <s v="KON-OPE-SAO-PVI-ACHE"/>
    <s v="-"/>
    <x v="348"/>
    <n v="0"/>
    <n v="0"/>
    <n v="0"/>
    <n v="0"/>
    <n v="0"/>
    <n v="0"/>
    <s v="Reserva importada do Sistema TMS. OS: 79043"/>
    <s v="Fornecedor não preenchido! (ACC01)"/>
    <s v="ARGO(TMS)"/>
    <s v="Falta de Fornecedor"/>
    <s v="Campo Fornecedor"/>
    <s v="Dados do Fornecedor"/>
    <s v="Qualidade dos dados"/>
    <s v="KONTIK BUSINESS TRAVEL"/>
  </r>
  <r>
    <n v="22702713"/>
    <n v="23504838"/>
    <s v="ACC01"/>
    <x v="437"/>
    <d v="2025-08-07T18:18:00"/>
    <s v="06 a 08 dias"/>
    <s v="06 a 08 dias"/>
    <s v="5GJBEC"/>
    <s v="TMS"/>
    <s v="ANA DIAS"/>
    <s v="Maria Clara Landeira Mezavila"/>
    <s v="Maria Clara Landeira Mezavila"/>
    <x v="378"/>
    <n v="805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49"/>
    <n v="0"/>
    <n v="0"/>
    <n v="0"/>
    <n v="0"/>
    <n v="32"/>
    <n v="0"/>
    <s v="Reserva importada do Sistema TMS. OS: 80526"/>
    <s v="Fornecedor não preenchido! (ACC01)"/>
    <s v="ARGO(TMS)"/>
    <s v="Falta de Fornecedor"/>
    <s v="Campo Fornecedor"/>
    <s v="Dados do Fornecedor"/>
    <s v="Qualidade dos dados"/>
    <s v="KONTIK BUSINESS TRAVEL"/>
  </r>
  <r>
    <n v="22721831"/>
    <n v="23520193"/>
    <s v="ACC01"/>
    <x v="438"/>
    <d v="2025-08-11T12:06:48"/>
    <s v="0 a 02 dias"/>
    <s v="0 a 02 dias"/>
    <s v="5G5S2H"/>
    <s v="TMS"/>
    <s v="DAVID CHAGAS"/>
    <s v="Tms"/>
    <s v="Tms"/>
    <x v="379"/>
    <n v="81131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138"/>
    <n v="0"/>
    <n v="0"/>
    <n v="0"/>
    <n v="0"/>
    <n v="5.6"/>
    <n v="0"/>
    <s v="Reserva importada do Sistema TMS. OS: 81131"/>
    <s v="Fornecedor não preenchido! (ACC01)"/>
    <s v="ARGO(TMS)"/>
    <s v="Falta de Fornecedor"/>
    <s v="Campo Fornecedor"/>
    <s v="Dados do Fornecedor"/>
    <s v="Sistêmico"/>
    <s v="GRUPO KONTIK"/>
  </r>
  <r>
    <n v="22724248"/>
    <n v="23522494"/>
    <s v="ACC01"/>
    <x v="439"/>
    <d v="2025-08-11T18:19:12"/>
    <s v="0 a 02 dias"/>
    <s v="0 a 02 dias"/>
    <s v="5GMM8H"/>
    <s v="TMS"/>
    <s v="THIAGO SILVEIRA"/>
    <s v="Thais Peixoto de Melo"/>
    <s v="Thais Peixoto de Melo"/>
    <x v="380"/>
    <n v="8102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0"/>
    <n v="0"/>
    <n v="0"/>
    <n v="0"/>
    <n v="0"/>
    <n v="11.6"/>
    <n v="0"/>
    <s v="Reserva importada do Sistema TMS. OS: 81021"/>
    <s v="Fornecedor não preenchido! (ACC01)"/>
    <s v="ARGO(TMS)"/>
    <s v="Falta de Fornecedor"/>
    <s v="Campo Fornecedor"/>
    <s v="Dados do Fornecedor"/>
    <s v="Qualidade dos dados"/>
    <s v="KONTIK BUSINESS TRAVEL"/>
  </r>
  <r>
    <n v="22695418"/>
    <n v="23498275"/>
    <s v="ACC01"/>
    <x v="440"/>
    <d v="2025-08-06T18:31:58"/>
    <s v="06 a 08 dias"/>
    <s v="06 a 08 dias"/>
    <s v="5G58HZ"/>
    <s v="TMS"/>
    <s v="JOSE AZEVEDO"/>
    <s v="Jessica Soares Teixeira"/>
    <s v="Jessica Soares Teixeira"/>
    <x v="381"/>
    <n v="7969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1"/>
    <n v="0"/>
    <n v="0"/>
    <n v="0"/>
    <n v="0"/>
    <n v="0"/>
    <n v="0"/>
    <s v="Reserva importada do Sistema TMS. OS: 79691"/>
    <s v="Fornecedor não preenchido! (ACC01)"/>
    <s v="ARGO(TMS)"/>
    <s v="Falta de Fornecedor"/>
    <s v="Campo Fornecedor"/>
    <s v="Dados do Fornecedor"/>
    <s v="Qualidade dos dados"/>
    <s v="KONTIK BUSINESS TRAVEL"/>
  </r>
  <r>
    <n v="22702771"/>
    <n v="23504897"/>
    <s v="ACC01"/>
    <x v="441"/>
    <d v="2025-08-07T18:31:17"/>
    <s v="06 a 08 dias"/>
    <s v="06 a 08 dias"/>
    <s v="5G6GDC"/>
    <s v="TMS"/>
    <s v="ISAIAS ALVES"/>
    <s v="Jessica Soares Teixeira"/>
    <s v="Jessica Soares Teixeira"/>
    <x v="382"/>
    <n v="79890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49"/>
    <n v="0"/>
    <n v="0"/>
    <n v="0"/>
    <n v="0"/>
    <n v="32"/>
    <n v="0"/>
    <s v="Reserva importada do Sistema TMS. OS: 79890"/>
    <s v="Fornecedor não preenchido! (ACC01)"/>
    <s v="ARGO(TMS)"/>
    <s v="Falta de Fornecedor"/>
    <s v="Campo Fornecedor"/>
    <s v="Dados do Fornecedor"/>
    <s v="Qualidade dos dados"/>
    <s v="KONTIK BUSINESS TRAVEL"/>
  </r>
  <r>
    <n v="22687912"/>
    <n v="23491564"/>
    <s v="ACC01"/>
    <x v="442"/>
    <d v="2025-08-05T18:21:14"/>
    <s v="06 a 08 dias"/>
    <s v="06 a 08 dias"/>
    <s v="5F6N7L"/>
    <s v="TMS"/>
    <s v="ADRIANO SILVA"/>
    <s v="BEATRYZ DA SILVA COSTA"/>
    <s v="BEATRYZ DA SILVA COSTA"/>
    <x v="383"/>
    <n v="80263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2"/>
    <n v="0"/>
    <n v="0"/>
    <n v="0"/>
    <n v="0"/>
    <n v="0"/>
    <n v="0"/>
    <s v="Reserva importada do Sistema TMS. OS: 80263"/>
    <s v="Fornecedor não preenchido! (ACC01)"/>
    <s v="ARGO(TMS)"/>
    <s v="Falta de Fornecedor"/>
    <s v="Campo Fornecedor"/>
    <s v="Dados do Fornecedor"/>
    <s v="Sistêmico"/>
    <s v="GRUPO KONTIK"/>
  </r>
  <r>
    <n v="22707641"/>
    <n v="23509095"/>
    <s v="ACC01"/>
    <x v="443"/>
    <d v="2025-08-12T10:50:22"/>
    <s v="0 a 02 dias"/>
    <s v="03 a 05 dias"/>
    <s v="5GT8FV"/>
    <s v="TMS"/>
    <s v="REGINALDO TORRES"/>
    <s v="Leticia Jesus Vital"/>
    <s v="Leticia Jesus Vital"/>
    <x v="384"/>
    <n v="80624"/>
    <s v="-"/>
    <s v="OFF LINE"/>
    <s v="Pagamento direto"/>
    <s v="Pagamento direto"/>
    <s v="Hotel"/>
    <s v="S"/>
    <s v="Grupo Ache"/>
    <s v="Ache Laboratorios Farmaceuticos Sa"/>
    <s v="-"/>
    <s v="-"/>
    <s v="-"/>
    <s v="KON-OPE-SAO-PVI-ACHE"/>
    <s v="-"/>
    <x v="353"/>
    <n v="0"/>
    <n v="0"/>
    <n v="0"/>
    <n v="0"/>
    <n v="0"/>
    <n v="0"/>
    <s v="Reserva importada do Sistema TMS. OS: 80624"/>
    <s v="Fornecedor não preenchido! (ACC01)"/>
    <s v="ARGO(TMS)"/>
    <s v="Falta de Fornecedor"/>
    <s v="Campo Fornecedor"/>
    <s v="Dados do Fornecedor"/>
    <s v="Qualidade dos dados"/>
    <s v="KONTIK BUSINESS TRAVEL"/>
  </r>
  <r>
    <n v="22733952"/>
    <n v="23531236"/>
    <s v="ACC01"/>
    <x v="444"/>
    <d v="2025-08-13T00:40:41"/>
    <s v="0 a 02 dias"/>
    <s v="0 a 02 dias"/>
    <s v="5GMQWO"/>
    <s v="TMS"/>
    <s v="AMANDA ARAUJO"/>
    <s v="Marcia Fernandes de Sousa"/>
    <s v="Marcia Fernandes de Sousa"/>
    <x v="385"/>
    <n v="21963"/>
    <s v="Rio de Janeiro / RJ, Brasil (RIO)"/>
    <s v="OFF LINE"/>
    <s v="Invoice"/>
    <s v="Faturado"/>
    <s v="Carro"/>
    <s v="N"/>
    <s v="Grupo Taesa"/>
    <s v="Etau"/>
    <s v="-"/>
    <s v="-"/>
    <s v="-"/>
    <s v="KON-OPE-RIO-POS-TAESA"/>
    <s v="-"/>
    <x v="354"/>
    <n v="0"/>
    <n v="0"/>
    <n v="0"/>
    <n v="0"/>
    <n v="0"/>
    <n v="0"/>
    <s v="Reserva importada do Sistema TMS. OS: 21963"/>
    <s v="Fornecedor não preenchido! (ACC01)"/>
    <s v="ARGO(TMS)"/>
    <s v="Falta de Fornecedor"/>
    <s v="Campo Fornecedor"/>
    <s v="Dados do Fornecedor"/>
    <s v="Qualidade dos dados"/>
    <s v="KONTIK BUSINESS TRAVEL"/>
  </r>
  <r>
    <n v="22729701"/>
    <n v="23527247"/>
    <s v="ACC01"/>
    <x v="445"/>
    <d v="2025-08-13T06:10:21"/>
    <s v="0 a 02 dias"/>
    <s v="0 a 02 dias"/>
    <s v="5GC6ZK"/>
    <s v="TMS"/>
    <s v="RENATO OLIVEIRA AGUIAR"/>
    <s v="Felipe Aparecido da Silva Neves"/>
    <s v="Marcia Fernandes de Sousa"/>
    <x v="386"/>
    <n v="22299"/>
    <s v="-"/>
    <s v="OFF LINE"/>
    <s v="Invoice"/>
    <s v="Faturado"/>
    <s v="Serviço"/>
    <s v="N"/>
    <s v="Grupo Taesa"/>
    <s v="Ate 2 - Ate Ii Transmissora de Energia"/>
    <s v="-"/>
    <s v="-"/>
    <s v="-"/>
    <s v="KON-OPE-RIO-POS-TAESA"/>
    <s v="-"/>
    <x v="355"/>
    <n v="0"/>
    <n v="0"/>
    <n v="0"/>
    <n v="0"/>
    <n v="0"/>
    <n v="0"/>
    <s v="Reserva importada do Sistema TMS. OS: 22299"/>
    <s v="Fornecedor não preenchido! (ACC01)"/>
    <s v="ARGO(TMS)"/>
    <s v="Falta de Fornecedor"/>
    <s v="Campo Fornecedor"/>
    <s v="Dados do Fornecedor"/>
    <s v="Qualidade dos dados"/>
    <s v="KONTIK BUSINESS TRAVEL"/>
  </r>
  <r>
    <n v="22688697"/>
    <n v="23492340"/>
    <s v="ACC01"/>
    <x v="446"/>
    <d v="2025-08-05T19:04:13"/>
    <s v="06 a 08 dias"/>
    <s v="06 a 08 dias"/>
    <s v="GAQTUR2"/>
    <s v="TMS"/>
    <s v="JORGE TEIXEIRA LOURENCO"/>
    <s v="Michelly Andrade Leandro da Silva"/>
    <s v="Michelly Andrade Leandro da Silva"/>
    <x v="387"/>
    <n v="21209"/>
    <s v="-"/>
    <s v="ON LINE"/>
    <s v="Cartão de crédito"/>
    <s v="Cartão AMEX"/>
    <s v="Aéreo"/>
    <s v="N"/>
    <s v="Grupo Taesa"/>
    <s v="Sao Pedro"/>
    <s v="-"/>
    <s v="Gol Linhas Aereas"/>
    <n v="2142011770"/>
    <s v="KON-OPE-RIO-POS-TAESA"/>
    <s v="-"/>
    <x v="356"/>
    <n v="0"/>
    <n v="0"/>
    <n v="0"/>
    <n v="0"/>
    <n v="0"/>
    <n v="0"/>
    <s v="Reserva importada do Sistema TMS. OS: 21209"/>
    <s v="Verificação de bilhetes: Bilhete 2142011770 já sendo utilizado para este fornecedor."/>
    <s v="ARGO(TMS)"/>
    <s v="Bilhete duplicado"/>
    <s v="Bilhete Já Contabilizado"/>
    <s v="Duplicidade de Contabilização"/>
    <s v="Qualidade dos dados"/>
    <s v="GRUPO KONTIK"/>
  </r>
  <r>
    <n v="22733949"/>
    <n v="23531233"/>
    <s v="ACC01"/>
    <x v="447"/>
    <d v="2025-08-13T00:36:26"/>
    <s v="0 a 02 dias"/>
    <s v="0 a 02 dias"/>
    <s v="5GUPSO"/>
    <s v="TMS"/>
    <s v="LUDMILLA LIMA COUTO LOUBACK"/>
    <s v="Tms"/>
    <s v="Tms"/>
    <x v="388"/>
    <n v="22317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57"/>
    <n v="0"/>
    <n v="0"/>
    <n v="0"/>
    <n v="0"/>
    <n v="0"/>
    <n v="0"/>
    <s v="Reserva importada do Sistema TMS. OS: 22317"/>
    <s v="Fornecedor não preenchido! (ACC01)"/>
    <s v="ARGO(TMS)"/>
    <s v="Falta de Fornecedor"/>
    <s v="Campo Fornecedor"/>
    <s v="Dados do Fornecedor"/>
    <s v="Sistêmico"/>
    <s v="GRUPO KONTIK"/>
  </r>
  <r>
    <n v="22726989"/>
    <n v="23525065"/>
    <s v="ACC01"/>
    <x v="448"/>
    <d v="2025-08-12T00:41:14"/>
    <s v="0 a 02 dias"/>
    <s v="0 a 02 dias"/>
    <s v="5G9PY7"/>
    <s v="TMS"/>
    <s v="SANDRO DA CRUZ"/>
    <s v="Tms"/>
    <s v="Tms"/>
    <x v="389"/>
    <n v="22306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58"/>
    <n v="0"/>
    <n v="0"/>
    <n v="0"/>
    <n v="0"/>
    <n v="208"/>
    <n v="0"/>
    <s v="Reserva importada do Sistema TMS. OS: 22306"/>
    <s v="Fornecedor não preenchido! (ACC01)"/>
    <s v="ARGO(TMS)"/>
    <s v="Falta de Fornecedor"/>
    <s v="Campo Fornecedor"/>
    <s v="Dados do Fornecedor"/>
    <s v="Sistêmico"/>
    <s v="GRUPO KONTIK"/>
  </r>
  <r>
    <n v="22726990"/>
    <n v="23525066"/>
    <s v="ACC01"/>
    <x v="449"/>
    <d v="2025-08-12T00:41:15"/>
    <s v="0 a 02 dias"/>
    <s v="0 a 02 dias"/>
    <s v="5GBZ6U"/>
    <s v="TMS"/>
    <s v="FREDERICO DA FONSECA"/>
    <s v="Tms"/>
    <s v="Tms"/>
    <x v="390"/>
    <n v="22305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58"/>
    <n v="0"/>
    <n v="0"/>
    <n v="0"/>
    <n v="0"/>
    <n v="208"/>
    <n v="0"/>
    <s v="Reserva importada do Sistema TMS. OS: 22305"/>
    <s v="Fornecedor não preenchido! (ACC01)"/>
    <s v="ARGO(TMS)"/>
    <s v="Falta de Fornecedor"/>
    <s v="Campo Fornecedor"/>
    <s v="Dados do Fornecedor"/>
    <s v="Sistêmico"/>
    <s v="GRUPO KONTIK"/>
  </r>
  <r>
    <n v="22726991"/>
    <n v="23525067"/>
    <s v="ACC01"/>
    <x v="450"/>
    <d v="2025-08-12T00:41:15"/>
    <s v="0 a 02 dias"/>
    <s v="0 a 02 dias"/>
    <s v="5GAQ6J"/>
    <s v="TMS"/>
    <s v="JORGE BRAGA JUNIOR"/>
    <s v="Tms"/>
    <s v="Tms"/>
    <x v="389"/>
    <n v="22304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58"/>
    <n v="0"/>
    <n v="0"/>
    <n v="0"/>
    <n v="0"/>
    <n v="208"/>
    <n v="0"/>
    <s v="Reserva importada do Sistema TMS. OS: 22304"/>
    <s v="Fornecedor não preenchido! (ACC01)"/>
    <s v="ARGO(TMS)"/>
    <s v="Falta de Fornecedor"/>
    <s v="Campo Fornecedor"/>
    <s v="Dados do Fornecedor"/>
    <s v="Sistêmico"/>
    <s v="GRUPO KONTIK"/>
  </r>
  <r>
    <n v="22726997"/>
    <n v="23525073"/>
    <s v="ACC01"/>
    <x v="451"/>
    <d v="2025-08-12T00:41:15"/>
    <s v="0 a 02 dias"/>
    <s v="0 a 02 dias"/>
    <s v="5GCAHU"/>
    <s v="TMS"/>
    <s v="ALESSANDRO MACEDO"/>
    <s v="Tms"/>
    <s v="Tms"/>
    <x v="391"/>
    <n v="22271"/>
    <s v="-"/>
    <s v="ON LINE"/>
    <s v="Cartão de crédito"/>
    <s v="Cartão de crédito"/>
    <s v="Hotel"/>
    <s v="N"/>
    <s v="Grupo Taesa"/>
    <s v="Ananai"/>
    <s v="-"/>
    <s v="-"/>
    <s v="-"/>
    <s v="KON-OPE-RIO-POS-TAESA"/>
    <s v="-"/>
    <x v="359"/>
    <n v="0"/>
    <n v="0"/>
    <n v="0"/>
    <n v="0"/>
    <n v="4.32"/>
    <n v="0"/>
    <s v="Reserva importada do Sistema TMS. OS: 22271"/>
    <s v="Fornecedor não preenchido! (ACC01)"/>
    <s v="ARGO(TMS)"/>
    <s v="Falta de Fornecedor"/>
    <s v="Campo Fornecedor"/>
    <s v="Dados do Fornecedor"/>
    <s v="Sistêmico"/>
    <s v="GRUPO KONTIK"/>
  </r>
  <r>
    <n v="22683082"/>
    <n v="23487429"/>
    <s v="ACC01"/>
    <x v="452"/>
    <d v="2025-08-05T00:40:30"/>
    <s v="06 a 08 dias"/>
    <s v="06 a 08 dias"/>
    <s v="5FH4I8"/>
    <s v="TMS"/>
    <s v="EDUARDO RODRIGUES"/>
    <s v="Tms"/>
    <s v="Tms"/>
    <x v="392"/>
    <n v="4698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360"/>
    <n v="0"/>
    <n v="0"/>
    <n v="0"/>
    <n v="0"/>
    <n v="81.44"/>
    <n v="0"/>
    <s v="Reserva importada do Sistema TMS. OS: 4698"/>
    <s v="Fornecedor não preenchido! (ACC01)"/>
    <s v="ARGO(TMS)"/>
    <s v="Falta de Fornecedor"/>
    <s v="Campo Fornecedor"/>
    <s v="Dados do Fornecedor"/>
    <s v="Qualidade dos dados"/>
    <s v="KONTIK BUSINESS TRAVEL"/>
  </r>
  <r>
    <n v="22690270"/>
    <n v="23493788"/>
    <s v="ACC01"/>
    <x v="453"/>
    <d v="2025-08-06T00:16:34"/>
    <s v="06 a 08 dias"/>
    <s v="06 a 08 dias"/>
    <s v="5G05F0"/>
    <s v="TMS"/>
    <s v="THIAGO LUIS SOMBRA"/>
    <s v="Jennifer dos Santos Guedes de Oliveira"/>
    <s v="Jennifer dos Santos Guedes de Oliveira"/>
    <x v="393"/>
    <n v="4723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361"/>
    <n v="0"/>
    <n v="0"/>
    <n v="0"/>
    <n v="0"/>
    <n v="81.7"/>
    <n v="0"/>
    <s v="Reserva importada do Sistema TMS. OS: 4723"/>
    <s v="Fornecedor não preenchido! (ACC01)"/>
    <s v="ARGO(TMS)"/>
    <s v="Falta de Fornecedor"/>
    <s v="Campo Fornecedor"/>
    <s v="Dados do Fornecedor"/>
    <s v="Qualidade dos dados"/>
    <s v="KONTIK BUSINESS TRAVEL"/>
  </r>
  <r>
    <n v="22695828"/>
    <n v="23498680"/>
    <s v="ACC01"/>
    <x v="454"/>
    <d v="2025-08-06T19:06:01"/>
    <s v="06 a 08 dias"/>
    <s v="06 a 08 dias"/>
    <s v="5G958Z"/>
    <s v="TMS"/>
    <s v="FERNANDO NEUSTEIN"/>
    <s v="Jennifer dos Santos Guedes de Oliveira"/>
    <s v="Jennifer dos Santos Guedes de Oliveira"/>
    <x v="394"/>
    <n v="4744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362"/>
    <n v="0"/>
    <n v="0"/>
    <n v="0"/>
    <n v="0"/>
    <n v="81.11"/>
    <n v="0"/>
    <s v="Reserva importada do Sistema TMS. OS: 4744"/>
    <s v="Fornecedor não preenchido! (ACC01)"/>
    <s v="ARGO(TMS)"/>
    <s v="Falta de Fornecedor"/>
    <s v="Campo Fornecedor"/>
    <s v="Dados do Fornecedor"/>
    <s v="Qualidade dos dados"/>
    <s v="KONTIK BUSINESS TRAVEL"/>
  </r>
  <r>
    <n v="22726907"/>
    <n v="23524993"/>
    <s v="ACC01"/>
    <x v="455"/>
    <d v="2025-08-12T00:35:22"/>
    <s v="0 a 02 dias"/>
    <s v="0 a 02 dias"/>
    <s v="5GF7G7"/>
    <s v="TMS"/>
    <s v="ALEXANDRO MARCELO FRANCISCO"/>
    <s v="Tms"/>
    <s v="Tms"/>
    <x v="395"/>
    <n v="39486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7"/>
    <n v="0"/>
    <n v="0"/>
    <n v="0"/>
    <n v="0"/>
    <n v="65.150000000000006"/>
    <n v="0"/>
    <s v="Reserva importada do Sistema TMS. OS: 39486"/>
    <s v="Fornecedor não preenchido! (ACC01)"/>
    <s v="ARGO(TMS)"/>
    <s v="Falta de Fornecedor"/>
    <s v="Campo Fornecedor"/>
    <s v="Dados do Fornecedor"/>
    <s v="Sistêmico"/>
    <s v="GRUPO KONTIK"/>
  </r>
  <r>
    <n v="22729528"/>
    <n v="23527080"/>
    <s v="ACC01"/>
    <x v="456"/>
    <d v="2025-08-12T13:01:07"/>
    <s v="0 a 02 dias"/>
    <s v="0 a 02 dias"/>
    <s v="5GF6BK"/>
    <s v="TMS"/>
    <s v="LUCAS GABRIEL JULIAO"/>
    <s v="Tms"/>
    <s v="Tms"/>
    <x v="3"/>
    <n v="39500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363"/>
    <n v="0"/>
    <n v="0"/>
    <n v="0"/>
    <n v="0"/>
    <n v="5.34"/>
    <n v="0"/>
    <s v="Reserva importada do Sistema TMS. OS: 39500"/>
    <s v="Fornecedor não preenchido! (ACC01)"/>
    <s v="ARGO(TMS)"/>
    <s v="Falta de Fornecedor"/>
    <s v="Campo Fornecedor"/>
    <s v="Dados do Fornecedor"/>
    <s v="Sistêmico"/>
    <s v="GRUPO KONTIK"/>
  </r>
  <r>
    <n v="22729530"/>
    <n v="23527081"/>
    <s v="ACC01"/>
    <x v="457"/>
    <d v="2025-08-12T13:01:07"/>
    <s v="0 a 02 dias"/>
    <s v="0 a 02 dias"/>
    <s v="5GY60K"/>
    <s v="TMS"/>
    <s v="MATHEUS RAMOS"/>
    <s v="Tms"/>
    <s v="Tms"/>
    <x v="3"/>
    <n v="39499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363"/>
    <n v="0"/>
    <n v="0"/>
    <n v="0"/>
    <n v="0"/>
    <n v="5.34"/>
    <n v="0"/>
    <s v="Reserva importada do Sistema TMS. OS: 39499"/>
    <s v="Fornecedor não preenchido! (ACC01)"/>
    <s v="ARGO(TMS)"/>
    <s v="Falta de Fornecedor"/>
    <s v="Campo Fornecedor"/>
    <s v="Dados do Fornecedor"/>
    <s v="Sistêmico"/>
    <s v="GRUPO KONTIK"/>
  </r>
  <r>
    <n v="22729531"/>
    <n v="23527082"/>
    <s v="ACC01"/>
    <x v="458"/>
    <d v="2025-08-12T13:01:08"/>
    <s v="0 a 02 dias"/>
    <s v="0 a 02 dias"/>
    <s v="5GU6PK"/>
    <s v="TMS"/>
    <s v="ARIEL ANTUNES TEIXEIRA"/>
    <s v="Tms"/>
    <s v="Tms"/>
    <x v="3"/>
    <n v="39498"/>
    <s v="-"/>
    <s v="ON LINE"/>
    <s v="Cartão de crédito"/>
    <s v="Cartão de crédito"/>
    <s v="Hotel"/>
    <s v="N"/>
    <s v="Grupo Motiva"/>
    <s v="Prvias"/>
    <s v="-"/>
    <s v="-"/>
    <s v="-"/>
    <s v="KON-OPE-SAO-PVI-CCR"/>
    <s v="-"/>
    <x v="363"/>
    <n v="0"/>
    <n v="0"/>
    <n v="0"/>
    <n v="0"/>
    <n v="5.34"/>
    <n v="0"/>
    <s v="Reserva importada do Sistema TMS. OS: 39498"/>
    <s v="Fornecedor não preenchido! (ACC01)"/>
    <s v="ARGO(TMS)"/>
    <s v="Falta de Fornecedor"/>
    <s v="Campo Fornecedor"/>
    <s v="Dados do Fornecedor"/>
    <s v="Sistêmico"/>
    <s v="GRUPO KONTIK"/>
  </r>
  <r>
    <n v="22729532"/>
    <n v="23527084"/>
    <s v="ACC01"/>
    <x v="459"/>
    <d v="2025-08-12T13:01:09"/>
    <s v="0 a 02 dias"/>
    <s v="0 a 02 dias"/>
    <s v="5GNHPI"/>
    <s v="TMS"/>
    <s v="LEANDRO JUNIOR DA CRUZ NOBRE"/>
    <s v="Tms"/>
    <s v="Tms"/>
    <x v="396"/>
    <n v="39497"/>
    <s v="Campinas / VCP"/>
    <s v="ON LINE"/>
    <s v="Invoice"/>
    <s v="Faturado"/>
    <s v="Carro"/>
    <s v="N"/>
    <s v="Grupo Motiva"/>
    <s v="Motiva Filial"/>
    <s v="-"/>
    <s v="-"/>
    <s v="-"/>
    <s v="KON-OPE-SAO-PVI-CCR"/>
    <s v="-"/>
    <x v="364"/>
    <n v="0"/>
    <n v="0"/>
    <n v="0"/>
    <n v="0"/>
    <n v="0"/>
    <n v="0"/>
    <s v="Reserva importada do Sistema TMS. OS: 39497"/>
    <s v="Fornecedor não preenchido! (ACC01)"/>
    <s v="ARGO(TMS)"/>
    <s v="Falta de Fornecedor"/>
    <s v="Campo Fornecedor"/>
    <s v="Dados do Fornecedor"/>
    <s v="Qualidade dos dados"/>
    <s v="KONTIK BUSINESS TRAVEL"/>
  </r>
  <r>
    <n v="22734744"/>
    <n v="23531713"/>
    <s v="ACC01"/>
    <x v="460"/>
    <d v="2025-08-13T06:05:27"/>
    <s v="0 a 02 dias"/>
    <s v="0 a 02 dias"/>
    <s v="5G87WN"/>
    <s v="TMS"/>
    <s v="ALEXANDRO MARCELO FRANCISCO"/>
    <s v="Tms"/>
    <s v="Tms"/>
    <x v="397"/>
    <n v="39627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65"/>
    <n v="0"/>
    <n v="0"/>
    <n v="0"/>
    <n v="0"/>
    <n v="248.6"/>
    <n v="0"/>
    <s v="Reserva importada do Sistema TMS. OS: 39627"/>
    <s v="Fornecedor não preenchido! (ACC01)"/>
    <s v="ARGO(TMS)"/>
    <s v="Falta de Fornecedor"/>
    <s v="Campo Fornecedor"/>
    <s v="Dados do Fornecedor"/>
    <s v="Sistêmico"/>
    <s v="GRUPO KONTIK"/>
  </r>
  <r>
    <n v="22585270"/>
    <n v="23406972"/>
    <s v="ACC01"/>
    <x v="461"/>
    <d v="2025-08-04T13:10:19"/>
    <s v="09 a 15 dias"/>
    <s v="24 a 31 dias"/>
    <s v="5DY96L"/>
    <s v="TMS"/>
    <s v="LUIS ANTONIO GONCALVES"/>
    <s v="Tms"/>
    <s v="Tms"/>
    <x v="398"/>
    <n v="37762"/>
    <s v="-"/>
    <s v="ON LINE"/>
    <s v="Invoice"/>
    <s v="Faturado"/>
    <s v="Hotel"/>
    <s v="S"/>
    <s v="Grupo Motiva"/>
    <s v="Motiva Filial"/>
    <s v="-"/>
    <s v="Mercure Curitiba Sete de Setembro Inativo"/>
    <s v="-"/>
    <s v="KON-OPE-SAO-PVI-CCR"/>
    <s v="-"/>
    <x v="366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s v="ARGO(TMS)"/>
    <s v="Contrato de fornecedor"/>
    <s v="Análise Cadastro"/>
    <s v="Dados do Fornecedor"/>
    <s v="Qualidade dos dados"/>
    <s v="KONTIK BUSINESS TRAVEL"/>
  </r>
  <r>
    <n v="22543021"/>
    <n v="23369176"/>
    <s v="ACC01"/>
    <x v="462"/>
    <d v="2025-07-10T12:40:29"/>
    <s v="31 dias ou +"/>
    <s v="31 dias ou +"/>
    <s v="5C5569"/>
    <s v="TMS"/>
    <s v="FELIPE DELMIRO PEREIRA"/>
    <s v="Tms"/>
    <s v="Tms"/>
    <x v="399"/>
    <n v="36965"/>
    <s v="Araucaria / CWB"/>
    <s v="ON LINE"/>
    <s v="Invoice"/>
    <s v="Faturado"/>
    <s v="Carro"/>
    <s v="N"/>
    <s v="Grupo Motiva"/>
    <s v="Bloco Sul"/>
    <s v="-"/>
    <s v="-"/>
    <s v="-"/>
    <s v="KON-OPE-SAO-PVI-CCR"/>
    <s v="-"/>
    <x v="367"/>
    <n v="0"/>
    <n v="0"/>
    <n v="0"/>
    <n v="0"/>
    <n v="0"/>
    <n v="0"/>
    <s v="Reserva importada do Sistema TMS. OS: 36965"/>
    <s v="Fornecedor não preenchido! (ACC01)"/>
    <s v="ARGO(TMS)"/>
    <s v="Falta de Fornecedor"/>
    <s v="Campo Fornecedor"/>
    <s v="Dados do Fornecedor"/>
    <s v="Qualidade dos dados"/>
    <s v="KONTIK BUSINESS TRAVEL"/>
  </r>
  <r>
    <n v="22730305"/>
    <n v="23527819"/>
    <s v="ACC01"/>
    <x v="463"/>
    <d v="2025-08-12T14:25:46"/>
    <s v="0 a 02 dias"/>
    <s v="0 a 02 dias"/>
    <s v="53S3O8.F2"/>
    <s v="MANUAL"/>
    <s v="FRANCIELE MARIA HOENIG QUADROS"/>
    <s v="Valeria Bottino da Silva"/>
    <s v="Valeria Bottino da Silva"/>
    <x v="400"/>
    <n v="30855"/>
    <s v="Porto Alegre / RS, Brasil (POA)"/>
    <s v="OFF LINE"/>
    <s v="Invoice"/>
    <s v="Faturado"/>
    <s v="Carro"/>
    <s v="N"/>
    <s v="Grupo Motiva"/>
    <s v="Viasul"/>
    <s v="-"/>
    <s v="Movida - Br - Rs - Porto Alegre - Sao Joao"/>
    <s v="-"/>
    <s v="KON-OPE-SAO-PVI-CCR"/>
    <s v="-"/>
    <x v="368"/>
    <n v="0"/>
    <n v="0"/>
    <n v="0"/>
    <n v="0"/>
    <n v="0"/>
    <n v="0"/>
    <s v="Reserva importada do Sistema TMS. OS: 30855"/>
    <s v="Pnr já existente. A duplicidade de rloc é permitida apenas 6 meses após o último pnr emitido"/>
    <s v="MANUAL"/>
    <s v="Duplicidade de RLOC"/>
    <s v="Campo RLOC"/>
    <s v="Duplicidade de Contabilização"/>
    <s v="Qualidade dos dados"/>
    <s v="KONTIK BUSINESS TRAVEL"/>
  </r>
  <r>
    <n v="22651123"/>
    <n v="23460705"/>
    <s v="ACC01"/>
    <x v="464"/>
    <d v="2025-07-30T13:06:39"/>
    <s v="09 a 15 dias"/>
    <s v="09 a 15 dias"/>
    <s v="5F2WCX"/>
    <s v="TMS"/>
    <s v="DIOGO ALVES RIOS"/>
    <s v="Catia Leite Oliveira"/>
    <s v="Catia Leite Oliveira"/>
    <x v="401"/>
    <n v="38484"/>
    <s v="-"/>
    <s v="OFF LINE"/>
    <s v="Invoice"/>
    <s v="Faturado"/>
    <s v="Serviço"/>
    <s v="N"/>
    <s v="Grupo Motiva"/>
    <s v="Motiva Matriz"/>
    <s v="-"/>
    <s v="-"/>
    <s v="-"/>
    <s v="KON-OPE-SAO-PVI-CCR"/>
    <s v="-"/>
    <x v="369"/>
    <n v="0"/>
    <n v="0"/>
    <n v="0"/>
    <n v="0"/>
    <n v="0"/>
    <n v="0"/>
    <s v="Reserva importada do Sistema TMS. OS: 38484"/>
    <s v="Fornecedor não preenchido! (ACC01)"/>
    <s v="ARGO(TMS)"/>
    <s v="Falta de Fornecedor"/>
    <s v="Campo Fornecedor"/>
    <s v="Dados do Fornecedor"/>
    <s v="Qualidade dos dados"/>
    <s v="KONTIK BUSINESS TRAVEL"/>
  </r>
  <r>
    <n v="22647132"/>
    <n v="23457207"/>
    <s v="ACC01"/>
    <x v="465"/>
    <d v="2025-07-29T23:41:24"/>
    <s v="09 a 15 dias"/>
    <s v="09 a 15 dias"/>
    <s v="5FTJTA"/>
    <s v="TMS"/>
    <s v="FERNAO CAMARGO"/>
    <s v="Flavio Roberto Ferreira"/>
    <s v="Flavio Roberto Ferreira"/>
    <x v="402"/>
    <n v="38477"/>
    <s v="-"/>
    <s v="OFF LINE"/>
    <s v="Invoice"/>
    <s v="Faturado"/>
    <s v="Serviço"/>
    <s v="N"/>
    <s v="Grupo Motiva"/>
    <s v="Motiva Matriz"/>
    <s v="-"/>
    <s v="-"/>
    <s v="-"/>
    <s v="KON-OPE-SAO-PVI-CCR"/>
    <s v="-"/>
    <x v="370"/>
    <n v="0"/>
    <n v="0"/>
    <n v="0"/>
    <n v="0"/>
    <n v="0"/>
    <n v="0"/>
    <s v="Reserva importada do Sistema TMS. OS: 38477"/>
    <s v="Fornecedor não preenchido! (ACC01)"/>
    <s v="ARGO(TMS)"/>
    <s v="Falta de Fornecedor"/>
    <s v="Campo Fornecedor"/>
    <s v="Dados do Fornecedor"/>
    <s v="Qualidade dos dados"/>
    <s v="KONTIK BUSINESS TRAVEL"/>
  </r>
  <r>
    <n v="22627061"/>
    <n v="23441593"/>
    <s v="ACC01"/>
    <x v="466"/>
    <d v="2025-07-25T19:06:04"/>
    <s v="16 a 23 dias"/>
    <s v="16 a 23 dias"/>
    <s v="5EJS4K"/>
    <s v="TMS"/>
    <s v="FERNAO CAMARGO"/>
    <s v="Flavio Roberto Ferreira"/>
    <s v="Flavio Roberto Ferreira"/>
    <x v="403"/>
    <n v="38265"/>
    <s v="-"/>
    <s v="OFF LINE"/>
    <s v="Invoice"/>
    <s v="Faturado"/>
    <s v="Serviço"/>
    <s v="N"/>
    <s v="Grupo Motiva"/>
    <s v="Motiva Matriz"/>
    <s v="-"/>
    <s v="-"/>
    <s v="-"/>
    <s v="KON-OPE-SAO-PVI-CCR"/>
    <s v="-"/>
    <x v="371"/>
    <n v="0"/>
    <n v="0"/>
    <n v="0"/>
    <n v="0"/>
    <n v="0"/>
    <n v="0"/>
    <s v="Reserva importada do Sistema TMS. OS: 38265"/>
    <s v="Fornecedor não preenchido! (ACC01)"/>
    <s v="ARGO(TMS)"/>
    <s v="Falta de Fornecedor"/>
    <s v="Campo Fornecedor"/>
    <s v="Dados do Fornecedor"/>
    <s v="Qualidade dos dados"/>
    <s v="KONTIK BUSINESS TRAVEL"/>
  </r>
  <r>
    <n v="22732667"/>
    <n v="23530095"/>
    <s v="ACC01"/>
    <x v="467"/>
    <d v="2025-08-12T20:31:56"/>
    <s v="0 a 02 dias"/>
    <s v="0 a 02 dias"/>
    <s v="5GGQBN"/>
    <s v="TMS"/>
    <s v="ARTHUR SILVA"/>
    <s v="Tms"/>
    <s v="Tms"/>
    <x v="404"/>
    <n v="25782"/>
    <s v="Belo Horizonte / BHZ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72"/>
    <n v="0"/>
    <n v="0"/>
    <n v="0"/>
    <n v="0"/>
    <n v="0"/>
    <n v="0"/>
    <s v="Reserva importada do Sistema TMS. OS: 25782"/>
    <s v="Fornecedor não preenchido! (ACC01)"/>
    <s v="ARGO(TMS)"/>
    <s v="Falta de Fornecedor"/>
    <s v="Campo Fornecedor"/>
    <s v="Dados do Fornecedor"/>
    <s v="Qualidade dos dados"/>
    <s v="KONTIK BUSINESS TRAVEL"/>
  </r>
  <r>
    <n v="22708215"/>
    <n v="23509652"/>
    <s v="ACC01"/>
    <x v="468"/>
    <d v="2025-08-08T13:16:42"/>
    <s v="03 a 05 dias"/>
    <s v="03 a 05 dias"/>
    <s v="5GK6U4"/>
    <s v="TMS"/>
    <s v="ABNER FRANCISCO LAUXEN"/>
    <s v="Ana Paula Salgado de Oliveira"/>
    <s v="Ana Paula Salgado de Oliveira"/>
    <x v="405"/>
    <n v="25308"/>
    <s v="-"/>
    <s v="OFF LINE"/>
    <s v="Invoice"/>
    <s v="Faturado"/>
    <s v="Hotel"/>
    <s v="N"/>
    <s v="Grupo Uol"/>
    <s v="Colt - Compass. Uol Tecnologia"/>
    <s v="-"/>
    <s v="-"/>
    <s v="-"/>
    <s v="KON-OPE-RIO-PVI-UOL"/>
    <s v="-"/>
    <x v="373"/>
    <n v="0"/>
    <n v="0"/>
    <n v="0"/>
    <n v="0"/>
    <n v="0"/>
    <n v="0"/>
    <s v="Reserva importada do Sistema TMS. OS: 25308"/>
    <s v="Fornecedor não preenchido! (ACC01)"/>
    <s v="ARGO(TMS)"/>
    <s v="Falta de Fornecedor"/>
    <s v="Campo Fornecedor"/>
    <s v="Dados do Fornecedor"/>
    <s v="Qualidade dos dados"/>
    <s v="KONTIK BUSINESS TRAVEL"/>
  </r>
  <r>
    <n v="22688920"/>
    <n v="23492546"/>
    <s v="ACC01"/>
    <x v="469"/>
    <d v="2025-08-05T20:25:45"/>
    <s v="06 a 08 dias"/>
    <s v="06 a 08 dias"/>
    <s v="5GZZCP"/>
    <s v="TMS"/>
    <s v="FRANCISCO BATISTA"/>
    <s v="NATALIA BARRAL DE OLIVEIRA"/>
    <s v="NATALIA BARRAL DE OLIVEIRA"/>
    <x v="406"/>
    <n v="24266"/>
    <s v="-"/>
    <s v="OFF LINE"/>
    <s v="Cartão de crédito"/>
    <s v="Cartão de crédito"/>
    <s v="Hotel"/>
    <s v="N"/>
    <s v="Grupo Uol"/>
    <s v="Pagseguro Internet Instituicao de Pagamento S.a."/>
    <s v="-"/>
    <s v="-"/>
    <s v="-"/>
    <s v="KON-OPE-RIO-PVI-UOL"/>
    <s v="-"/>
    <x v="374"/>
    <n v="0"/>
    <n v="0"/>
    <n v="0"/>
    <n v="0"/>
    <n v="0"/>
    <n v="0"/>
    <s v="Reserva importada do Sistema TMS. OS: 24266"/>
    <s v="Fornecedor não preenchido! (ACC01)"/>
    <s v="ARGO(TMS)"/>
    <s v="Falta de Fornecedor"/>
    <s v="Campo Fornecedor"/>
    <s v="Dados do Fornecedor"/>
    <s v="Qualidade dos dados"/>
    <s v="KONTIK BUSINESS TRAVEL"/>
  </r>
  <r>
    <n v="22730512"/>
    <n v="23527997"/>
    <s v="ACC01"/>
    <x v="470"/>
    <d v="2025-08-13T03:33:40"/>
    <s v="0 a 02 dias"/>
    <s v="0 a 02 dias"/>
    <s v="H/4580264"/>
    <s v="GOVER"/>
    <s v="Saulo Pimentel dos Santos"/>
    <s v="Francisca Maria Mangueira"/>
    <s v="Francisca Maria Mangueira"/>
    <x v="0"/>
    <n v="4580264"/>
    <s v="-"/>
    <s v="OFF LINE"/>
    <s v="Pagamento direto"/>
    <s v="Pagamento direto"/>
    <s v="Hotel"/>
    <s v="N"/>
    <s v="Grupo British American Tobacco"/>
    <s v="Souza Cruz"/>
    <s v="-"/>
    <s v="-"/>
    <s v="-"/>
    <s v="FCM-OPE-SAO-PVI-BAT"/>
    <s v="-"/>
    <x v="221"/>
    <n v="0"/>
    <n v="0"/>
    <n v="0"/>
    <n v="0"/>
    <n v="0"/>
    <n v="0"/>
    <s v="Reserva importada do sistema Gover. Id: 4580264"/>
    <s v="Fornecedor não preenchido! (ACC01)"/>
    <s v="GOVER"/>
    <s v="Falta de Fornecedor"/>
    <s v="Campo Fornecedor"/>
    <s v="Dados do Fornecedor"/>
    <s v="Sistêmico"/>
    <s v="GRUPO KONTIK"/>
  </r>
  <r>
    <n v="22625813"/>
    <n v="23440422"/>
    <s v="ACC01"/>
    <x v="471"/>
    <d v="2025-07-30T08:14:30"/>
    <s v="09 a 15 dias"/>
    <s v="16 a 23 dias"/>
    <n v="19314360"/>
    <s v="GOVER"/>
    <s v="Renata Vanni de Lima"/>
    <s v="Gover"/>
    <s v="Gover"/>
    <x v="407"/>
    <n v="4572443"/>
    <s v="-"/>
    <s v="ON LINE"/>
    <s v="Cartão de crédito"/>
    <s v="Cartão de crédito"/>
    <s v="Hotel"/>
    <s v="N"/>
    <s v="Grupo British American Tobacco"/>
    <s v="Fundacao Albino Souza Cruz"/>
    <s v="-"/>
    <s v="Radisson Oscar Freire"/>
    <s v="-"/>
    <s v="FCM-OPE-SAO-PVI-BAT"/>
    <s v="-"/>
    <x v="375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2731856"/>
    <n v="23529305"/>
    <s v="ACC01"/>
    <x v="472"/>
    <d v="2025-08-13T03:55:53"/>
    <s v="0 a 02 dias"/>
    <s v="0 a 02 dias"/>
    <n v="19538938"/>
    <s v="GOVER"/>
    <s v="Thais Dayane Mueller"/>
    <s v="Gover"/>
    <s v="Gover"/>
    <x v="95"/>
    <n v="4580799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69"/>
    <n v="0"/>
    <n v="0"/>
    <n v="0"/>
    <n v="0"/>
    <n v="0"/>
    <n v="0"/>
    <s v="Reserva importada do sistema Gover. Id: 4580799"/>
    <s v="Fornecedor não preenchido! (ACC01)"/>
    <s v="GOVER"/>
    <s v="Falta de Fornecedor"/>
    <s v="Campo Fornecedor"/>
    <s v="Dados do Fornecedor"/>
    <s v="Sistêmico"/>
    <s v="GRUPO KONTIK"/>
  </r>
  <r>
    <n v="22724278"/>
    <n v="23522520"/>
    <s v="ACC01"/>
    <x v="473"/>
    <d v="2025-08-11T18:09:38"/>
    <s v="0 a 02 dias"/>
    <s v="0 a 02 dias"/>
    <s v="WNOEGST"/>
    <s v="SABRE"/>
    <s v="SILVA/CLEIDE"/>
    <s v="Ana Clara Brime"/>
    <s v="Ana Clara Brime"/>
    <x v="300"/>
    <s v="L9P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4571"/>
    <n v="23522816"/>
    <s v="ACC01"/>
    <x v="474"/>
    <d v="2025-08-11T18:27:51"/>
    <s v="0 a 02 dias"/>
    <s v="0 a 02 dias"/>
    <s v="WRWVCLT"/>
    <s v="SABRE"/>
    <s v="MAIOLI/ALDA"/>
    <s v="Ana Clara Brime"/>
    <s v="Ana Clara Brime"/>
    <x v="408"/>
    <s v="L9P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3585"/>
    <n v="23521868"/>
    <s v="ACC01"/>
    <x v="475"/>
    <d v="2025-08-11T16:30:39"/>
    <s v="0 a 02 dias"/>
    <s v="0 a 02 dias"/>
    <s v="UQINQUT"/>
    <s v="SABRE"/>
    <s v="NEVES/HENRIQUE"/>
    <s v="Ana Clara Brime"/>
    <s v="Ana Clara Brime"/>
    <x v="409"/>
    <s v="LC3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3267"/>
    <n v="23521550"/>
    <s v="ACC01"/>
    <x v="476"/>
    <d v="2025-08-11T15:45:23"/>
    <s v="0 a 02 dias"/>
    <s v="0 a 02 dias"/>
    <s v="FJILYNT"/>
    <s v="SABRE"/>
    <s v="SILVA/MICHELE"/>
    <s v="Ana Clara Brime"/>
    <s v="Ana Clara Brime"/>
    <x v="410"/>
    <s v="L9Y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7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9289"/>
    <n v="23510701"/>
    <s v="ACC01"/>
    <x v="477"/>
    <d v="2025-08-08T16:30:51"/>
    <s v="03 a 05 dias"/>
    <s v="03 a 05 dias"/>
    <s v="GUDHQPT"/>
    <s v="SABRE"/>
    <s v="SOUZA/FLAVIO"/>
    <s v="Ana Clara Brime"/>
    <s v="Ana Clara Brime"/>
    <x v="411"/>
    <s v="L9R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7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1672"/>
    <n v="23520035"/>
    <s v="ACC01"/>
    <x v="478"/>
    <d v="2025-08-11T11:51:10"/>
    <s v="0 a 02 dias"/>
    <s v="0 a 02 dias"/>
    <s v="AGKDXNT"/>
    <s v="SABRE"/>
    <s v="OLIVEIRA/FABRICIO"/>
    <s v="Ana Clara Brime"/>
    <s v="Ana Clara Brime"/>
    <x v="412"/>
    <s v="L9T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7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1672"/>
    <n v="23520036"/>
    <s v="ACC02"/>
    <x v="478"/>
    <d v="2025-08-11T11:51:10"/>
    <s v="0 a 02 dias"/>
    <s v="0 a 02 dias"/>
    <s v="AGKDXNT"/>
    <s v="SABRE"/>
    <s v="OLIVEIRA/FABRICIO"/>
    <s v="Ana Clara Brime"/>
    <s v="Ana Clara Brime"/>
    <x v="412"/>
    <s v="L9T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1672"/>
    <n v="23520037"/>
    <s v="ACC03"/>
    <x v="478"/>
    <d v="2025-08-11T11:51:10"/>
    <s v="0 a 02 dias"/>
    <s v="0 a 02 dias"/>
    <s v="AGKDXNT"/>
    <s v="SABRE"/>
    <s v="OLIVEIRA/FABRICIO"/>
    <s v="Ana Clara Brime"/>
    <s v="Ana Clara Brime"/>
    <x v="412"/>
    <s v="L9T6"/>
    <s v="-"/>
    <s v="OFF LINE"/>
    <s v="Cartão de crédito"/>
    <s v="Cartão de crédito"/>
    <s v="Hotel"/>
    <s v="N"/>
    <s v="Grupo Casas Bahia"/>
    <s v="Grupo Casas Bahia S.a."/>
    <s v="-"/>
    <s v="Hotel Brotas"/>
    <s v="-"/>
    <s v="KON-OPE-RIO-PVI-CASAS BAHIA"/>
    <s v="-"/>
    <x v="38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1736"/>
    <n v="23520099"/>
    <s v="ACC01"/>
    <x v="479"/>
    <d v="2025-08-11T12:00:36"/>
    <s v="0 a 02 dias"/>
    <s v="0 a 02 dias"/>
    <s v="FOHKIPT"/>
    <s v="SABRE"/>
    <s v="SILVA/EDNEIA"/>
    <s v="Ana Clara Brime"/>
    <s v="Ana Clara Brime"/>
    <x v="413"/>
    <s v="L9RV"/>
    <s v="-"/>
    <s v="OFF LINE"/>
    <s v="Cartão de crédito"/>
    <s v="Cartão de crédito"/>
    <s v="Hotel"/>
    <s v="N"/>
    <s v="Grupo Casas Bahia"/>
    <s v="Grupo Casas Bahia S.a."/>
    <s v="-"/>
    <s v="Ibis Petrolina"/>
    <s v="-"/>
    <s v="KON-OPE-RIO-PVI-CASAS BAHIA"/>
    <s v="-"/>
    <x v="382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21736"/>
    <n v="23520100"/>
    <s v="ACC02"/>
    <x v="479"/>
    <d v="2025-08-11T12:00:36"/>
    <s v="0 a 02 dias"/>
    <s v="0 a 02 dias"/>
    <s v="FOHKIPT"/>
    <s v="SABRE"/>
    <s v="SILVA/EDNEIA"/>
    <s v="Ana Clara Brime"/>
    <s v="Ana Clara Brime"/>
    <x v="413"/>
    <s v="L9RV"/>
    <s v="-"/>
    <s v="OFF LINE"/>
    <s v="Cartão de crédito"/>
    <s v="Cartão de crédito"/>
    <s v="Hotel"/>
    <s v="N"/>
    <s v="Grupo Casas Bahia"/>
    <s v="Grupo Casas Bahia S.a."/>
    <s v="-"/>
    <s v="Novoleste Hotel"/>
    <s v="-"/>
    <s v="KON-OPE-RIO-PVI-CASAS BAHIA"/>
    <s v="-"/>
    <x v="136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21736"/>
    <n v="23520101"/>
    <s v="ACC03"/>
    <x v="479"/>
    <d v="2025-08-11T12:00:36"/>
    <s v="0 a 02 dias"/>
    <s v="0 a 02 dias"/>
    <s v="FOHKIPT"/>
    <s v="SABRE"/>
    <s v="SILVA/EDNEIA"/>
    <s v="Ana Clara Brime"/>
    <s v="Ana Clara Brime"/>
    <x v="413"/>
    <s v="L9R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3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22591"/>
    <n v="23520938"/>
    <s v="ACC01"/>
    <x v="480"/>
    <d v="2025-08-11T13:30:25"/>
    <s v="0 a 02 dias"/>
    <s v="0 a 02 dias"/>
    <s v="YKTXOYT"/>
    <s v="SABRE"/>
    <s v="PIRES/FERNANDO"/>
    <s v="Ana Clara Brime"/>
    <s v="Ana Clara Brime"/>
    <x v="414"/>
    <s v="L9T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2276"/>
    <n v="23504414"/>
    <s v="ACC01"/>
    <x v="481"/>
    <d v="2025-08-07T17:15:48"/>
    <s v="06 a 08 dias"/>
    <s v="06 a 08 dias"/>
    <s v="AJOJHOT"/>
    <s v="SABRE"/>
    <s v="FREITAS NETO/JOSE"/>
    <s v="Ana Clara Brime"/>
    <s v="Ana Clara Brime"/>
    <x v="415"/>
    <s v="L9M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9258"/>
    <n v="23501528"/>
    <s v="ACC01"/>
    <x v="482"/>
    <d v="2025-08-07T09:27:13"/>
    <s v="06 a 08 dias"/>
    <s v="06 a 08 dias"/>
    <s v="GFLVWET"/>
    <s v="SABRE"/>
    <s v="BERGELT/LISIA"/>
    <s v="Ana Clara Brime"/>
    <s v="Ana Clara Brime"/>
    <x v="416"/>
    <s v="L9P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00889"/>
    <n v="23503100"/>
    <s v="ACC01"/>
    <x v="483"/>
    <d v="2025-08-07T13:03:24"/>
    <s v="06 a 08 dias"/>
    <s v="06 a 08 dias"/>
    <s v="HHDBPMT"/>
    <s v="SABRE"/>
    <s v="PINHEIRO/ALANA"/>
    <s v="Ana Clara Brime"/>
    <s v="Ana Clara Brime"/>
    <x v="417"/>
    <s v="L9P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94343"/>
    <n v="23497197"/>
    <s v="ACC01"/>
    <x v="484"/>
    <d v="2025-08-06T15:46:09"/>
    <s v="06 a 08 dias"/>
    <s v="06 a 08 dias"/>
    <s v="MGOUWQT"/>
    <s v="SABRE"/>
    <s v="SILVA/WELLINGTON"/>
    <s v="Ana Clara Brime"/>
    <s v="Ana Clara Brime"/>
    <x v="418"/>
    <s v="L9K3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3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1596"/>
    <n v="23461155"/>
    <s v="ACC01"/>
    <x v="485"/>
    <d v="2025-07-30T13:30:32"/>
    <s v="09 a 15 dias"/>
    <s v="09 a 15 dias"/>
    <s v="NINLCFT"/>
    <s v="SABRE"/>
    <s v="JACINTO/ALESSANDRA"/>
    <s v="Ana Clara Brime"/>
    <s v="Ana Clara Brime"/>
    <x v="419"/>
    <s v="L96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4219"/>
    <n v="23454435"/>
    <s v="ACC01"/>
    <x v="486"/>
    <d v="2025-07-29T11:15:50"/>
    <s v="09 a 15 dias"/>
    <s v="09 a 15 dias"/>
    <s v="UATHIXT"/>
    <s v="SABRE"/>
    <s v="MADRUGA/ADENILSON"/>
    <s v="Ana Clara Brime"/>
    <s v="Ana Clara Brime"/>
    <x v="420"/>
    <s v="L96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403"/>
    <n v="23528869"/>
    <s v="ACC01"/>
    <x v="487"/>
    <d v="2025-08-12T18:00:19"/>
    <s v="0 a 02 dias"/>
    <s v="0 a 02 dias"/>
    <s v="ARRLWAT"/>
    <s v="SABRE"/>
    <s v="AREIAS/RONALDO"/>
    <s v="Ana Clara Brime"/>
    <s v="Ana Clara Brime"/>
    <x v="421"/>
    <s v="L9W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311"/>
    <n v="23528785"/>
    <s v="ACC01"/>
    <x v="488"/>
    <d v="2025-08-12T17:42:34"/>
    <s v="0 a 02 dias"/>
    <s v="0 a 02 dias"/>
    <s v="MBVIHBT"/>
    <s v="SABRE"/>
    <s v="BRITO/PRISCILA"/>
    <s v="Ana Clara Brime"/>
    <s v="Ana Clara Brime"/>
    <x v="422"/>
    <s v="L9T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9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313"/>
    <n v="23528787"/>
    <s v="ACC01"/>
    <x v="489"/>
    <d v="2025-08-12T17:42:39"/>
    <s v="0 a 02 dias"/>
    <s v="0 a 02 dias"/>
    <s v="MCEIKNT"/>
    <s v="SABRE"/>
    <s v="SEGATTO/FERNANDO"/>
    <s v="Ana Clara Brime"/>
    <s v="Ana Clara Brime"/>
    <x v="423"/>
    <s v="L9X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1233"/>
    <n v="23528711"/>
    <s v="ACC01"/>
    <x v="490"/>
    <d v="2025-08-12T17:24:45"/>
    <s v="0 a 02 dias"/>
    <s v="0 a 02 dias"/>
    <s v="GZAWRRT"/>
    <s v="SABRE"/>
    <s v="SANTOS/ANDRE"/>
    <s v="Ana Clara Brime"/>
    <s v="Ana Clara Brime"/>
    <x v="424"/>
    <s v="L9RX"/>
    <s v="-"/>
    <s v="OFF LINE"/>
    <s v="Cartão de crédito"/>
    <s v="Cartão de crédito"/>
    <s v="Hotel"/>
    <s v="N"/>
    <s v="Grupo Casas Bahia"/>
    <s v="Grupo Casas Bahia S.a."/>
    <s v="-"/>
    <s v="Go Inn Aracaju"/>
    <s v="-"/>
    <s v="KON-OPE-RIO-PVI-CASAS BAHIA"/>
    <s v="-"/>
    <x v="39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1233"/>
    <n v="23528712"/>
    <s v="ACC02"/>
    <x v="490"/>
    <d v="2025-08-12T17:24:45"/>
    <s v="0 a 02 dias"/>
    <s v="0 a 02 dias"/>
    <s v="GZAWRRT"/>
    <s v="SABRE"/>
    <s v="SANTOS/ANDRE"/>
    <s v="Ana Clara Brime"/>
    <s v="Ana Clara Brime"/>
    <x v="424"/>
    <s v="L9R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0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1233"/>
    <n v="23528713"/>
    <s v="ACC03"/>
    <x v="490"/>
    <d v="2025-08-12T17:24:45"/>
    <s v="0 a 02 dias"/>
    <s v="0 a 02 dias"/>
    <s v="GZAWRRT"/>
    <s v="SABRE"/>
    <s v="SANTOS/ANDRE"/>
    <s v="Ana Clara Brime"/>
    <s v="Ana Clara Brime"/>
    <x v="424"/>
    <s v="L9RX"/>
    <s v="-"/>
    <s v="OFF LINE"/>
    <s v="Cartão de crédito"/>
    <s v="Cartão de crédito"/>
    <s v="Hotel"/>
    <s v="N"/>
    <s v="Grupo Casas Bahia"/>
    <s v="Grupo Casas Bahia S.a."/>
    <s v="-"/>
    <s v="Go Inn Aracaju"/>
    <s v="-"/>
    <s v="KON-OPE-RIO-PVI-CASAS BAHIA"/>
    <s v="-"/>
    <x v="39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731234"/>
    <n v="23528714"/>
    <s v="ACC01"/>
    <x v="491"/>
    <d v="2025-08-12T17:24:48"/>
    <s v="0 a 02 dias"/>
    <s v="0 a 02 dias"/>
    <s v="OIENNQT"/>
    <s v="SABRE"/>
    <s v="SANTOS/ANTONIO"/>
    <s v="Ana Clara Brime"/>
    <s v="Ana Clara Brime"/>
    <x v="425"/>
    <s v="L9TC"/>
    <s v="-"/>
    <s v="OFF LINE"/>
    <s v="Cartão de crédito"/>
    <s v="Cartão de crédito"/>
    <s v="Hotel"/>
    <s v="N"/>
    <s v="Grupo Casas Bahia"/>
    <s v="Grupo Casas Bahia S.a."/>
    <s v="-"/>
    <s v="Jardins Plaza Hotel"/>
    <s v="-"/>
    <s v="KON-OPE-RIO-PVI-CASAS BAHIA"/>
    <s v="-"/>
    <x v="27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1234"/>
    <n v="23528715"/>
    <s v="ACC02"/>
    <x v="491"/>
    <d v="2025-08-12T17:24:48"/>
    <s v="0 a 02 dias"/>
    <s v="0 a 02 dias"/>
    <s v="OIENNQT"/>
    <s v="SABRE"/>
    <s v="SANTOS/ANTONIO"/>
    <s v="Ana Clara Brime"/>
    <s v="Ana Clara Brime"/>
    <x v="425"/>
    <s v="L9TC"/>
    <s v="-"/>
    <s v="OFF LINE"/>
    <s v="Cartão de crédito"/>
    <s v="Cartão de crédito"/>
    <s v="Hotel"/>
    <s v="N"/>
    <s v="Grupo Casas Bahia"/>
    <s v="Grupo Casas Bahia S.a."/>
    <s v="-"/>
    <s v="Nord Easy Patos"/>
    <s v="-"/>
    <s v="KON-OPE-RIO-PVI-CASAS BAHIA"/>
    <s v="-"/>
    <x v="393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1234"/>
    <n v="23528716"/>
    <s v="ACC03"/>
    <x v="491"/>
    <d v="2025-08-12T17:24:48"/>
    <s v="0 a 02 dias"/>
    <s v="0 a 02 dias"/>
    <s v="OIENNQT"/>
    <s v="SABRE"/>
    <s v="SANTOS/ANTONIO"/>
    <s v="Ana Clara Brime"/>
    <s v="Ana Clara Brime"/>
    <x v="425"/>
    <s v="L9T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94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731713"/>
    <n v="23529169"/>
    <s v="ACC01"/>
    <x v="492"/>
    <d v="2025-08-12T18:19:46"/>
    <s v="0 a 02 dias"/>
    <s v="0 a 02 dias"/>
    <s v="ARKZTRT"/>
    <s v="SABRE"/>
    <s v="SILVA/WELLINGTON"/>
    <s v="Ana Clara Brime"/>
    <s v="Ana Clara Brime"/>
    <x v="426"/>
    <s v="L9X4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30061"/>
    <n v="23527582"/>
    <s v="ACC01"/>
    <x v="493"/>
    <d v="2025-08-12T13:39:35"/>
    <s v="0 a 02 dias"/>
    <s v="0 a 02 dias"/>
    <s v="NQEZUST"/>
    <s v="SABRE"/>
    <s v="CORREA/FERNANDA"/>
    <s v="Ana Clara Brime"/>
    <s v="Ana Clara Brime"/>
    <x v="427"/>
    <s v="L9V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9928"/>
    <n v="23527461"/>
    <s v="ACC01"/>
    <x v="494"/>
    <d v="2025-08-12T13:12:19"/>
    <s v="0 a 02 dias"/>
    <s v="0 a 02 dias"/>
    <s v="KUUCHRT"/>
    <s v="SABRE"/>
    <s v="SANTANA/EDSON"/>
    <s v="Ana Clara Brime"/>
    <s v="Ana Clara Brime"/>
    <x v="428"/>
    <s v="L9X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9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8431"/>
    <n v="23526016"/>
    <s v="ACC01"/>
    <x v="495"/>
    <d v="2025-08-12T10:03:16"/>
    <s v="0 a 02 dias"/>
    <s v="0 a 02 dias"/>
    <s v="OSVKYLT"/>
    <s v="SABRE"/>
    <s v="BRITO/PRISCILA"/>
    <s v="Ana Clara Brime"/>
    <s v="Ana Clara Brime"/>
    <x v="429"/>
    <s v="L9T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9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8956"/>
    <n v="23526496"/>
    <s v="ACC01"/>
    <x v="496"/>
    <d v="2025-08-12T11:42:13"/>
    <s v="0 a 02 dias"/>
    <s v="0 a 02 dias"/>
    <s v="QZDHOPT"/>
    <s v="SABRE"/>
    <s v="LESSA/PAULO"/>
    <s v="Ana Clara Brime"/>
    <s v="Ana Clara Brime"/>
    <x v="430"/>
    <s v="L9X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9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725117"/>
    <n v="23523343"/>
    <s v="ACC01"/>
    <x v="497"/>
    <d v="2025-08-11T19:03:53"/>
    <s v="0 a 02 dias"/>
    <s v="0 a 02 dias"/>
    <s v="FZITHV"/>
    <s v="SABRE"/>
    <s v="DA SILVA LEITE/JESSICA"/>
    <s v="Clayton Alves de Rezende"/>
    <s v="CORA TORLAI CIRINO"/>
    <x v="431"/>
    <s v="FZITHV"/>
    <s v="-"/>
    <s v="ON LINE"/>
    <s v="Invoice"/>
    <s v="Faturado"/>
    <s v="Aéreo"/>
    <s v="N"/>
    <s v="Grupo Nzte"/>
    <s v="Consulado Geral da Nova Zelandia"/>
    <s v="-"/>
    <s v="Latam Airlines Brasil"/>
    <n v="2952820362"/>
    <s v="FCM-OPE-SAO-PVI-BTC FCM"/>
    <s v="-"/>
    <x v="399"/>
    <n v="59.54"/>
    <n v="403.67"/>
    <n v="0"/>
    <n v="59.54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2731533"/>
    <n v="23528997"/>
    <s v="ACC01"/>
    <x v="498"/>
    <d v="2025-08-12T18:05:11"/>
    <s v="0 a 02 dias"/>
    <s v="0 a 02 dias"/>
    <s v="CMMYPQ"/>
    <s v="SABRE"/>
    <s v="ROSARIO/ROSANA PEREIRA DO"/>
    <s v="Beatrys Ferreira Rocha"/>
    <s v="William da Cruz Canteiro"/>
    <x v="432"/>
    <s v="3N74"/>
    <s v="-"/>
    <s v="OFF LINE"/>
    <s v="?"/>
    <s v="TKT"/>
    <s v="Aéreo"/>
    <s v="N"/>
    <s v="Grupo Atento"/>
    <s v="Atento Brasil S/a"/>
    <s v="-"/>
    <s v="Latam Airlines Brasil"/>
    <n v="2952834986"/>
    <s v="FCM-OPE-POA-PVI-ATENTO"/>
    <s v="-"/>
    <x v="19"/>
    <n v="0"/>
    <n v="450"/>
    <n v="0"/>
    <n v="75.01000000000000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732502"/>
    <n v="23529938"/>
    <s v="ACC01"/>
    <x v="499"/>
    <d v="2025-08-12T18:54:23"/>
    <s v="0 a 02 dias"/>
    <s v="0 a 02 dias"/>
    <s v="WGVRHAT"/>
    <s v="SABRE"/>
    <s v="ROSARIO/ROSANA PEREIRA DO"/>
    <s v="WS"/>
    <s v="WS"/>
    <x v="433"/>
    <s v="WGVRHA"/>
    <s v="-"/>
    <s v="ON LINE"/>
    <s v="Invoice"/>
    <s v="Faturado"/>
    <s v="Hotel"/>
    <s v="N"/>
    <s v="Grupo Atento"/>
    <s v="Atento Brasil S/a"/>
    <s v="-"/>
    <s v="-"/>
    <s v="-"/>
    <s v="FCM-OPE-POA-PVI-ATENTO"/>
    <s v="-"/>
    <x v="40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700754"/>
    <n v="23502970"/>
    <s v="ACC01"/>
    <x v="500"/>
    <d v="2025-08-07T12:53:08"/>
    <s v="06 a 08 dias"/>
    <s v="06 a 08 dias"/>
    <s v="DOTTHU1"/>
    <s v="TMS"/>
    <s v="SUELMA ROSA DOS SANTOS"/>
    <s v="Tami Maron"/>
    <s v="Tami Maron"/>
    <x v="434"/>
    <n v="1293"/>
    <s v="-"/>
    <s v="OFF LINE"/>
    <s v="Cartão de crédito"/>
    <s v="Cartão AMEX"/>
    <s v="Aéreo"/>
    <s v="N"/>
    <s v="Grupo Pepsico"/>
    <s v="Pepsico"/>
    <s v="-"/>
    <s v="Latam Airlines Brasil"/>
    <n v="2971585096"/>
    <s v="KON-OPE-POA-PVI-PEPSICO"/>
    <s v="-"/>
    <x v="19"/>
    <n v="30.95"/>
    <n v="0"/>
    <n v="0"/>
    <n v="0"/>
    <n v="0"/>
    <n v="0"/>
    <s v="Reserva importada do Sistema TMS. OS: 1293"/>
    <s v="Verificação de bilhetes: Bilhete 2971585096 já sendo utilizado para este fornecedor."/>
    <s v="ARGO(TMS)"/>
    <s v="Bilhete duplicado"/>
    <s v="Bilhete Já Contabilizado"/>
    <s v="Duplicidade de Contabilização"/>
    <s v="Qualidade dos dados"/>
    <s v="GRUPO KONTIK"/>
  </r>
  <r>
    <n v="22678475"/>
    <n v="23483048"/>
    <s v="ACC01"/>
    <x v="501"/>
    <d v="2025-08-04T12:58:59"/>
    <s v="09 a 15 dias"/>
    <s v="09 a 15 dias"/>
    <s v="5F6KG7"/>
    <s v="TMS"/>
    <s v="RAPHAEL WOREK CYJON"/>
    <s v="Thais Matte Andreis"/>
    <s v="Thais Matte Andreis"/>
    <x v="435"/>
    <n v="1136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77"/>
    <n v="0"/>
    <n v="0"/>
    <n v="0"/>
    <n v="0"/>
    <n v="0"/>
    <n v="0"/>
    <s v="Reserva importada do Sistema TMS. OS: 1136"/>
    <s v="Fornecedor não preenchido! (ACC01)"/>
    <s v="ARGO(TMS)"/>
    <s v="Falta de Fornecedor"/>
    <s v="Campo Fornecedor"/>
    <s v="Dados do Fornecedor"/>
    <s v="Qualidade dos dados"/>
    <s v="KONTIK BUSINESS TRAVEL"/>
  </r>
  <r>
    <n v="22693310"/>
    <n v="23496252"/>
    <s v="ACC01"/>
    <x v="502"/>
    <d v="2025-08-06T13:20:50"/>
    <s v="06 a 08 dias"/>
    <s v="06 a 08 dias"/>
    <s v="5GSKQQ"/>
    <s v="TMS"/>
    <s v="RAPHAEL WOREK CYJON"/>
    <s v="Thais Matte Andreis"/>
    <s v="Thais Matte Andreis"/>
    <x v="436"/>
    <n v="1251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401"/>
    <n v="0"/>
    <n v="0"/>
    <n v="0"/>
    <n v="0"/>
    <n v="0"/>
    <n v="0"/>
    <s v="Reserva importada do Sistema TMS. OS: 1251"/>
    <s v="Fornecedor não preenchido! (ACC01)"/>
    <s v="ARGO(TMS)"/>
    <s v="Falta de Fornecedor"/>
    <s v="Campo Fornecedor"/>
    <s v="Dados do Fornecedor"/>
    <s v="Qualidade dos dados"/>
    <s v="KONTIK BUSINESS TRAVEL"/>
  </r>
  <r>
    <n v="22729310"/>
    <n v="23526868"/>
    <s v="ACC01"/>
    <x v="503"/>
    <d v="2025-08-13T06:10:21"/>
    <s v="0 a 02 dias"/>
    <s v="0 a 02 dias"/>
    <s v="5GHTLJ"/>
    <s v="TMS"/>
    <s v="RITA MELO"/>
    <s v="Renata Claudia de Oliveira"/>
    <s v="Renata Claudia de Oliveira"/>
    <x v="112"/>
    <n v="2786"/>
    <s v="-"/>
    <s v="OFF LINE"/>
    <s v="Invoice"/>
    <s v="Faturado"/>
    <s v="Serviço"/>
    <s v="N"/>
    <s v="Grupo Bernoulli Educacao"/>
    <s v="Colegio e Pre-vestibular Bernoulli - Un. Raja"/>
    <s v="-"/>
    <s v="-"/>
    <s v="-"/>
    <s v="KON-OPE-SAO-PVI-BERNOULLI"/>
    <s v="-"/>
    <x v="402"/>
    <n v="9.9499999999999993"/>
    <n v="0"/>
    <n v="0"/>
    <n v="0"/>
    <n v="0"/>
    <n v="0"/>
    <s v="Reserva importada do Sistema TMS. OS: 2786"/>
    <s v="Fornecedor não preenchido! (ACC01)"/>
    <s v="ARGO(TMS)"/>
    <s v="Falta de Fornecedor"/>
    <s v="Campo Fornecedor"/>
    <s v="Dados do Fornecedor"/>
    <s v="Qualidade dos dados"/>
    <s v="KONTIK BUSINESS TRAVEL"/>
  </r>
  <r>
    <n v="22729311"/>
    <n v="23526869"/>
    <s v="ACC01"/>
    <x v="504"/>
    <d v="2025-08-13T06:10:21"/>
    <s v="0 a 02 dias"/>
    <s v="0 a 02 dias"/>
    <s v="5GUGNJ"/>
    <s v="TMS"/>
    <s v="RITA MELO"/>
    <s v="Renata Claudia de Oliveira"/>
    <s v="Renata Claudia de Oliveira"/>
    <x v="437"/>
    <n v="2782"/>
    <s v="-"/>
    <s v="OFF LINE"/>
    <s v="Invoice"/>
    <s v="Faturado"/>
    <s v="Serviço"/>
    <s v="N"/>
    <s v="Grupo Bernoulli Educacao"/>
    <s v="Colegio e Pre-vestibular Bernoulli - Un. Raja"/>
    <s v="-"/>
    <s v="-"/>
    <s v="-"/>
    <s v="KON-OPE-SAO-PVI-BERNOULLI"/>
    <s v="-"/>
    <x v="403"/>
    <n v="9.9499999999999993"/>
    <n v="0"/>
    <n v="0"/>
    <n v="0"/>
    <n v="0"/>
    <n v="0"/>
    <s v="Reserva importada do Sistema TMS. OS: 2782"/>
    <s v="Fornecedor não preenchido! (ACC01)"/>
    <s v="ARGO(TMS)"/>
    <s v="Falta de Fornecedor"/>
    <s v="Campo Fornecedor"/>
    <s v="Dados do Fornecedor"/>
    <s v="Qualidade dos dados"/>
    <s v="KONTIK BUSINESS TRAVEL"/>
  </r>
  <r>
    <n v="22731742"/>
    <n v="23529198"/>
    <s v="ACC01"/>
    <x v="505"/>
    <d v="2025-08-13T06:10:21"/>
    <s v="0 a 02 dias"/>
    <s v="0 a 02 dias"/>
    <s v="5GQK5K"/>
    <s v="TMS"/>
    <s v="LUIZ GUILHERME NOVAIS"/>
    <s v="Renata Claudia de Oliveira"/>
    <s v="Renata Claudia de Oliveira"/>
    <x v="438"/>
    <n v="2920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04"/>
    <n v="9.9499999999999993"/>
    <n v="0"/>
    <n v="0"/>
    <n v="0"/>
    <n v="0"/>
    <n v="0"/>
    <s v="Reserva importada do Sistema TMS. OS: 2920"/>
    <s v="Fornecedor não preenchido! (ACC01)"/>
    <s v="ARGO(TMS)"/>
    <s v="Falta de Fornecedor"/>
    <s v="Campo Fornecedor"/>
    <s v="Dados do Fornecedor"/>
    <s v="Qualidade dos dados"/>
    <s v="KONTIK BUSINESS TRAVEL"/>
  </r>
  <r>
    <n v="22731743"/>
    <n v="23529199"/>
    <s v="ACC01"/>
    <x v="505"/>
    <d v="2025-08-13T06:10:22"/>
    <s v="0 a 02 dias"/>
    <s v="0 a 02 dias"/>
    <s v="5GXKTK"/>
    <s v="TMS"/>
    <s v="LUIZ GUILHERME NOVAIS"/>
    <s v="Renata Claudia de Oliveira"/>
    <s v="Renata Claudia de Oliveira"/>
    <x v="438"/>
    <n v="2920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05"/>
    <n v="9.9499999999999993"/>
    <n v="0"/>
    <n v="0"/>
    <n v="0"/>
    <n v="0"/>
    <n v="0"/>
    <s v="Reserva importada do Sistema TMS. OS: 2920"/>
    <s v="Fornecedor não preenchido! (ACC01)"/>
    <s v="ARGO(TMS)"/>
    <s v="Falta de Fornecedor"/>
    <s v="Campo Fornecedor"/>
    <s v="Dados do Fornecedor"/>
    <s v="Qualidade dos dados"/>
    <s v="KONTIK BUSINESS TRAVEL"/>
  </r>
  <r>
    <n v="22733788"/>
    <n v="23531081"/>
    <s v="ACC01"/>
    <x v="506"/>
    <d v="2025-08-13T00:16:29"/>
    <s v="0 a 02 dias"/>
    <s v="0 a 02 dias"/>
    <s v="5G4XZO"/>
    <s v="TMS"/>
    <s v="LUCAS SILVA"/>
    <s v="Renata Claudia de Oliveira"/>
    <s v="Renata Claudia de Oliveira"/>
    <x v="439"/>
    <n v="2849"/>
    <s v="Recife / REC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06"/>
    <n v="0"/>
    <n v="0"/>
    <n v="0"/>
    <n v="0"/>
    <n v="0"/>
    <n v="0"/>
    <s v="Reserva importada do Sistema TMS. OS: 2849"/>
    <s v="Fornecedor não preenchido! (ACC01)"/>
    <s v="ARGO(TMS)"/>
    <s v="Falta de Fornecedor"/>
    <s v="Campo Fornecedor"/>
    <s v="Dados do Fornecedor"/>
    <s v="Qualidade dos dados"/>
    <s v="KONTIK BUSINESS TRAVEL"/>
  </r>
  <r>
    <n v="22733776"/>
    <n v="23531069"/>
    <s v="ACC01"/>
    <x v="507"/>
    <d v="2025-08-13T00:16:12"/>
    <s v="0 a 02 dias"/>
    <s v="0 a 02 dias"/>
    <s v="5G5AQN"/>
    <s v="TMS"/>
    <s v="JUNIO FERREIRA"/>
    <s v="Renata Claudia de Oliveira"/>
    <s v="Renata Claudia de Oliveira"/>
    <x v="440"/>
    <n v="2909"/>
    <s v="Rio de Janeiro / RI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07"/>
    <n v="0"/>
    <n v="0"/>
    <n v="0"/>
    <n v="0"/>
    <n v="0"/>
    <n v="0"/>
    <s v="Reserva importada do Sistema TMS. OS: 2909"/>
    <s v="Fornecedor não preenchido! (ACC01)"/>
    <s v="ARGO(TMS)"/>
    <s v="Falta de Fornecedor"/>
    <s v="Campo Fornecedor"/>
    <s v="Dados do Fornecedor"/>
    <s v="Qualidade dos dados"/>
    <s v="KONTIK BUSINESS TRAVEL"/>
  </r>
  <r>
    <n v="22733781"/>
    <n v="23531074"/>
    <s v="ACC01"/>
    <x v="508"/>
    <d v="2025-08-13T00:16:21"/>
    <s v="0 a 02 dias"/>
    <s v="0 a 02 dias"/>
    <s v="5GKQAN"/>
    <s v="TMS"/>
    <s v="FERNANDA SANTOS"/>
    <s v="Renata Claudia de Oliveira"/>
    <s v="Renata Claudia de Oliveira"/>
    <x v="171"/>
    <n v="2878"/>
    <s v="Belo Horizonte / BHZ"/>
    <s v="ON LINE"/>
    <s v="Invoice"/>
    <s v="Faturado"/>
    <s v="Carro"/>
    <s v="N"/>
    <s v="Grupo Bernoulli Educacao"/>
    <s v="Colegio e Pre-vestibular Bernoulli - Un. Raja"/>
    <s v="-"/>
    <s v="-"/>
    <s v="-"/>
    <s v="KON-OPE-SAO-PVI-BERNOULLI"/>
    <s v="-"/>
    <x v="408"/>
    <n v="0"/>
    <n v="0"/>
    <n v="0"/>
    <n v="0"/>
    <n v="0"/>
    <n v="0"/>
    <s v="Reserva importada do Sistema TMS. OS: 2878"/>
    <s v="Fornecedor não preenchido! (ACC01)"/>
    <s v="ARGO(TMS)"/>
    <s v="Falta de Fornecedor"/>
    <s v="Campo Fornecedor"/>
    <s v="Dados do Fornecedor"/>
    <s v="Qualidade dos dados"/>
    <s v="KONTIK BUSINESS TRAVEL"/>
  </r>
  <r>
    <n v="22733782"/>
    <n v="23531075"/>
    <s v="ACC01"/>
    <x v="509"/>
    <d v="2025-08-13T00:16:21"/>
    <s v="0 a 02 dias"/>
    <s v="0 a 02 dias"/>
    <s v="5GOAQO"/>
    <s v="TMS"/>
    <s v="FERNANDA SANTOS"/>
    <s v="Renata Claudia de Oliveira"/>
    <s v="Renata Claudia de Oliveira"/>
    <x v="171"/>
    <n v="2877"/>
    <s v="Belo Horizonte / BHZ"/>
    <s v="ON LINE"/>
    <s v="Invoice"/>
    <s v="Faturado"/>
    <s v="Carro"/>
    <s v="N"/>
    <s v="Grupo Bernoulli Educacao"/>
    <s v="Colegio e Pre-vestibular Bernoulli - Un. Raja"/>
    <s v="-"/>
    <s v="-"/>
    <s v="-"/>
    <s v="KON-OPE-SAO-PVI-BERNOULLI"/>
    <s v="-"/>
    <x v="408"/>
    <n v="0"/>
    <n v="0"/>
    <n v="0"/>
    <n v="0"/>
    <n v="0"/>
    <n v="0"/>
    <s v="Reserva importada do Sistema TMS. OS: 2877"/>
    <s v="Fornecedor não preenchido! (ACC01)"/>
    <s v="ARGO(TMS)"/>
    <s v="Falta de Fornecedor"/>
    <s v="Campo Fornecedor"/>
    <s v="Dados do Fornecedor"/>
    <s v="Qualidade dos dados"/>
    <s v="KONTIK BUSINESS TRAVEL"/>
  </r>
  <r>
    <n v="22729308"/>
    <n v="23526866"/>
    <s v="ACC01"/>
    <x v="510"/>
    <d v="2025-08-12T12:41:12"/>
    <s v="0 a 02 dias"/>
    <s v="0 a 02 dias"/>
    <s v="5GRTO7"/>
    <s v="TMS"/>
    <s v="FERNANDO VIEIRA FILHO"/>
    <s v="Tms"/>
    <s v="Tms"/>
    <x v="441"/>
    <n v="2857"/>
    <s v="Osasco / QOC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09"/>
    <n v="0"/>
    <n v="0"/>
    <n v="0"/>
    <n v="0"/>
    <n v="0"/>
    <n v="0"/>
    <s v="Reserva importada do Sistema TMS. OS: 2857"/>
    <s v="Fornecedor não preenchido! (ACC01)"/>
    <s v="ARGO(TMS)"/>
    <s v="Falta de Fornecedor"/>
    <s v="Campo Fornecedor"/>
    <s v="Dados do Fornecedor"/>
    <s v="Qualidade dos dados"/>
    <s v="KONTIK BUSINESS TRAVEL"/>
  </r>
  <r>
    <n v="22692949"/>
    <n v="23495893"/>
    <s v="ACC01"/>
    <x v="511"/>
    <d v="2025-08-06T12:31:43"/>
    <s v="06 a 08 dias"/>
    <s v="06 a 08 dias"/>
    <s v="5GU8NM"/>
    <s v="TMS"/>
    <s v="BRAULIO UCHOA"/>
    <s v="Thais Peixoto de Melo"/>
    <s v="Thais Peixoto de Melo"/>
    <x v="442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10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0"/>
    <n v="23495894"/>
    <s v="ACC01"/>
    <x v="511"/>
    <d v="2025-08-06T12:31:44"/>
    <s v="06 a 08 dias"/>
    <s v="06 a 08 dias"/>
    <s v="5GIK90"/>
    <s v="TMS"/>
    <s v="BRAULIO UCHOA"/>
    <s v="Thais Peixoto de Melo"/>
    <s v="Thais Peixoto de Melo"/>
    <x v="442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11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1"/>
    <n v="23495895"/>
    <s v="ACC01"/>
    <x v="511"/>
    <d v="2025-08-06T12:31:45"/>
    <s v="06 a 08 dias"/>
    <s v="06 a 08 dias"/>
    <s v="5GNKNB"/>
    <s v="TMS"/>
    <s v="BRAULIO UCHOA"/>
    <s v="Thais Peixoto de Melo"/>
    <s v="Thais Peixoto de Melo"/>
    <x v="442"/>
    <n v="2186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10"/>
    <n v="0"/>
    <n v="0"/>
    <n v="0"/>
    <n v="0"/>
    <n v="0"/>
    <n v="0"/>
    <s v="Reserva importada do Sistema TMS. OS: 2186"/>
    <s v="Fornecedor não preenchido! (ACC01)"/>
    <s v="ARGO(TMS)"/>
    <s v="Falta de Fornecedor"/>
    <s v="Campo Fornecedor"/>
    <s v="Dados do Fornecedor"/>
    <s v="Qualidade dos dados"/>
    <s v="KONTIK BUSINESS TRAVEL"/>
  </r>
  <r>
    <n v="22692952"/>
    <n v="23495896"/>
    <s v="ACC01"/>
    <x v="512"/>
    <d v="2025-08-06T12:31:45"/>
    <s v="06 a 08 dias"/>
    <s v="06 a 08 dias"/>
    <s v="5GMLOM"/>
    <s v="TMS"/>
    <s v="MOZART RAMOS"/>
    <s v="Thais Peixoto de Melo"/>
    <s v="Thais Peixoto de Melo"/>
    <x v="443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10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692953"/>
    <n v="23495897"/>
    <s v="ACC01"/>
    <x v="513"/>
    <d v="2025-08-06T12:31:46"/>
    <s v="06 a 08 dias"/>
    <s v="06 a 08 dias"/>
    <s v="5G1N9P"/>
    <s v="TMS"/>
    <s v="MOZART RAMOS"/>
    <s v="Thais Peixoto de Melo"/>
    <s v="Thais Peixoto de Melo"/>
    <x v="443"/>
    <n v="217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11"/>
    <n v="0"/>
    <n v="0"/>
    <n v="0"/>
    <n v="0"/>
    <n v="0"/>
    <n v="0"/>
    <s v="Reserva importada do Sistema TMS. OS: 2179"/>
    <s v="Fornecedor não preenchido! (ACC01)"/>
    <s v="ARGO(TMS)"/>
    <s v="Falta de Fornecedor"/>
    <s v="Campo Fornecedor"/>
    <s v="Dados do Fornecedor"/>
    <s v="Qualidade dos dados"/>
    <s v="KONTIK BUSINESS TRAVEL"/>
  </r>
  <r>
    <n v="22733785"/>
    <n v="23531078"/>
    <s v="ACC01"/>
    <x v="514"/>
    <d v="2025-08-13T00:16:25"/>
    <s v="0 a 02 dias"/>
    <s v="0 a 02 dias"/>
    <s v="5GAXAL"/>
    <s v="TMS"/>
    <s v="PATRICIA ROCHA"/>
    <s v="Tms"/>
    <s v="Tms"/>
    <x v="171"/>
    <n v="2861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12"/>
    <n v="0"/>
    <n v="0"/>
    <n v="0"/>
    <n v="0"/>
    <n v="0"/>
    <n v="0"/>
    <s v="Reserva importada do Sistema TMS. OS: 2861"/>
    <s v="Fornecedor não preenchido! (ACC01)"/>
    <s v="ARGO(TMS)"/>
    <s v="Falta de Fornecedor"/>
    <s v="Campo Fornecedor"/>
    <s v="Dados do Fornecedor"/>
    <s v="Qualidade dos dados"/>
    <s v="KONTIK BUSINESS TRAVEL"/>
  </r>
  <r>
    <n v="22733787"/>
    <n v="23531080"/>
    <s v="ACC01"/>
    <x v="515"/>
    <d v="2025-08-13T00:16:29"/>
    <s v="0 a 02 dias"/>
    <s v="0 a 02 dias"/>
    <s v="5GESZN"/>
    <s v="TMS"/>
    <s v="REBECA TEIXEIRA"/>
    <s v="Tms"/>
    <s v="Tms"/>
    <x v="171"/>
    <n v="2854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413"/>
    <n v="0"/>
    <n v="0"/>
    <n v="0"/>
    <n v="0"/>
    <n v="213.3"/>
    <n v="0"/>
    <s v="Reserva importada do Sistema TMS. OS: 2854"/>
    <s v="Fornecedor não preenchido! (ACC01)"/>
    <s v="ARGO(TMS)"/>
    <s v="Falta de Fornecedor"/>
    <s v="Campo Fornecedor"/>
    <s v="Dados do Fornecedor"/>
    <s v="Sistêmico"/>
    <s v="GRUPO KONTIK"/>
  </r>
  <r>
    <n v="22733789"/>
    <n v="23531082"/>
    <s v="ACC01"/>
    <x v="516"/>
    <d v="2025-08-13T00:16:30"/>
    <s v="0 a 02 dias"/>
    <s v="0 a 02 dias"/>
    <s v="5GT2AL"/>
    <s v="TMS"/>
    <s v="FLAVIA DIAS"/>
    <s v="Tms"/>
    <s v="Tms"/>
    <x v="439"/>
    <n v="2846"/>
    <s v="Florianópolis / FLN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14"/>
    <n v="0"/>
    <n v="0"/>
    <n v="0"/>
    <n v="0"/>
    <n v="0"/>
    <n v="0"/>
    <s v="Reserva importada do Sistema TMS. OS: 2846"/>
    <s v="Fornecedor não preenchido! (ACC01)"/>
    <s v="ARGO(TMS)"/>
    <s v="Falta de Fornecedor"/>
    <s v="Campo Fornecedor"/>
    <s v="Dados do Fornecedor"/>
    <s v="Qualidade dos dados"/>
    <s v="KONTIK BUSINESS TRAVEL"/>
  </r>
  <r>
    <n v="22733791"/>
    <n v="23531084"/>
    <s v="ACC01"/>
    <x v="517"/>
    <d v="2025-08-13T00:16:30"/>
    <s v="0 a 02 dias"/>
    <s v="0 a 02 dias"/>
    <s v="5G6SZO"/>
    <s v="TMS"/>
    <s v="FLAVIA DIAS"/>
    <s v="Tms"/>
    <s v="Tms"/>
    <x v="439"/>
    <n v="2843"/>
    <s v="Salvador / SS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08"/>
    <n v="0"/>
    <n v="0"/>
    <n v="0"/>
    <n v="0"/>
    <n v="0"/>
    <n v="0"/>
    <s v="Reserva importada do Sistema TMS. OS: 2843"/>
    <s v="Fornecedor não preenchido! (ACC01)"/>
    <s v="ARGO(TMS)"/>
    <s v="Falta de Fornecedor"/>
    <s v="Campo Fornecedor"/>
    <s v="Dados do Fornecedor"/>
    <s v="Qualidade dos dados"/>
    <s v="KONTIK BUSINESS TRAVEL"/>
  </r>
  <r>
    <n v="22733795"/>
    <n v="23531088"/>
    <s v="ACC01"/>
    <x v="518"/>
    <d v="2025-08-13T00:20:31"/>
    <s v="0 a 02 dias"/>
    <s v="0 a 02 dias"/>
    <s v="5GPDZO"/>
    <s v="TMS"/>
    <s v="MARIA FABIANNE PAIXAO"/>
    <s v="Tms"/>
    <s v="Tms"/>
    <x v="439"/>
    <n v="2818"/>
    <s v="Belém / BEL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15"/>
    <n v="0"/>
    <n v="0"/>
    <n v="0"/>
    <n v="0"/>
    <n v="0"/>
    <n v="0"/>
    <s v="Reserva importada do Sistema TMS. OS: 2818"/>
    <s v="Fornecedor não preenchido! (ACC01)"/>
    <s v="ARGO(TMS)"/>
    <s v="Falta de Fornecedor"/>
    <s v="Campo Fornecedor"/>
    <s v="Dados do Fornecedor"/>
    <s v="Qualidade dos dados"/>
    <s v="KONTIK BUSINESS TRAVEL"/>
  </r>
  <r>
    <n v="22733796"/>
    <n v="23531089"/>
    <s v="ACC01"/>
    <x v="519"/>
    <d v="2025-08-13T00:20:31"/>
    <s v="0 a 02 dias"/>
    <s v="0 a 02 dias"/>
    <s v="5GAD1L"/>
    <s v="TMS"/>
    <s v="SANDRA NEGRINI"/>
    <s v="Tms"/>
    <s v="Tms"/>
    <x v="439"/>
    <n v="2817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16"/>
    <n v="0"/>
    <n v="0"/>
    <n v="0"/>
    <n v="0"/>
    <n v="0"/>
    <n v="0"/>
    <s v="Reserva importada do Sistema TMS. OS: 2817"/>
    <s v="Fornecedor não preenchido! (ACC01)"/>
    <s v="ARGO(TMS)"/>
    <s v="Falta de Fornecedor"/>
    <s v="Campo Fornecedor"/>
    <s v="Dados do Fornecedor"/>
    <s v="Qualidade dos dados"/>
    <s v="KONTIK BUSINESS TRAVEL"/>
  </r>
  <r>
    <n v="22731747"/>
    <n v="23529203"/>
    <s v="ACC01"/>
    <x v="520"/>
    <d v="2025-08-12T18:30:58"/>
    <s v="0 a 02 dias"/>
    <s v="0 a 02 dias"/>
    <s v="5G3I58"/>
    <s v="TMS"/>
    <s v="MAYSA SILVA"/>
    <s v="Tms"/>
    <s v="Tms"/>
    <x v="444"/>
    <n v="2911"/>
    <s v="Campo Grande / CGR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17"/>
    <n v="0"/>
    <n v="0"/>
    <n v="0"/>
    <n v="0"/>
    <n v="0"/>
    <n v="0"/>
    <s v="Reserva importada do Sistema TMS. OS: 2911"/>
    <s v="Fornecedor não preenchido! (ACC01)"/>
    <s v="ARGO(TMS)"/>
    <s v="Falta de Fornecedor"/>
    <s v="Campo Fornecedor"/>
    <s v="Dados do Fornecedor"/>
    <s v="Qualidade dos dados"/>
    <s v="KONTIK BUSINESS TRAVEL"/>
  </r>
  <r>
    <n v="22701250"/>
    <n v="23503436"/>
    <s v="ACC"/>
    <x v="521"/>
    <d v="2025-08-07T14:10:06"/>
    <s v="06 a 08 dias"/>
    <s v="06 a 08 dias"/>
    <s v="5GQDP3"/>
    <s v="MANUAL"/>
    <s v="DEBORA TUREK"/>
    <s v="Claudia Lucia Stella"/>
    <s v="Claudia Lucia Stella"/>
    <x v="445"/>
    <s v="-"/>
    <s v="-"/>
    <s v="OFF LINE"/>
    <s v="Cartão de crédito"/>
    <s v="Cartão de crédito"/>
    <s v="Aéreo"/>
    <s v="N"/>
    <s v="Grupo Banco Genial Investimentos"/>
    <s v="Genial Investimentos Corretora"/>
    <s v="-"/>
    <s v="Latam Airlines Brasil"/>
    <n v="4453300183"/>
    <s v="KON-OPE-SAO-PVI-BTC ARGO"/>
    <s v="-"/>
    <x v="200"/>
    <n v="0"/>
    <n v="0"/>
    <n v="0"/>
    <n v="0"/>
    <n v="0"/>
    <n v="0"/>
    <s v="-"/>
    <s v="Verificação de bilhetes: Bilhete 4453300183 já sendo utilizado para este fornecedor."/>
    <s v="MANUAL"/>
    <s v="Bilhete duplicado"/>
    <s v="Bilhete Já Contabilizado"/>
    <s v="Duplicidade de Contabilização"/>
    <s v="Qualidade dos dados"/>
    <s v="GRUPO KONTIK"/>
  </r>
  <r>
    <m/>
    <m/>
    <m/>
    <x v="522"/>
    <m/>
    <m/>
    <m/>
    <m/>
    <m/>
    <m/>
    <m/>
    <m/>
    <x v="446"/>
    <m/>
    <m/>
    <m/>
    <m/>
    <m/>
    <m/>
    <m/>
    <m/>
    <m/>
    <m/>
    <m/>
    <m/>
    <m/>
    <m/>
    <x v="418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2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0:K86" firstHeaderRow="1" firstDataRow="2" firstDataCol="1"/>
  <pivotFields count="45">
    <pivotField showAll="0"/>
    <pivotField showAll="0"/>
    <pivotField showAll="0"/>
    <pivotField numFmtId="164"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3"/>
        <item x="1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8"/>
        <item x="5"/>
        <item x="3"/>
        <item x="6"/>
        <item x="7"/>
        <item x="4"/>
        <item m="1" x="10"/>
        <item x="1"/>
        <item x="2"/>
        <item x="9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3"/>
    </i>
    <i>
      <x v="1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4">
    <format dxfId="33">
      <pivotArea outline="0" collapsedLevelsAreSubtotals="1" fieldPosition="0"/>
    </format>
    <format dxfId="32">
      <pivotArea dataOnly="0" labelOnly="1" grandCol="1" outline="0" fieldPosition="0"/>
    </format>
    <format dxfId="31">
      <pivotArea outline="0" collapsedLevelsAreSubtotals="1" fieldPosition="0"/>
    </format>
    <format dxfId="30">
      <pivotArea dataOnly="0" labelOnly="1" grandCol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type="topRight" dataOnly="0" labelOnly="1" outline="0" fieldPosition="0"/>
    </format>
    <format dxfId="25">
      <pivotArea field="18" type="button" dataOnly="0" labelOnly="1" outline="0" axis="axisRow" fieldPosition="0"/>
    </format>
    <format dxfId="24">
      <pivotArea dataOnly="0" labelOnly="1" fieldPosition="0">
        <references count="1">
          <reference field="18" count="0"/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type="topRight" dataOnly="0" labelOnly="1" outline="0" fieldPosition="0"/>
    </format>
    <format dxfId="18">
      <pivotArea dataOnly="0" labelOnly="1" grandCol="1" outline="0" fieldPosition="0"/>
    </format>
    <format dxfId="17">
      <pivotArea type="origin" dataOnly="0" labelOnly="1" outline="0" fieldPosition="0"/>
    </format>
    <format dxfId="16">
      <pivotArea field="18" type="button" dataOnly="0" labelOnly="1" outline="0" axis="axisRow" fieldPosition="0"/>
    </format>
    <format dxfId="15">
      <pivotArea dataOnly="0" labelOnly="1" fieldPosition="0">
        <references count="1">
          <reference field="18" count="0"/>
        </references>
      </pivotArea>
    </format>
    <format dxfId="14">
      <pivotArea dataOnly="0" labelOnly="1" grandRow="1" outline="0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type="origin" dataOnly="0" labelOnly="1" outline="0" fieldPosition="0"/>
    </format>
    <format dxfId="10">
      <pivotArea field="42" type="button" dataOnly="0" labelOnly="1" outline="0" axis="axisCol" fieldPosition="0"/>
    </format>
    <format dxfId="9">
      <pivotArea type="topRight" dataOnly="0" labelOnly="1" outline="0" fieldPosition="0"/>
    </format>
    <format dxfId="8">
      <pivotArea field="18" type="button" dataOnly="0" labelOnly="1" outline="0" axis="axisRow" fieldPosition="0"/>
    </format>
    <format dxfId="7">
      <pivotArea dataOnly="0" labelOnly="1" fieldPosition="0">
        <references count="1">
          <reference field="18" count="0"/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4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  <format dxfId="3">
      <pivotArea type="origin" dataOnly="0" labelOnly="1" outline="0" fieldPosition="0"/>
    </format>
    <format dxfId="2">
      <pivotArea field="18" type="button" dataOnly="0" labelOnly="1" outline="0" axis="axisRow" fieldPosition="0"/>
    </format>
    <format dxfId="1">
      <pivotArea dataOnly="0" labelOnly="1" fieldPosition="0">
        <references count="1">
          <reference field="18" count="0"/>
        </references>
      </pivotArea>
    </format>
    <format dxfId="0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4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0:I162" firstHeaderRow="1" firstDataRow="2" firstDataCol="1"/>
  <pivotFields count="45">
    <pivotField showAll="0"/>
    <pivotField showAll="0"/>
    <pivotField showAll="0"/>
    <pivotField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66">
        <item x="70"/>
        <item m="1" x="112"/>
        <item x="18"/>
        <item x="6"/>
        <item x="5"/>
        <item x="1"/>
        <item m="1" x="108"/>
        <item x="27"/>
        <item x="10"/>
        <item m="1" x="72"/>
        <item x="57"/>
        <item x="49"/>
        <item m="1" x="85"/>
        <item x="9"/>
        <item m="1" x="107"/>
        <item x="25"/>
        <item m="1" x="73"/>
        <item x="26"/>
        <item m="1" x="159"/>
        <item x="33"/>
        <item x="16"/>
        <item m="1" x="125"/>
        <item m="1" x="96"/>
        <item x="48"/>
        <item x="23"/>
        <item x="47"/>
        <item x="32"/>
        <item x="22"/>
        <item m="1" x="75"/>
        <item m="1" x="120"/>
        <item x="36"/>
        <item x="46"/>
        <item x="38"/>
        <item x="31"/>
        <item m="1" x="77"/>
        <item x="43"/>
        <item m="1" x="157"/>
        <item m="1" x="76"/>
        <item x="44"/>
        <item x="35"/>
        <item x="51"/>
        <item m="1" x="94"/>
        <item x="54"/>
        <item m="1" x="99"/>
        <item x="20"/>
        <item m="1" x="149"/>
        <item m="1" x="111"/>
        <item x="15"/>
        <item x="17"/>
        <item m="1" x="83"/>
        <item x="56"/>
        <item x="59"/>
        <item x="39"/>
        <item m="1" x="116"/>
        <item x="42"/>
        <item x="50"/>
        <item m="1" x="114"/>
        <item x="13"/>
        <item x="14"/>
        <item x="21"/>
        <item x="55"/>
        <item m="1" x="130"/>
        <item x="2"/>
        <item m="1" x="164"/>
        <item x="58"/>
        <item x="60"/>
        <item m="1" x="74"/>
        <item x="4"/>
        <item x="61"/>
        <item m="1" x="131"/>
        <item x="28"/>
        <item m="1" x="139"/>
        <item x="11"/>
        <item x="41"/>
        <item x="24"/>
        <item m="1" x="93"/>
        <item m="1" x="101"/>
        <item m="1" x="137"/>
        <item m="1" x="118"/>
        <item m="1" x="88"/>
        <item m="1" x="103"/>
        <item m="1" x="146"/>
        <item x="62"/>
        <item m="1" x="91"/>
        <item m="1" x="84"/>
        <item m="1" x="106"/>
        <item x="64"/>
        <item m="1" x="140"/>
        <item m="1" x="79"/>
        <item x="34"/>
        <item x="7"/>
        <item m="1" x="163"/>
        <item x="52"/>
        <item m="1" x="80"/>
        <item m="1" x="119"/>
        <item m="1" x="81"/>
        <item m="1" x="126"/>
        <item m="1" x="145"/>
        <item x="45"/>
        <item x="12"/>
        <item m="1" x="82"/>
        <item m="1" x="142"/>
        <item x="37"/>
        <item m="1" x="92"/>
        <item x="40"/>
        <item m="1" x="86"/>
        <item m="1" x="89"/>
        <item m="1" x="124"/>
        <item m="1" x="113"/>
        <item m="1" x="104"/>
        <item m="1" x="148"/>
        <item x="30"/>
        <item m="1" x="150"/>
        <item m="1" x="105"/>
        <item x="0"/>
        <item m="1" x="162"/>
        <item m="1" x="110"/>
        <item m="1" x="161"/>
        <item m="1" x="143"/>
        <item m="1" x="122"/>
        <item x="8"/>
        <item m="1" x="115"/>
        <item m="1" x="133"/>
        <item m="1" x="87"/>
        <item m="1" x="71"/>
        <item m="1" x="123"/>
        <item m="1" x="160"/>
        <item x="3"/>
        <item m="1" x="128"/>
        <item m="1" x="158"/>
        <item m="1" x="100"/>
        <item m="1" x="98"/>
        <item m="1" x="97"/>
        <item m="1" x="102"/>
        <item m="1" x="156"/>
        <item m="1" x="155"/>
        <item m="1" x="141"/>
        <item m="1" x="154"/>
        <item m="1" x="134"/>
        <item m="1" x="153"/>
        <item m="1" x="152"/>
        <item m="1" x="151"/>
        <item m="1" x="136"/>
        <item m="1" x="132"/>
        <item m="1" x="109"/>
        <item m="1" x="144"/>
        <item m="1" x="135"/>
        <item m="1" x="147"/>
        <item m="1" x="78"/>
        <item x="29"/>
        <item m="1" x="138"/>
        <item m="1" x="127"/>
        <item x="63"/>
        <item m="1" x="121"/>
        <item x="65"/>
        <item x="66"/>
        <item m="1" x="129"/>
        <item x="69"/>
        <item x="68"/>
        <item x="53"/>
        <item x="67"/>
        <item m="1" x="95"/>
        <item m="1" x="117"/>
        <item m="1" x="90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1"/>
        <item h="1" m="1" x="9"/>
        <item x="5"/>
        <item x="4"/>
        <item x="6"/>
        <item x="2"/>
        <item x="0"/>
        <item h="1" m="1" x="8"/>
        <item x="3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71">
    <i>
      <x v="42"/>
    </i>
    <i>
      <x v="40"/>
    </i>
    <i>
      <x v="39"/>
    </i>
    <i>
      <x v="20"/>
    </i>
    <i>
      <x v="154"/>
    </i>
    <i>
      <x v="17"/>
    </i>
    <i>
      <x v="5"/>
    </i>
    <i>
      <x v="19"/>
    </i>
    <i>
      <x v="157"/>
    </i>
    <i>
      <x v="62"/>
    </i>
    <i>
      <x v="27"/>
    </i>
    <i>
      <x v="152"/>
    </i>
    <i>
      <x v="38"/>
    </i>
    <i>
      <x v="67"/>
    </i>
    <i>
      <x v="68"/>
    </i>
    <i>
      <x v="33"/>
    </i>
    <i>
      <x v="60"/>
    </i>
    <i>
      <x v="11"/>
    </i>
    <i>
      <x v="72"/>
    </i>
    <i>
      <x v="58"/>
    </i>
    <i>
      <x v="90"/>
    </i>
    <i>
      <x v="47"/>
    </i>
    <i>
      <x v="7"/>
    </i>
    <i>
      <x v="35"/>
    </i>
    <i>
      <x v="2"/>
    </i>
    <i>
      <x v="55"/>
    </i>
    <i>
      <x v="104"/>
    </i>
    <i>
      <x v="3"/>
    </i>
    <i>
      <x v="59"/>
    </i>
    <i>
      <x v="24"/>
    </i>
    <i>
      <x v="64"/>
    </i>
    <i>
      <x v="50"/>
    </i>
    <i>
      <x v="25"/>
    </i>
    <i>
      <x v="65"/>
    </i>
    <i>
      <x v="32"/>
    </i>
    <i>
      <x v="158"/>
    </i>
    <i>
      <x v="15"/>
    </i>
    <i>
      <x v="70"/>
    </i>
    <i>
      <x v="8"/>
    </i>
    <i>
      <x v="82"/>
    </i>
    <i>
      <x v="86"/>
    </i>
    <i>
      <x v="23"/>
    </i>
    <i>
      <x v="114"/>
    </i>
    <i>
      <x v="99"/>
    </i>
    <i>
      <x v="160"/>
    </i>
    <i>
      <x v="164"/>
    </i>
    <i>
      <x v="31"/>
    </i>
    <i>
      <x v="89"/>
    </i>
    <i>
      <x v="149"/>
    </i>
    <i>
      <x v="92"/>
    </i>
    <i>
      <x v="98"/>
    </i>
    <i>
      <x v="102"/>
    </i>
    <i>
      <x v="159"/>
    </i>
    <i>
      <x v="52"/>
    </i>
    <i>
      <x v="57"/>
    </i>
    <i>
      <x v="73"/>
    </i>
    <i>
      <x v="10"/>
    </i>
    <i>
      <x v="48"/>
    </i>
    <i>
      <x v="13"/>
    </i>
    <i>
      <x v="26"/>
    </i>
    <i>
      <x v="4"/>
    </i>
    <i>
      <x v="30"/>
    </i>
    <i>
      <x v="155"/>
    </i>
    <i>
      <x v="111"/>
    </i>
    <i>
      <x v="54"/>
    </i>
    <i>
      <x v="44"/>
    </i>
    <i>
      <x v="51"/>
    </i>
    <i>
      <x v="120"/>
    </i>
    <i>
      <x v="127"/>
    </i>
    <i>
      <x v="74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Grupo Empresarial" fld="20" subtotal="count" baseField="0" baseItem="0" numFmtId="3"/>
  </dataFields>
  <formats count="156">
    <format dxfId="175">
      <pivotArea outline="0" collapsedLevelsAreSubtotals="1" fieldPosition="0"/>
    </format>
    <format dxfId="174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73">
      <pivotArea dataOnly="0" labelOnly="1" grandCol="1" outline="0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169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168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64">
      <pivotArea dataOnly="0" labelOnly="1" grandCol="1" outline="0" fieldPosition="0"/>
    </format>
    <format dxfId="163">
      <pivotArea field="20" grandCol="1" collapsedLevelsAreSubtotals="1" axis="axisRow" fieldPosition="0">
        <references count="1">
          <reference field="20" count="0"/>
        </references>
      </pivotArea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type="origin" dataOnly="0" labelOnly="1" outline="0" fieldPosition="0"/>
    </format>
    <format dxfId="159">
      <pivotArea field="36" type="button" dataOnly="0" labelOnly="1" outline="0" axis="axisCol" fieldPosition="0"/>
    </format>
    <format dxfId="158">
      <pivotArea type="topRight" dataOnly="0" labelOnly="1" outline="0" fieldPosition="0"/>
    </format>
    <format dxfId="157">
      <pivotArea field="20" type="button" dataOnly="0" labelOnly="1" outline="0" axis="axisRow" fieldPosition="0"/>
    </format>
    <format dxfId="156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55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54">
      <pivotArea dataOnly="0" labelOnly="1" grandRow="1" outline="0" fieldPosition="0"/>
    </format>
    <format dxfId="153">
      <pivotArea dataOnly="0" labelOnly="1" fieldPosition="0">
        <references count="1">
          <reference field="36" count="0"/>
        </references>
      </pivotArea>
    </format>
    <format dxfId="152">
      <pivotArea dataOnly="0" labelOnly="1" grandCol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type="origin" dataOnly="0" labelOnly="1" outline="0" fieldPosition="0"/>
    </format>
    <format dxfId="148">
      <pivotArea field="36" type="button" dataOnly="0" labelOnly="1" outline="0" axis="axisCol" fieldPosition="0"/>
    </format>
    <format dxfId="147">
      <pivotArea type="topRight" dataOnly="0" labelOnly="1" outline="0" fieldPosition="0"/>
    </format>
    <format dxfId="146">
      <pivotArea field="20" type="button" dataOnly="0" labelOnly="1" outline="0" axis="axisRow" fieldPosition="0"/>
    </format>
    <format dxfId="145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44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43">
      <pivotArea dataOnly="0" labelOnly="1" grandRow="1" outline="0" fieldPosition="0"/>
    </format>
    <format dxfId="142">
      <pivotArea dataOnly="0" labelOnly="1" fieldPosition="0">
        <references count="1">
          <reference field="36" count="0"/>
        </references>
      </pivotArea>
    </format>
    <format dxfId="141">
      <pivotArea dataOnly="0" labelOnly="1" grandCol="1" outline="0" fieldPosition="0"/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type="origin" dataOnly="0" labelOnly="1" outline="0" fieldPosition="0"/>
    </format>
    <format dxfId="137">
      <pivotArea field="36" type="button" dataOnly="0" labelOnly="1" outline="0" axis="axisCol" fieldPosition="0"/>
    </format>
    <format dxfId="136">
      <pivotArea type="topRight" dataOnly="0" labelOnly="1" outline="0" fieldPosition="0"/>
    </format>
    <format dxfId="135">
      <pivotArea field="20" type="button" dataOnly="0" labelOnly="1" outline="0" axis="axisRow" fieldPosition="0"/>
    </format>
    <format dxfId="134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33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32">
      <pivotArea dataOnly="0" labelOnly="1" grandRow="1" outline="0" fieldPosition="0"/>
    </format>
    <format dxfId="131">
      <pivotArea dataOnly="0" labelOnly="1" fieldPosition="0">
        <references count="1">
          <reference field="36" count="0"/>
        </references>
      </pivotArea>
    </format>
    <format dxfId="130">
      <pivotArea dataOnly="0" labelOnly="1" grandCol="1" outline="0" fieldPosition="0"/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36" type="button" dataOnly="0" labelOnly="1" outline="0" axis="axisCol" fieldPosition="0"/>
    </format>
    <format dxfId="125">
      <pivotArea type="topRight" dataOnly="0" labelOnly="1" outline="0" fieldPosition="0"/>
    </format>
    <format dxfId="124">
      <pivotArea field="20" type="button" dataOnly="0" labelOnly="1" outline="0" axis="axisRow" fieldPosition="0"/>
    </format>
    <format dxfId="123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22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36" count="0"/>
        </references>
      </pivotArea>
    </format>
    <format dxfId="119">
      <pivotArea dataOnly="0" labelOnly="1" grandCol="1" outline="0" fieldPosition="0"/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type="origin" dataOnly="0" labelOnly="1" outline="0" fieldPosition="0"/>
    </format>
    <format dxfId="115">
      <pivotArea field="20" type="button" dataOnly="0" labelOnly="1" outline="0" axis="axisRow" fieldPosition="0"/>
    </format>
    <format dxfId="114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13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12">
      <pivotArea dataOnly="0" labelOnly="1" grandRow="1" outline="0" fieldPosition="0"/>
    </format>
    <format dxfId="111">
      <pivotArea dataOnly="0" labelOnly="1" fieldPosition="0">
        <references count="1">
          <reference field="36" count="0"/>
        </references>
      </pivotArea>
    </format>
    <format dxfId="110">
      <pivotArea dataOnly="0" labelOnly="1" grandCol="1" outline="0" fieldPosition="0"/>
    </format>
    <format dxfId="109">
      <pivotArea type="origin" dataOnly="0" labelOnly="1" outline="0" fieldPosition="0"/>
    </format>
    <format dxfId="108">
      <pivotArea field="20" type="button" dataOnly="0" labelOnly="1" outline="0" axis="axisRow" fieldPosition="0"/>
    </format>
    <format dxfId="107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06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05">
      <pivotArea dataOnly="0" labelOnly="1" grandRow="1" outline="0" fieldPosition="0"/>
    </format>
    <format dxfId="104">
      <pivotArea outline="0" collapsedLevelsAreSubtotals="1" fieldPosition="0"/>
    </format>
    <format dxfId="103">
      <pivotArea dataOnly="0" labelOnly="1" fieldPosition="0">
        <references count="1">
          <reference field="36" count="0"/>
        </references>
      </pivotArea>
    </format>
    <format dxfId="102">
      <pivotArea dataOnly="0" labelOnly="1" grandCol="1" outline="0" fieldPosition="0"/>
    </format>
    <format dxfId="101">
      <pivotArea outline="0" collapsedLevelsAreSubtotals="1" fieldPosition="0"/>
    </format>
    <format dxfId="100">
      <pivotArea dataOnly="0" labelOnly="1" fieldPosition="0">
        <references count="1">
          <reference field="36" count="0"/>
        </references>
      </pivotArea>
    </format>
    <format dxfId="99">
      <pivotArea dataOnly="0" labelOnly="1" grandCol="1" outline="0" fieldPosition="0"/>
    </format>
    <format dxfId="98">
      <pivotArea field="20" grandCol="1" collapsedLevelsAreSubtotals="1" axis="axisRow" fieldPosition="0">
        <references count="1">
          <reference field="20" count="0"/>
        </references>
      </pivotArea>
    </format>
    <format dxfId="97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96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95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94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93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92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91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90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89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88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87">
      <pivotArea type="all" dataOnly="0" outline="0" fieldPosition="0"/>
    </format>
    <format dxfId="86">
      <pivotArea outline="0" collapsedLevelsAreSubtotals="1" fieldPosition="0"/>
    </format>
    <format dxfId="85">
      <pivotArea type="origin" dataOnly="0" labelOnly="1" outline="0" fieldPosition="0"/>
    </format>
    <format dxfId="84">
      <pivotArea field="36" type="button" dataOnly="0" labelOnly="1" outline="0" axis="axisCol" fieldPosition="0"/>
    </format>
    <format dxfId="83">
      <pivotArea type="topRight" dataOnly="0" labelOnly="1" outline="0" fieldPosition="0"/>
    </format>
    <format dxfId="82">
      <pivotArea field="20" type="button" dataOnly="0" labelOnly="1" outline="0" axis="axisRow" fieldPosition="0"/>
    </format>
    <format dxfId="81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80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79">
      <pivotArea dataOnly="0" labelOnly="1" grandRow="1" outline="0" fieldPosition="0"/>
    </format>
    <format dxfId="78">
      <pivotArea dataOnly="0" labelOnly="1" fieldPosition="0">
        <references count="1">
          <reference field="36" count="0"/>
        </references>
      </pivotArea>
    </format>
    <format dxfId="77">
      <pivotArea dataOnly="0" labelOnly="1" grandCol="1" outline="0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36" type="button" dataOnly="0" labelOnly="1" outline="0" axis="axisCol" fieldPosition="0"/>
    </format>
    <format dxfId="73">
      <pivotArea type="topRight" dataOnly="0" labelOnly="1" outline="0" fieldPosition="0"/>
    </format>
    <format dxfId="72">
      <pivotArea dataOnly="0" labelOnly="1" fieldPosition="0">
        <references count="1">
          <reference field="36" count="0"/>
        </references>
      </pivotArea>
    </format>
    <format dxfId="71">
      <pivotArea dataOnly="0" labelOnly="1" grandCol="1" outline="0" fieldPosition="0"/>
    </format>
    <format dxfId="70">
      <pivotArea dataOnly="0" labelOnly="1" fieldPosition="0">
        <references count="1">
          <reference field="20" count="0"/>
        </references>
      </pivotArea>
    </format>
    <format dxfId="69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68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67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66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65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64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63">
      <pivotArea type="origin" dataOnly="0" labelOnly="1" outline="0" fieldPosition="0"/>
    </format>
    <format dxfId="62">
      <pivotArea field="20" type="button" dataOnly="0" labelOnly="1" outline="0" axis="axisRow" fieldPosition="0"/>
    </format>
    <format dxfId="61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60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59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58">
      <pivotArea dataOnly="0" labelOnly="1" grandRow="1" outline="0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type="origin" dataOnly="0" labelOnly="1" outline="0" fieldPosition="0"/>
    </format>
    <format dxfId="54">
      <pivotArea field="36" type="button" dataOnly="0" labelOnly="1" outline="0" axis="axisCol" fieldPosition="0"/>
    </format>
    <format dxfId="53">
      <pivotArea type="topRight" dataOnly="0" labelOnly="1" outline="0" fieldPosition="0"/>
    </format>
    <format dxfId="52">
      <pivotArea field="20" type="button" dataOnly="0" labelOnly="1" outline="0" axis="axisRow" fieldPosition="0"/>
    </format>
    <format dxfId="51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50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9">
      <pivotArea dataOnly="0" labelOnly="1" grandRow="1" outline="0" fieldPosition="0"/>
    </format>
    <format dxfId="48">
      <pivotArea dataOnly="0" labelOnly="1" fieldPosition="0">
        <references count="1">
          <reference field="36" count="0"/>
        </references>
      </pivotArea>
    </format>
    <format dxfId="47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6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45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44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43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42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41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40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39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8">
      <pivotArea type="origin" dataOnly="0" labelOnly="1" outline="0" fieldPosition="0"/>
    </format>
    <format dxfId="37">
      <pivotArea field="20" type="button" dataOnly="0" labelOnly="1" outline="0" axis="axisRow" fieldPosition="0"/>
    </format>
    <format dxfId="36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35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34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9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1:Q125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446"/>
        <item m="1" x="7694"/>
        <item m="1" x="5066"/>
        <item m="1" x="5104"/>
        <item m="1" x="5078"/>
        <item m="1" x="7410"/>
        <item m="1" x="7834"/>
        <item m="1" x="6281"/>
        <item m="1" x="5795"/>
        <item m="1" x="5130"/>
        <item m="1" x="7684"/>
        <item m="1" x="6523"/>
        <item m="1" x="5134"/>
        <item m="1" x="3918"/>
        <item m="1" x="1728"/>
        <item m="1" x="5056"/>
        <item m="1" x="5026"/>
        <item m="1" x="5068"/>
        <item m="1" x="6286"/>
        <item m="1" x="1701"/>
        <item m="1" x="6524"/>
        <item m="1" x="2769"/>
        <item m="1" x="5112"/>
        <item m="1" x="6533"/>
        <item m="1" x="3917"/>
        <item m="1" x="7686"/>
        <item m="1" x="5069"/>
        <item m="1" x="4268"/>
        <item m="1" x="6285"/>
        <item m="1" x="6014"/>
        <item m="1" x="6015"/>
        <item m="1" x="6847"/>
        <item m="1" x="3919"/>
        <item m="1" x="3189"/>
        <item m="1" x="7816"/>
        <item m="1" x="1703"/>
        <item m="1" x="4007"/>
        <item m="1" x="6256"/>
        <item m="1" x="5060"/>
        <item m="1" x="5054"/>
        <item m="1" x="3922"/>
        <item m="1" x="3920"/>
        <item m="1" x="7545"/>
        <item m="1" x="4010"/>
        <item m="1" x="4009"/>
        <item m="1" x="4008"/>
        <item m="1" x="4011"/>
        <item m="1" x="4012"/>
        <item m="1" x="6758"/>
        <item m="1" x="6848"/>
        <item m="1" x="5071"/>
        <item m="1" x="5055"/>
        <item m="1" x="3921"/>
        <item m="1" x="4006"/>
        <item m="1" x="4013"/>
        <item m="1" x="4005"/>
        <item m="1" x="4015"/>
        <item m="1" x="7708"/>
        <item m="1" x="7703"/>
        <item m="1" x="7883"/>
        <item m="1" x="7757"/>
        <item m="1" x="7825"/>
        <item m="1" x="7746"/>
        <item m="1" x="7676"/>
        <item m="1" x="7693"/>
        <item m="1" x="7810"/>
        <item m="1" x="7861"/>
        <item m="1" x="7800"/>
        <item m="1" x="7801"/>
        <item m="1" x="7821"/>
        <item m="1" x="7688"/>
        <item m="1" x="5928"/>
        <item m="1" x="7767"/>
        <item m="1" x="7806"/>
        <item m="1" x="7683"/>
        <item m="1" x="4857"/>
        <item m="1" x="7826"/>
        <item m="1" x="7839"/>
        <item m="1" x="7744"/>
        <item m="1" x="2091"/>
        <item m="1" x="7712"/>
        <item m="1" x="7859"/>
        <item m="1" x="7724"/>
        <item m="1" x="7824"/>
        <item m="1" x="6026"/>
        <item m="1" x="7731"/>
        <item m="1" x="7719"/>
        <item m="1" x="7901"/>
        <item m="1" x="7732"/>
        <item m="1" x="7736"/>
        <item m="1" x="7742"/>
        <item m="1" x="7704"/>
        <item m="1" x="7734"/>
        <item m="1" x="7733"/>
        <item m="1" x="7739"/>
        <item m="1" x="7740"/>
        <item m="1" x="7770"/>
        <item m="1" x="5052"/>
        <item m="1" x="7758"/>
        <item m="1" x="7799"/>
        <item m="1" x="4267"/>
        <item m="1" x="7705"/>
        <item m="1" x="7707"/>
        <item m="1" x="7710"/>
        <item m="1" x="7745"/>
        <item m="1" x="7818"/>
        <item m="1" x="7913"/>
        <item m="1" x="7786"/>
        <item m="1" x="7725"/>
        <item m="1" x="7792"/>
        <item m="1" x="7812"/>
        <item m="1" x="7819"/>
        <item m="1" x="3751"/>
        <item m="1" x="7689"/>
        <item m="1" x="6278"/>
        <item m="1" x="6290"/>
        <item m="1" x="7717"/>
        <item m="1" x="7820"/>
        <item m="1" x="5106"/>
        <item m="1" x="7655"/>
        <item m="1" x="7814"/>
        <item m="1" x="7815"/>
        <item m="1" x="7229"/>
        <item m="1" x="7926"/>
        <item m="1" x="7759"/>
        <item m="1" x="7727"/>
        <item m="1" x="7728"/>
        <item m="1" x="7698"/>
        <item m="1" x="7140"/>
        <item m="1" x="6986"/>
        <item m="1" x="6226"/>
        <item m="1" x="7791"/>
        <item m="1" x="7713"/>
        <item m="1" x="7714"/>
        <item m="1" x="7715"/>
        <item m="1" x="7301"/>
        <item m="1" x="7781"/>
        <item m="1" x="7787"/>
        <item m="1" x="7866"/>
        <item m="1" x="7858"/>
        <item m="1" x="4778"/>
        <item m="1" x="7730"/>
        <item m="1" x="7785"/>
        <item m="1" x="7779"/>
        <item m="1" x="6025"/>
        <item m="1" x="7891"/>
        <item m="1" x="2792"/>
        <item m="1" x="6701"/>
        <item m="1" x="7902"/>
        <item m="1" x="7774"/>
        <item m="1" x="7772"/>
        <item m="1" x="7780"/>
        <item m="1" x="7776"/>
        <item m="1" x="7700"/>
        <item m="1" x="6514"/>
        <item m="1" x="7726"/>
        <item m="1" x="7741"/>
        <item m="1" x="7270"/>
        <item m="1" x="7737"/>
        <item m="1" x="7372"/>
        <item m="1" x="2785"/>
        <item m="1" x="7114"/>
        <item m="1" x="7495"/>
        <item m="1" x="7695"/>
        <item m="1" x="7881"/>
        <item m="1" x="6280"/>
        <item m="1" x="7783"/>
        <item m="1" x="7748"/>
        <item m="1" x="7775"/>
        <item m="1" x="7771"/>
        <item m="1" x="7773"/>
        <item m="1" x="7788"/>
        <item m="1" x="4997"/>
        <item m="1" x="7851"/>
        <item m="1" x="7761"/>
        <item m="1" x="7852"/>
        <item m="1" x="7853"/>
        <item m="1" x="7952"/>
        <item m="1" x="7892"/>
        <item m="1" x="7132"/>
        <item m="1" x="6985"/>
        <item m="1" x="7796"/>
        <item m="1" x="7797"/>
        <item m="1" x="5109"/>
        <item m="1" x="7909"/>
        <item m="1" x="7749"/>
        <item m="1" x="7670"/>
        <item m="1" x="7488"/>
        <item m="1" x="7811"/>
        <item m="1" x="7699"/>
        <item m="1" x="7802"/>
        <item m="1" x="6288"/>
        <item m="1" x="7738"/>
        <item m="1" x="6279"/>
        <item m="1" x="7235"/>
        <item m="1" x="6988"/>
        <item m="1" x="7650"/>
        <item m="1" x="7656"/>
        <item m="1" x="7854"/>
        <item m="1" x="7855"/>
        <item m="1" x="7518"/>
        <item m="1" x="6083"/>
        <item m="1" x="3403"/>
        <item m="1" x="7860"/>
        <item m="1" x="3174"/>
        <item m="1" x="7644"/>
        <item m="1" x="7322"/>
        <item m="1" x="7977"/>
        <item m="1" x="7702"/>
        <item m="1" x="7716"/>
        <item m="1" x="7847"/>
        <item m="1" x="7836"/>
        <item m="1" x="7833"/>
        <item m="1" x="7765"/>
        <item m="1" x="2033"/>
        <item m="1" x="7794"/>
        <item m="1" x="7638"/>
        <item m="1" x="7639"/>
        <item m="1" x="7640"/>
        <item m="1" x="7642"/>
        <item m="1" x="7131"/>
        <item m="1" x="5696"/>
        <item m="1" x="6987"/>
        <item m="1" x="5036"/>
        <item m="1" x="7886"/>
        <item m="1" x="7608"/>
        <item m="1" x="7609"/>
        <item m="1" x="7944"/>
        <item m="1" x="7133"/>
        <item m="1" x="7823"/>
        <item m="1" x="7711"/>
        <item m="1" x="7896"/>
        <item m="1" x="7370"/>
        <item m="1" x="7371"/>
        <item m="1" x="7793"/>
        <item m="1" x="7722"/>
        <item m="1" x="6283"/>
        <item m="1" x="6282"/>
        <item m="1" x="5077"/>
        <item m="1" x="6526"/>
        <item m="1" x="7566"/>
        <item m="1" x="7980"/>
        <item m="1" x="7981"/>
        <item m="1" x="7769"/>
        <item m="1" x="7829"/>
        <item m="1" x="7978"/>
        <item m="1" x="7662"/>
        <item m="1" x="7915"/>
        <item m="1" x="7782"/>
        <item m="1" x="6734"/>
        <item m="1" x="7803"/>
        <item m="1" x="7804"/>
        <item m="1" x="7641"/>
        <item m="1" x="7643"/>
        <item m="1" x="7768"/>
        <item m="1" x="7718"/>
        <item m="1" x="7828"/>
        <item m="1" x="7827"/>
        <item m="1" x="6721"/>
        <item m="1" x="5035"/>
        <item m="1" x="7937"/>
        <item m="1" x="7940"/>
        <item m="1" x="7904"/>
        <item m="1" x="7000"/>
        <item m="1" x="7870"/>
        <item m="1" x="7840"/>
        <item m="1" x="7914"/>
        <item m="1" x="7947"/>
        <item m="1" x="7469"/>
        <item m="1" x="7956"/>
        <item m="1" x="7955"/>
        <item m="1" x="7953"/>
        <item m="1" x="7790"/>
        <item m="1" x="7993"/>
        <item m="1" x="7961"/>
        <item m="1" x="7962"/>
        <item m="1" x="7963"/>
        <item m="1" x="7958"/>
        <item m="1" x="7972"/>
        <item m="1" x="7973"/>
        <item m="1" x="7974"/>
        <item m="1" x="7975"/>
        <item m="1" x="7976"/>
        <item m="1" x="7903"/>
        <item m="1" x="7988"/>
        <item m="1" x="7691"/>
        <item m="1" x="7690"/>
        <item m="1" x="7321"/>
        <item m="1" x="7979"/>
        <item m="1" x="7987"/>
        <item m="1" x="7871"/>
        <item m="1" x="7986"/>
        <item m="1" x="7869"/>
        <item m="1" x="7831"/>
        <item m="1" x="7982"/>
        <item m="1" x="7983"/>
        <item m="1" x="7872"/>
        <item m="1" x="7994"/>
        <item m="1" x="7868"/>
        <item m="1" x="7658"/>
        <item m="1" x="7999"/>
        <item m="1" x="7632"/>
        <item m="1" x="7637"/>
        <item m="1" x="7809"/>
        <item m="1" x="7654"/>
        <item m="1" x="7927"/>
        <item m="1" x="7928"/>
        <item m="1" x="7849"/>
        <item m="1" x="7929"/>
        <item m="1" x="7218"/>
        <item m="1" x="7930"/>
        <item m="1" x="7931"/>
        <item m="1" x="7429"/>
        <item m="1" x="7932"/>
        <item m="1" x="7933"/>
        <item m="1" x="7663"/>
        <item m="1" x="7664"/>
        <item m="1" x="7934"/>
        <item m="1" x="7935"/>
        <item m="1" x="7936"/>
        <item m="1" x="7938"/>
        <item m="1" x="7720"/>
        <item m="1" x="7939"/>
        <item m="1" x="7941"/>
        <item m="1" x="6990"/>
        <item m="1" x="7225"/>
        <item m="1" x="7582"/>
        <item m="1" x="7942"/>
        <item m="1" x="7943"/>
        <item m="1" x="7945"/>
        <item m="1" x="6710"/>
        <item m="1" x="7946"/>
        <item m="1" x="7948"/>
        <item m="1" x="7949"/>
        <item m="1" x="7950"/>
        <item m="1" x="7951"/>
        <item m="1" x="7568"/>
        <item m="1" x="7373"/>
        <item m="1" x="7615"/>
        <item m="1" x="7628"/>
        <item m="1" x="7954"/>
        <item m="1" x="7897"/>
        <item m="1" x="7957"/>
        <item m="1" x="7959"/>
        <item m="1" x="7960"/>
        <item m="1" x="7964"/>
        <item m="1" x="7965"/>
        <item m="1" x="7966"/>
        <item m="1" x="7967"/>
        <item m="1" x="7968"/>
        <item m="1" x="7969"/>
        <item m="1" x="7970"/>
        <item m="1" x="7971"/>
        <item m="1" x="7245"/>
        <item m="1" x="7629"/>
        <item m="1" x="6989"/>
        <item m="1" x="6284"/>
        <item m="1" x="7581"/>
        <item m="1" x="7912"/>
        <item m="1" x="7755"/>
        <item m="1" x="7756"/>
        <item m="1" x="7754"/>
        <item m="1" x="7813"/>
        <item m="1" x="7984"/>
        <item m="1" x="7985"/>
        <item m="1" x="7832"/>
        <item m="1" x="7830"/>
        <item m="1" x="7867"/>
        <item m="1" x="7567"/>
        <item m="1" x="7240"/>
        <item m="1" x="7789"/>
        <item m="1" x="7989"/>
        <item m="1" x="7990"/>
        <item m="1" x="7991"/>
        <item m="1" x="7992"/>
        <item m="1" x="7995"/>
        <item m="1" x="6277"/>
        <item m="1" x="7996"/>
        <item m="1" x="7607"/>
        <item m="1" x="7997"/>
        <item m="1" x="7998"/>
        <item m="1" x="7136"/>
        <item m="1" x="7135"/>
        <item m="1" x="7626"/>
        <item m="1" x="7916"/>
        <item m="1" x="7532"/>
        <item m="1" x="4826"/>
        <item m="1" x="7679"/>
        <item m="1" x="7747"/>
        <item m="1" x="7753"/>
        <item m="1" x="7360"/>
        <item m="1" x="7924"/>
        <item m="1" x="6997"/>
        <item m="1" x="6702"/>
        <item m="1" x="6709"/>
        <item m="1" x="7837"/>
        <item m="1" x="7817"/>
        <item m="1" x="7838"/>
        <item m="1" x="7923"/>
        <item m="1" x="7925"/>
        <item m="1" x="7874"/>
        <item m="1" x="7763"/>
        <item m="1" x="7697"/>
        <item m="1" x="7850"/>
        <item m="1" x="7875"/>
        <item m="1" x="7876"/>
        <item m="1" x="7877"/>
        <item m="1" x="7438"/>
        <item m="1" x="5065"/>
        <item m="1" x="7291"/>
        <item m="1" x="7878"/>
        <item m="1" x="7685"/>
        <item m="1" x="7879"/>
        <item m="1" x="7680"/>
        <item m="1" x="7880"/>
        <item m="1" x="7882"/>
        <item m="1" x="7665"/>
        <item m="1" x="7884"/>
        <item m="1" x="7269"/>
        <item m="1" x="7885"/>
        <item m="1" x="7887"/>
        <item m="1" x="7888"/>
        <item m="1" x="7889"/>
        <item m="1" x="7846"/>
        <item m="1" x="7709"/>
        <item m="1" x="7822"/>
        <item m="1" x="7583"/>
        <item m="1" x="7890"/>
        <item m="1" x="7510"/>
        <item m="1" x="7893"/>
        <item m="1" x="7894"/>
        <item m="1" x="7895"/>
        <item m="1" x="7366"/>
        <item m="1" x="7374"/>
        <item m="1" x="7588"/>
        <item m="1" x="7589"/>
        <item m="1" x="7139"/>
        <item m="1" x="7898"/>
        <item m="1" x="7899"/>
        <item m="1" x="7900"/>
        <item m="1" x="7574"/>
        <item m="1" x="7575"/>
        <item m="1" x="7576"/>
        <item m="1" x="3196"/>
        <item m="1" x="7766"/>
        <item m="1" x="7486"/>
        <item m="1" x="7905"/>
        <item m="1" x="7906"/>
        <item m="1" x="5062"/>
        <item m="1" x="7907"/>
        <item m="1" x="7908"/>
        <item m="1" x="7910"/>
        <item m="1" x="7911"/>
        <item m="1" x="7743"/>
        <item m="1" x="7565"/>
        <item m="1" x="7687"/>
        <item m="1" x="7668"/>
        <item m="1" x="7667"/>
        <item m="1" x="7563"/>
        <item m="1" x="7778"/>
        <item m="1" x="5022"/>
        <item m="1" x="7777"/>
        <item m="1" x="7601"/>
        <item m="1" x="7602"/>
        <item m="1" x="7603"/>
        <item m="1" x="7735"/>
        <item m="1" x="7598"/>
        <item m="1" x="6850"/>
        <item m="1" x="7784"/>
        <item m="1" x="7917"/>
        <item m="1" x="7918"/>
        <item m="1" x="7622"/>
        <item m="1" x="7919"/>
        <item m="1" x="7920"/>
        <item m="1" x="7921"/>
        <item m="1" x="7569"/>
        <item m="1" x="7752"/>
        <item m="1" x="7618"/>
        <item m="1" x="7539"/>
        <item m="1" x="7624"/>
        <item m="1" x="7659"/>
        <item m="1" x="7623"/>
        <item m="1" x="7648"/>
        <item m="1" x="7649"/>
        <item m="1" x="7646"/>
        <item m="1" x="7634"/>
        <item m="1" x="7633"/>
        <item m="1" x="7922"/>
        <item m="1" x="7795"/>
        <item m="1" x="7630"/>
        <item m="1" x="6708"/>
        <item m="1" x="7636"/>
        <item m="1" x="7798"/>
        <item m="1" x="7562"/>
        <item m="1" x="7524"/>
        <item m="1" x="7525"/>
        <item m="1" x="7388"/>
        <item m="1" x="7564"/>
        <item m="1" x="7298"/>
        <item m="1" x="7299"/>
        <item m="1" x="7570"/>
        <item m="1" x="7571"/>
        <item m="1" x="7572"/>
        <item m="1" x="7573"/>
        <item m="1" x="7577"/>
        <item m="1" x="7578"/>
        <item m="1" x="7579"/>
        <item m="1" x="7580"/>
        <item m="1" x="7584"/>
        <item m="1" x="6999"/>
        <item m="1" x="7585"/>
        <item m="1" x="7586"/>
        <item m="1" x="7587"/>
        <item m="1" x="7590"/>
        <item m="1" x="7591"/>
        <item m="1" x="7592"/>
        <item m="1" x="7593"/>
        <item m="1" x="7594"/>
        <item m="1" x="7464"/>
        <item m="1" x="7595"/>
        <item m="1" x="7596"/>
        <item m="1" x="7597"/>
        <item m="1" x="6998"/>
        <item m="1" x="7345"/>
        <item m="1" x="6849"/>
        <item m="1" x="7599"/>
        <item m="1" x="7600"/>
        <item m="1" x="7237"/>
        <item m="1" x="7238"/>
        <item m="1" x="7239"/>
        <item m="1" x="7604"/>
        <item m="1" x="7605"/>
        <item m="1" x="7606"/>
        <item m="1" x="5098"/>
        <item m="1" x="6995"/>
        <item m="1" x="7610"/>
        <item m="1" x="7611"/>
        <item m="1" x="7612"/>
        <item m="1" x="7613"/>
        <item m="1" x="7614"/>
        <item m="1" x="7367"/>
        <item m="1" x="7616"/>
        <item m="1" x="7617"/>
        <item m="1" x="7619"/>
        <item m="1" x="7620"/>
        <item m="1" x="7621"/>
        <item m="1" x="7625"/>
        <item m="1" x="7627"/>
        <item m="1" x="7631"/>
        <item m="1" x="6996"/>
        <item m="1" x="7477"/>
        <item m="1" x="7635"/>
        <item m="1" x="5088"/>
        <item m="1" x="2784"/>
        <item m="1" x="7645"/>
        <item m="1" x="7647"/>
        <item m="1" x="7137"/>
        <item m="1" x="7138"/>
        <item m="1" x="7651"/>
        <item m="1" x="7652"/>
        <item m="1" x="7653"/>
        <item m="1" x="7275"/>
        <item m="1" x="7657"/>
        <item m="1" x="7660"/>
        <item m="1" x="7661"/>
        <item m="1" x="6993"/>
        <item m="1" x="7666"/>
        <item m="1" x="7263"/>
        <item m="1" x="7669"/>
        <item m="1" x="7671"/>
        <item m="1" x="7672"/>
        <item m="1" x="7673"/>
        <item m="1" x="7674"/>
        <item m="1" x="7675"/>
        <item m="1" x="7677"/>
        <item m="1" x="7678"/>
        <item m="1" x="7264"/>
        <item m="1" x="7681"/>
        <item m="1" x="7682"/>
        <item m="1" x="7692"/>
        <item m="1" x="7696"/>
        <item m="1" x="7701"/>
        <item m="1" x="7706"/>
        <item m="1" x="7721"/>
        <item m="1" x="7723"/>
        <item m="1" x="7729"/>
        <item m="1" x="7750"/>
        <item m="1" x="7751"/>
        <item m="1" x="7760"/>
        <item m="1" x="7762"/>
        <item m="1" x="7764"/>
        <item m="1" x="7805"/>
        <item m="1" x="7807"/>
        <item m="1" x="7808"/>
        <item m="1" x="7426"/>
        <item m="1" x="7428"/>
        <item m="1" x="7835"/>
        <item m="1" x="7841"/>
        <item m="1" x="7842"/>
        <item m="1" x="7553"/>
        <item m="1" x="7512"/>
        <item m="1" x="7843"/>
        <item m="1" x="7844"/>
        <item m="1" x="7845"/>
        <item m="1" x="7848"/>
        <item m="1" x="7856"/>
        <item m="1" x="7857"/>
        <item m="1" x="7862"/>
        <item m="1" x="7863"/>
        <item m="1" x="7864"/>
        <item m="1" x="7865"/>
        <item m="1" x="6984"/>
        <item m="1" x="7439"/>
        <item m="1" x="7873"/>
        <item m="1" x="7001"/>
        <item m="1" x="7522"/>
        <item m="1" x="7304"/>
        <item m="1" x="7523"/>
        <item m="1" x="7141"/>
        <item m="1" x="7307"/>
        <item m="1" x="7308"/>
        <item m="1" x="7526"/>
        <item m="1" x="7527"/>
        <item m="1" x="7451"/>
        <item m="1" x="7528"/>
        <item m="1" x="7442"/>
        <item m="1" x="7443"/>
        <item m="1" x="7444"/>
        <item m="1" x="7445"/>
        <item m="1" x="7446"/>
        <item m="1" x="7447"/>
        <item m="1" x="7448"/>
        <item m="1" x="6666"/>
        <item m="1" x="7453"/>
        <item m="1" x="7529"/>
        <item m="1" x="7324"/>
        <item m="1" x="7223"/>
        <item m="1" x="6992"/>
        <item m="1" x="6991"/>
        <item m="1" x="7226"/>
        <item m="1" x="6703"/>
        <item m="1" x="7456"/>
        <item m="1" x="7530"/>
        <item m="1" x="6732"/>
        <item m="1" x="7531"/>
        <item m="1" x="7458"/>
        <item m="1" x="7255"/>
        <item m="1" x="7460"/>
        <item m="1" x="7461"/>
        <item m="1" x="7334"/>
        <item m="1" x="7230"/>
        <item m="1" x="6994"/>
        <item m="1" x="7533"/>
        <item m="1" x="7338"/>
        <item m="1" x="5008"/>
        <item m="1" x="7143"/>
        <item m="1" x="7343"/>
        <item m="1" x="7231"/>
        <item m="1" x="7134"/>
        <item m="1" x="7351"/>
        <item m="1" x="7534"/>
        <item m="1" x="5103"/>
        <item m="1" x="7535"/>
        <item m="1" x="5004"/>
        <item m="1" x="7536"/>
        <item m="1" x="7537"/>
        <item m="1" x="7353"/>
        <item m="1" x="7354"/>
        <item m="1" x="7355"/>
        <item m="1" x="5063"/>
        <item m="1" x="6704"/>
        <item m="1" x="7359"/>
        <item m="1" x="5002"/>
        <item m="1" x="7365"/>
        <item m="1" x="7538"/>
        <item m="1" x="7376"/>
        <item m="1" x="7478"/>
        <item m="1" x="7479"/>
        <item m="1" x="7380"/>
        <item m="1" x="7540"/>
        <item m="1" x="7474"/>
        <item m="1" x="7475"/>
        <item m="1" x="7385"/>
        <item m="1" x="7008"/>
        <item m="1" x="7541"/>
        <item m="1" x="7390"/>
        <item m="1" x="7481"/>
        <item m="1" x="7249"/>
        <item m="1" x="7260"/>
        <item m="1" x="7261"/>
        <item m="1" x="7542"/>
        <item m="1" x="5794"/>
        <item m="1" x="7543"/>
        <item m="1" x="4998"/>
        <item m="1" x="7544"/>
        <item m="1" x="7277"/>
        <item m="1" x="5086"/>
        <item m="1" x="7011"/>
        <item m="1" x="7546"/>
        <item m="1" x="6851"/>
        <item m="1" x="5038"/>
        <item m="1" x="5044"/>
        <item m="1" x="7246"/>
        <item m="1" x="6525"/>
        <item m="1" x="7547"/>
        <item m="1" x="7548"/>
        <item m="1" x="6705"/>
        <item m="1" x="6706"/>
        <item m="1" x="6852"/>
        <item m="1" x="7549"/>
        <item m="1" x="5058"/>
        <item m="1" x="7550"/>
        <item m="1" x="5061"/>
        <item m="1" x="7507"/>
        <item m="1" x="7551"/>
        <item m="1" x="7552"/>
        <item m="1" x="6291"/>
        <item m="1" x="6707"/>
        <item m="1" x="7013"/>
        <item m="1" x="7554"/>
        <item m="1" x="5697"/>
        <item m="1" x="7555"/>
        <item m="1" x="7556"/>
        <item m="1" x="7557"/>
        <item m="1" x="7558"/>
        <item m="1" x="5129"/>
        <item m="1" x="7559"/>
        <item m="1" x="6628"/>
        <item m="1" x="7560"/>
        <item m="1" x="7561"/>
        <item m="1" x="7289"/>
        <item m="1" x="7290"/>
        <item m="1" x="7292"/>
        <item m="1" x="7440"/>
        <item m="1" x="7293"/>
        <item m="1" x="7302"/>
        <item m="1" x="6532"/>
        <item m="1" x="7303"/>
        <item m="1" x="7310"/>
        <item m="1" x="7142"/>
        <item m="1" x="7295"/>
        <item m="1" x="7296"/>
        <item m="1" x="7002"/>
        <item m="1" x="7297"/>
        <item m="1" x="5043"/>
        <item m="1" x="7300"/>
        <item m="1" x="6711"/>
        <item m="1" x="7441"/>
        <item m="1" x="7395"/>
        <item m="1" x="7449"/>
        <item m="1" x="7450"/>
        <item m="1" x="7316"/>
        <item m="1" x="7314"/>
        <item m="1" x="7315"/>
        <item m="1" x="5437"/>
        <item m="1" x="7452"/>
        <item m="1" x="7312"/>
        <item m="1" x="7454"/>
        <item m="1" x="7319"/>
        <item m="1" x="7320"/>
        <item m="1" x="7455"/>
        <item m="1" x="7224"/>
        <item m="1" x="7323"/>
        <item m="1" x="7005"/>
        <item m="1" x="7457"/>
        <item m="1" x="7328"/>
        <item m="1" x="7329"/>
        <item m="1" x="7459"/>
        <item m="1" x="7331"/>
        <item m="1" x="7332"/>
        <item m="1" x="7333"/>
        <item m="1" x="7462"/>
        <item m="1" x="7463"/>
        <item m="1" x="7339"/>
        <item m="1" x="7006"/>
        <item m="1" x="7342"/>
        <item m="1" x="7144"/>
        <item m="1" x="7344"/>
        <item m="1" x="7233"/>
        <item m="1" x="7465"/>
        <item m="1" x="7368"/>
        <item m="1" x="7369"/>
        <item m="1" x="7242"/>
        <item m="1" x="7466"/>
        <item m="1" x="5040"/>
        <item m="1" x="7467"/>
        <item m="1" x="7468"/>
        <item m="1" x="6717"/>
        <item m="1" x="7363"/>
        <item m="1" x="7364"/>
        <item m="1" x="7007"/>
        <item m="1" x="7352"/>
        <item m="1" x="6530"/>
        <item m="1" x="7470"/>
        <item m="1" x="7361"/>
        <item m="1" x="7471"/>
        <item m="1" x="6528"/>
        <item m="1" x="7472"/>
        <item m="1" x="7377"/>
        <item m="1" x="7473"/>
        <item m="1" x="7378"/>
        <item m="1" x="7386"/>
        <item m="1" x="7476"/>
        <item m="1" x="7379"/>
        <item m="1" x="7480"/>
        <item m="1" x="7391"/>
        <item m="1" x="7482"/>
        <item m="1" x="7483"/>
        <item m="1" x="7484"/>
        <item m="1" x="6536"/>
        <item m="1" x="7485"/>
        <item m="1" x="7258"/>
        <item m="1" x="4982"/>
        <item m="1" x="7254"/>
        <item m="1" x="7145"/>
        <item m="1" x="7487"/>
        <item m="1" x="7014"/>
        <item m="1" x="7259"/>
        <item m="1" x="6719"/>
        <item m="1" x="7262"/>
        <item m="1" x="7399"/>
        <item m="1" x="7400"/>
        <item m="1" x="6629"/>
        <item m="1" x="7009"/>
        <item m="1" x="7489"/>
        <item m="1" x="7407"/>
        <item m="1" x="7406"/>
        <item m="1" x="5796"/>
        <item m="1" x="7490"/>
        <item m="1" x="5699"/>
        <item m="1" x="7266"/>
        <item m="1" x="7491"/>
        <item m="1" x="7492"/>
        <item m="1" x="5003"/>
        <item m="1" x="5000"/>
        <item m="1" x="5001"/>
        <item m="1" x="6853"/>
        <item m="1" x="7493"/>
        <item m="1" x="7494"/>
        <item m="1" x="7416"/>
        <item m="1" x="7496"/>
        <item m="1" x="7497"/>
        <item m="1" x="7012"/>
        <item m="1" x="5030"/>
        <item m="1" x="7498"/>
        <item m="1" x="7499"/>
        <item m="1" x="5045"/>
        <item m="1" x="7147"/>
        <item m="1" x="7148"/>
        <item m="1" x="7278"/>
        <item m="1" x="6289"/>
        <item m="1" x="5017"/>
        <item m="1" x="5013"/>
        <item m="1" x="7146"/>
        <item m="1" x="6531"/>
        <item m="1" x="6529"/>
        <item m="1" x="7500"/>
        <item m="1" x="6854"/>
        <item m="1" x="7417"/>
        <item m="1" x="7501"/>
        <item m="1" x="7502"/>
        <item m="1" x="7503"/>
        <item m="1" x="7504"/>
        <item m="1" x="5070"/>
        <item m="1" x="5075"/>
        <item m="1" x="7505"/>
        <item m="1" x="7506"/>
        <item m="1" x="7425"/>
        <item m="1" x="5097"/>
        <item m="1" x="7508"/>
        <item m="1" x="7427"/>
        <item m="1" x="7509"/>
        <item m="1" x="7511"/>
        <item m="1" x="7513"/>
        <item m="1" x="7514"/>
        <item m="1" x="6535"/>
        <item m="1" x="7515"/>
        <item m="1" x="7516"/>
        <item m="1" x="7517"/>
        <item m="1" x="7284"/>
        <item m="1" x="5701"/>
        <item m="1" x="7432"/>
        <item m="1" x="7435"/>
        <item m="1" x="7434"/>
        <item m="1" x="7519"/>
        <item m="1" x="7436"/>
        <item m="1" x="7437"/>
        <item m="1" x="7149"/>
        <item m="1" x="6725"/>
        <item m="1" x="7520"/>
        <item m="1" x="7521"/>
        <item m="1" x="7294"/>
        <item m="1" x="7003"/>
        <item m="1" x="7305"/>
        <item m="1" x="7306"/>
        <item m="1" x="7309"/>
        <item m="1" x="7311"/>
        <item m="1" x="7313"/>
        <item m="1" x="6712"/>
        <item m="1" x="7317"/>
        <item m="1" x="7222"/>
        <item m="1" x="7318"/>
        <item m="1" x="7004"/>
        <item m="1" x="7151"/>
        <item m="1" x="6713"/>
        <item m="1" x="7325"/>
        <item m="1" x="7326"/>
        <item m="1" x="7327"/>
        <item m="1" x="7330"/>
        <item m="1" x="7335"/>
        <item m="1" x="7336"/>
        <item m="1" x="7337"/>
        <item m="1" x="7340"/>
        <item m="1" x="7341"/>
        <item m="1" x="7346"/>
        <item m="1" x="7234"/>
        <item m="1" x="7347"/>
        <item m="1" x="7348"/>
        <item m="1" x="7349"/>
        <item m="1" x="7350"/>
        <item m="1" x="7243"/>
        <item m="1" x="7356"/>
        <item m="1" x="7357"/>
        <item m="1" x="7358"/>
        <item m="1" x="6287"/>
        <item m="1" x="6716"/>
        <item m="1" x="6715"/>
        <item m="1" x="5025"/>
        <item m="1" x="6714"/>
        <item m="1" x="7362"/>
        <item m="1" x="7375"/>
        <item m="1" x="7049"/>
        <item m="1" x="7381"/>
        <item m="1" x="7382"/>
        <item m="1" x="7383"/>
        <item m="1" x="7384"/>
        <item m="1" x="7387"/>
        <item m="1" x="6718"/>
        <item m="1" x="7389"/>
        <item m="1" x="7287"/>
        <item m="1" x="7392"/>
        <item m="1" x="7393"/>
        <item m="1" x="7394"/>
        <item m="1" x="7062"/>
        <item m="1" x="7251"/>
        <item m="1" x="7250"/>
        <item m="1" x="7252"/>
        <item m="1" x="7253"/>
        <item m="1" x="7256"/>
        <item m="1" x="7396"/>
        <item m="1" x="7397"/>
        <item m="1" x="7398"/>
        <item m="1" x="7010"/>
        <item m="1" x="7401"/>
        <item m="1" x="7402"/>
        <item m="1" x="7403"/>
        <item m="1" x="7404"/>
        <item m="1" x="5797"/>
        <item m="1" x="7405"/>
        <item m="1" x="7265"/>
        <item m="1" x="5698"/>
        <item m="1" x="6722"/>
        <item m="1" x="7408"/>
        <item m="1" x="7409"/>
        <item m="1" x="7411"/>
        <item m="1" x="6630"/>
        <item m="1" x="7279"/>
        <item m="1" x="7412"/>
        <item m="1" x="7413"/>
        <item m="1" x="7414"/>
        <item m="1" x="7415"/>
        <item m="1" x="7182"/>
        <item m="1" x="5049"/>
        <item m="1" x="7274"/>
        <item m="1" x="7418"/>
        <item m="1" x="7419"/>
        <item m="1" x="7420"/>
        <item m="1" x="7421"/>
        <item m="1" x="7422"/>
        <item m="1" x="7271"/>
        <item m="1" x="5089"/>
        <item m="1" x="6723"/>
        <item m="1" x="5700"/>
        <item m="1" x="7423"/>
        <item m="1" x="7424"/>
        <item m="1" x="6292"/>
        <item m="1" x="6534"/>
        <item m="1" x="7184"/>
        <item m="1" x="5117"/>
        <item m="1" x="5116"/>
        <item m="1" x="6546"/>
        <item m="1" x="7430"/>
        <item m="1" x="7431"/>
        <item m="1" x="5703"/>
        <item m="1" x="5704"/>
        <item m="1" x="5126"/>
        <item m="1" x="5702"/>
        <item m="1" x="7433"/>
        <item m="1" x="5705"/>
        <item m="1" x="7188"/>
        <item m="1" x="6724"/>
        <item m="1" x="7026"/>
        <item m="1" x="7027"/>
        <item m="1" x="7150"/>
        <item m="1" x="7216"/>
        <item m="1" x="7217"/>
        <item m="1" x="7219"/>
        <item m="1" x="7220"/>
        <item m="1" x="7221"/>
        <item m="1" x="7227"/>
        <item m="1" x="7228"/>
        <item m="1" x="6864"/>
        <item m="1" x="7044"/>
        <item m="1" x="7154"/>
        <item m="1" x="7232"/>
        <item m="1" x="7236"/>
        <item m="1" x="7155"/>
        <item m="1" x="7241"/>
        <item m="1" x="7157"/>
        <item m="1" x="7158"/>
        <item m="1" x="6296"/>
        <item m="1" x="7162"/>
        <item m="1" x="7244"/>
        <item m="1" x="7165"/>
        <item m="1" x="7050"/>
        <item m="1" x="7172"/>
        <item m="1" x="6225"/>
        <item m="1" x="7054"/>
        <item m="1" x="7170"/>
        <item m="1" x="6888"/>
        <item m="1" x="7056"/>
        <item m="1" x="7057"/>
        <item m="1" x="6889"/>
        <item m="1" x="6633"/>
        <item m="1" x="7247"/>
        <item m="1" x="7248"/>
        <item m="1" x="7061"/>
        <item m="1" x="7173"/>
        <item m="1" x="7257"/>
        <item m="1" x="5800"/>
        <item m="1" x="5803"/>
        <item m="1" x="6018"/>
        <item m="1" x="6017"/>
        <item m="1" x="6019"/>
        <item m="1" x="7267"/>
        <item m="1" x="7268"/>
        <item m="1" x="6301"/>
        <item m="1" x="5042"/>
        <item m="1" x="5034"/>
        <item m="1" x="7180"/>
        <item m="1" x="7272"/>
        <item m="1" x="7273"/>
        <item m="1" x="5454"/>
        <item m="1" x="7276"/>
        <item m="1" x="5073"/>
        <item m="1" x="5074"/>
        <item m="1" x="5072"/>
        <item m="1" x="5712"/>
        <item m="1" x="5014"/>
        <item m="1" x="5018"/>
        <item m="1" x="7280"/>
        <item m="1" x="5111"/>
        <item m="1" x="7281"/>
        <item m="1" x="6305"/>
        <item m="1" x="5118"/>
        <item m="1" x="7189"/>
        <item m="1" x="7282"/>
        <item m="1" x="7283"/>
        <item m="1" x="7285"/>
        <item m="1" x="7286"/>
        <item m="1" x="5132"/>
        <item m="1" x="7288"/>
        <item m="1" x="6640"/>
        <item m="1" x="6700"/>
        <item m="1" x="5119"/>
        <item m="1" x="7015"/>
        <item m="1" x="7025"/>
        <item m="1" x="6858"/>
        <item m="1" x="6726"/>
        <item m="1" x="7152"/>
        <item m="1" x="7153"/>
        <item m="1" x="7031"/>
        <item m="1" x="6862"/>
        <item m="1" x="6863"/>
        <item m="1" x="7024"/>
        <item m="1" x="7036"/>
        <item m="1" x="7037"/>
        <item m="1" x="7038"/>
        <item m="1" x="7035"/>
        <item m="1" x="7156"/>
        <item m="1" x="7159"/>
        <item m="1" x="7160"/>
        <item m="1" x="7051"/>
        <item m="1" x="6385"/>
        <item m="1" x="6881"/>
        <item m="1" x="6731"/>
        <item m="1" x="6880"/>
        <item m="1" x="7161"/>
        <item m="1" x="7046"/>
        <item m="1" x="7047"/>
        <item m="1" x="7048"/>
        <item m="1" x="7163"/>
        <item m="1" x="7164"/>
        <item m="1" x="7166"/>
        <item m="1" x="7167"/>
        <item m="1" x="7168"/>
        <item m="1" x="6757"/>
        <item m="1" x="7169"/>
        <item m="1" x="7171"/>
        <item m="1" x="6890"/>
        <item m="1" x="6738"/>
        <item m="1" x="7174"/>
        <item m="1" x="7175"/>
        <item m="1" x="7176"/>
        <item m="1" x="7177"/>
        <item m="1" x="2903"/>
        <item m="1" x="7178"/>
        <item m="1" x="7179"/>
        <item m="1" x="7181"/>
        <item m="1" x="7183"/>
        <item m="1" x="7069"/>
        <item m="1" x="7070"/>
        <item m="1" x="4404"/>
        <item m="1" x="7071"/>
        <item m="1" x="7185"/>
        <item m="1" x="7186"/>
        <item m="1" x="7187"/>
        <item m="1" x="7190"/>
        <item m="1" x="7072"/>
        <item m="1" x="7191"/>
        <item m="1" x="6641"/>
        <item m="1" x="7018"/>
        <item m="1" x="7019"/>
        <item m="1" x="6856"/>
        <item m="1" x="7020"/>
        <item m="1" x="7021"/>
        <item m="1" x="7022"/>
        <item m="1" x="5064"/>
        <item m="1" x="7023"/>
        <item m="1" x="6876"/>
        <item m="1" x="7192"/>
        <item m="1" x="6865"/>
        <item m="1" x="7193"/>
        <item m="1" x="7194"/>
        <item m="1" x="6859"/>
        <item m="1" x="7034"/>
        <item m="1" x="7195"/>
        <item m="1" x="6739"/>
        <item m="1" x="7196"/>
        <item m="1" x="7197"/>
        <item m="1" x="7055"/>
        <item m="1" x="7053"/>
        <item m="1" x="7052"/>
        <item m="1" x="7068"/>
        <item m="1" x="7198"/>
        <item m="1" x="7199"/>
        <item m="1" x="7059"/>
        <item m="1" x="7060"/>
        <item m="1" x="7200"/>
        <item m="1" x="5799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5024"/>
        <item m="1" x="7211"/>
        <item m="1" x="5101"/>
        <item m="1" x="7212"/>
        <item m="1" x="7213"/>
        <item m="1" x="6020"/>
        <item m="1" x="5721"/>
        <item m="1" x="5722"/>
        <item m="1" x="6764"/>
        <item m="1" x="7214"/>
        <item m="1" x="5128"/>
        <item m="1" x="7215"/>
        <item m="1" x="7016"/>
        <item m="1" x="7017"/>
        <item m="1" x="6860"/>
        <item m="1" x="7028"/>
        <item m="1" x="7029"/>
        <item m="1" x="7030"/>
        <item m="1" x="6866"/>
        <item m="1" x="7032"/>
        <item m="1" x="7033"/>
        <item m="1" x="7039"/>
        <item m="1" x="7040"/>
        <item m="1" x="7041"/>
        <item m="1" x="7042"/>
        <item m="1" x="7043"/>
        <item m="1" x="7045"/>
        <item m="1" x="6883"/>
        <item m="1" x="6884"/>
        <item m="1" x="6745"/>
        <item m="1" x="7058"/>
        <item m="1" x="7063"/>
        <item m="1" x="7064"/>
        <item m="1" x="7065"/>
        <item m="1" x="5091"/>
        <item m="1" x="7066"/>
        <item m="1" x="7067"/>
        <item m="1" x="5805"/>
        <item m="1" x="6870"/>
        <item m="1" x="5124"/>
        <item m="1" x="6893"/>
        <item m="1" x="6769"/>
        <item m="1" x="5012"/>
        <item m="1" x="6773"/>
        <item m="1" x="6774"/>
        <item m="1" x="7073"/>
        <item m="1" x="7074"/>
        <item m="1" x="7075"/>
        <item m="1" x="7076"/>
        <item m="1" x="7077"/>
        <item m="1" x="7078"/>
        <item m="1" x="7079"/>
        <item m="1" x="7080"/>
        <item m="1" x="6855"/>
        <item m="1" x="6857"/>
        <item m="1" x="7081"/>
        <item m="1" x="7082"/>
        <item m="1" x="7083"/>
        <item m="1" x="6877"/>
        <item m="1" x="6868"/>
        <item m="1" x="6869"/>
        <item m="1" x="6867"/>
        <item m="1" x="7084"/>
        <item m="1" x="6871"/>
        <item m="1" x="6756"/>
        <item m="1" x="6874"/>
        <item m="1" x="6875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6735"/>
        <item m="1" x="6882"/>
        <item m="1" x="7102"/>
        <item m="1" x="7103"/>
        <item m="1" x="7104"/>
        <item m="1" x="7105"/>
        <item m="1" x="7106"/>
        <item m="1" x="7107"/>
        <item m="1" x="7108"/>
        <item m="1" x="7109"/>
        <item m="1" x="6886"/>
        <item m="1" x="7110"/>
        <item m="1" x="6891"/>
        <item m="1" x="7111"/>
        <item m="1" x="7112"/>
        <item m="1" x="7113"/>
        <item m="1" x="7115"/>
        <item m="1" x="7116"/>
        <item m="1" x="6541"/>
        <item m="1" x="7117"/>
        <item m="1" x="7118"/>
        <item m="1" x="7119"/>
        <item m="1" x="7120"/>
        <item m="1" x="5029"/>
        <item m="1" x="7121"/>
        <item m="1" x="7122"/>
        <item m="1" x="7123"/>
        <item m="1" x="7124"/>
        <item m="1" x="7125"/>
        <item m="1" x="5723"/>
        <item m="1" x="6892"/>
        <item m="1" x="7126"/>
        <item m="1" x="7127"/>
        <item m="1" x="7128"/>
        <item m="1" x="7129"/>
        <item m="1" x="7130"/>
        <item m="1" x="4822"/>
        <item m="1" x="6720"/>
        <item m="1" x="6760"/>
        <item m="1" x="6861"/>
        <item m="1" x="6872"/>
        <item m="1" x="6873"/>
        <item m="1" x="6878"/>
        <item m="1" x="6879"/>
        <item m="1" x="6376"/>
        <item m="1" x="6728"/>
        <item m="1" x="6733"/>
        <item m="1" x="6737"/>
        <item x="15"/>
        <item m="1" x="6736"/>
        <item m="1" x="6885"/>
        <item m="1" x="6887"/>
        <item m="1" x="6747"/>
        <item m="1" x="5802"/>
        <item m="1" x="6632"/>
        <item m="1" x="6751"/>
        <item m="1" x="6752"/>
        <item m="1" x="5005"/>
        <item m="1" x="4999"/>
        <item m="1" x="5006"/>
        <item m="1" x="5076"/>
        <item m="1" x="5053"/>
        <item m="1" x="5057"/>
        <item m="1" x="6539"/>
        <item m="1" x="6300"/>
        <item m="1" x="5085"/>
        <item m="1" x="5032"/>
        <item m="1" x="6542"/>
        <item m="1" x="5011"/>
        <item m="1" x="5021"/>
        <item m="1" x="5010"/>
        <item m="1" x="5023"/>
        <item m="1" x="5046"/>
        <item m="1" x="6302"/>
        <item m="1" x="5028"/>
        <item m="1" x="6540"/>
        <item m="1" x="5050"/>
        <item m="1" x="5051"/>
        <item m="1" x="5009"/>
        <item m="1" x="6299"/>
        <item m="1" x="5096"/>
        <item m="1" x="5100"/>
        <item m="1" x="6303"/>
        <item m="1" x="5102"/>
        <item m="1" x="6545"/>
        <item m="1" x="6761"/>
        <item m="1" x="6762"/>
        <item m="1" x="6765"/>
        <item m="1" x="5131"/>
        <item m="1" x="6768"/>
        <item m="1" x="6894"/>
        <item m="1" x="6895"/>
        <item m="1" x="6896"/>
        <item m="1" x="6897"/>
        <item m="1" x="6898"/>
        <item m="1" x="6537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727"/>
        <item m="1" x="6919"/>
        <item m="1" x="6920"/>
        <item m="1" x="6921"/>
        <item m="1" x="6922"/>
        <item m="1" x="6371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2346"/>
        <item m="1" x="6935"/>
        <item m="1" x="6936"/>
        <item m="1" x="6937"/>
        <item m="1" x="6938"/>
        <item m="1" x="6939"/>
        <item m="1" x="6940"/>
        <item m="1" x="6941"/>
        <item m="1" x="6729"/>
        <item m="1" x="6942"/>
        <item m="1" x="6943"/>
        <item m="1" x="6944"/>
        <item m="1" x="6945"/>
        <item m="1" x="6730"/>
        <item m="1" x="6946"/>
        <item m="1" x="6947"/>
        <item m="1" x="6740"/>
        <item m="1" x="6741"/>
        <item m="1" x="6743"/>
        <item m="1" x="6742"/>
        <item m="1" x="6948"/>
        <item m="1" x="6949"/>
        <item m="1" x="6744"/>
        <item m="1" x="6950"/>
        <item m="1" x="6951"/>
        <item m="1" x="4773"/>
        <item m="1" x="6952"/>
        <item m="1" x="6953"/>
        <item m="1" x="5031"/>
        <item m="1" x="6954"/>
        <item m="1" x="6955"/>
        <item m="1" x="6746"/>
        <item m="1" x="6956"/>
        <item m="1" x="6957"/>
        <item m="1" x="6748"/>
        <item m="1" x="6084"/>
        <item m="1" x="6750"/>
        <item m="1" x="6749"/>
        <item m="1" x="5706"/>
        <item m="1" x="6958"/>
        <item m="1" x="6297"/>
        <item m="1" x="6298"/>
        <item m="1" x="6959"/>
        <item m="1" x="6960"/>
        <item m="1" x="6961"/>
        <item m="1" x="6962"/>
        <item m="1" x="5037"/>
        <item m="1" x="6963"/>
        <item m="1" x="6637"/>
        <item m="1" x="5019"/>
        <item m="1" x="5033"/>
        <item m="1" x="5048"/>
        <item m="1" x="6964"/>
        <item m="1" x="5041"/>
        <item m="1" x="5047"/>
        <item m="1" x="6965"/>
        <item m="1" x="6966"/>
        <item m="1" x="6544"/>
        <item m="1" x="6759"/>
        <item m="1" x="5080"/>
        <item m="1" x="5067"/>
        <item m="1" x="6086"/>
        <item m="1" x="6967"/>
        <item m="1" x="6968"/>
        <item m="1" x="6969"/>
        <item m="1" x="6970"/>
        <item m="1" x="6971"/>
        <item m="1" x="6753"/>
        <item m="1" x="6972"/>
        <item m="1" x="6973"/>
        <item m="1" x="6974"/>
        <item m="1" x="6975"/>
        <item m="1" x="6976"/>
        <item m="1" x="5020"/>
        <item m="1" x="6977"/>
        <item m="1" x="6230"/>
        <item m="1" x="6978"/>
        <item m="1" x="6304"/>
        <item m="1" x="6979"/>
        <item m="1" x="6980"/>
        <item m="1" x="6386"/>
        <item m="1" x="3593"/>
        <item m="1" x="6981"/>
        <item m="1" x="6982"/>
        <item m="1" x="5724"/>
        <item m="1" x="3304"/>
        <item m="1" x="6763"/>
        <item m="1" x="6766"/>
        <item m="1" x="6983"/>
        <item m="1" x="6767"/>
        <item m="1" x="6388"/>
        <item m="1" x="6770"/>
        <item m="1" x="6772"/>
        <item m="1" x="6771"/>
        <item m="1" x="6390"/>
        <item m="1" x="6754"/>
        <item m="1" x="6755"/>
        <item m="1" x="6775"/>
        <item m="1" x="6634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5939"/>
        <item m="1" x="6793"/>
        <item m="1" x="6794"/>
        <item m="1" x="6795"/>
        <item m="1" x="6796"/>
        <item m="1" x="6797"/>
        <item m="1" x="6798"/>
        <item m="1" x="6799"/>
        <item m="1" x="6800"/>
        <item m="1" x="6295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606"/>
        <item m="1" x="6819"/>
        <item m="1" x="6820"/>
        <item m="1" x="6821"/>
        <item m="1" x="5716"/>
        <item m="1" x="6822"/>
        <item m="1" x="5714"/>
        <item m="1" x="6823"/>
        <item m="1" x="6824"/>
        <item m="1" x="6825"/>
        <item m="1" x="5059"/>
        <item m="1" x="6826"/>
        <item m="1" x="6827"/>
        <item m="1" x="6828"/>
        <item m="1" x="6229"/>
        <item m="1" x="6829"/>
        <item m="1" x="6830"/>
        <item m="1" x="6636"/>
        <item m="1" x="6831"/>
        <item m="1" x="6832"/>
        <item m="1" x="6833"/>
        <item m="1" x="6834"/>
        <item m="1" x="5105"/>
        <item m="1" x="6835"/>
        <item m="1" x="5107"/>
        <item m="1" x="6836"/>
        <item m="1" x="6837"/>
        <item m="1" x="6838"/>
        <item m="1" x="6839"/>
        <item m="1" x="6840"/>
        <item m="1" x="6841"/>
        <item m="1" x="6842"/>
        <item m="1" x="5718"/>
        <item m="1" x="6843"/>
        <item m="1" x="6639"/>
        <item m="1" x="6844"/>
        <item m="1" x="6845"/>
        <item m="1" x="6846"/>
        <item m="1" x="6626"/>
        <item m="1" x="6522"/>
        <item m="1" x="6627"/>
        <item m="1" x="6527"/>
        <item m="1" x="6631"/>
        <item m="1" x="4987"/>
        <item m="1" x="4986"/>
        <item m="1" x="4988"/>
        <item m="1" x="5709"/>
        <item m="1" x="5711"/>
        <item m="1" x="5093"/>
        <item m="1" x="5094"/>
        <item m="1" x="5087"/>
        <item m="1" x="6635"/>
        <item m="1" x="6638"/>
        <item m="1" x="6021"/>
        <item m="1" x="1707"/>
        <item m="1" x="5573"/>
        <item m="1" x="6555"/>
        <item m="1" x="6556"/>
        <item m="1" x="6557"/>
        <item m="1" x="6558"/>
        <item m="1" x="6554"/>
        <item m="1" x="6642"/>
        <item m="1" x="6398"/>
        <item m="1" x="6399"/>
        <item m="1" x="6400"/>
        <item m="1" x="6401"/>
        <item m="1" x="5798"/>
        <item m="1" x="6232"/>
        <item m="1" x="6643"/>
        <item m="1" x="6016"/>
        <item m="1" x="6367"/>
        <item m="1" x="6644"/>
        <item m="1" x="6368"/>
        <item m="1" x="6369"/>
        <item m="1" x="6370"/>
        <item m="1" x="6645"/>
        <item m="1" x="5810"/>
        <item m="1" x="6293"/>
        <item m="1" x="6413"/>
        <item m="1" x="6372"/>
        <item m="1" x="6646"/>
        <item m="1" x="6647"/>
        <item m="1" x="6648"/>
        <item m="1" x="6649"/>
        <item m="1" x="6650"/>
        <item m="1" x="6538"/>
        <item m="1" x="6436"/>
        <item m="1" x="6437"/>
        <item m="1" x="6651"/>
        <item m="1" x="6383"/>
        <item m="1" x="6652"/>
        <item m="1" x="6653"/>
        <item m="1" x="6294"/>
        <item m="1" x="6654"/>
        <item m="1" x="6088"/>
        <item m="1" x="6570"/>
        <item m="1" x="6378"/>
        <item m="1" x="6379"/>
        <item m="1" x="6380"/>
        <item m="1" x="6375"/>
        <item m="1" x="6373"/>
        <item m="1" x="6374"/>
        <item m="1" x="6429"/>
        <item m="1" x="6381"/>
        <item m="1" x="6382"/>
        <item m="1" x="6655"/>
        <item m="1" x="6656"/>
        <item m="1" x="6377"/>
        <item m="1" x="6574"/>
        <item m="1" x="6657"/>
        <item m="1" x="6658"/>
        <item m="1" x="3473"/>
        <item m="1" x="6571"/>
        <item m="1" x="6572"/>
        <item m="1" x="6573"/>
        <item m="1" x="6447"/>
        <item m="1" x="6449"/>
        <item m="1" x="6659"/>
        <item m="1" x="6660"/>
        <item m="1" x="4507"/>
        <item m="1" x="6454"/>
        <item m="1" x="6459"/>
        <item m="1" x="6661"/>
        <item m="1" x="6662"/>
        <item m="1" x="6586"/>
        <item m="1" x="6384"/>
        <item m="1" x="6462"/>
        <item m="1" x="6472"/>
        <item m="1" x="6473"/>
        <item m="1" x="6663"/>
        <item m="1" x="6664"/>
        <item m="1" x="5367"/>
        <item m="1" x="6387"/>
        <item m="1" x="5467"/>
        <item m="1" x="6665"/>
        <item m="1" x="5368"/>
        <item m="1" x="4980"/>
        <item m="1" x="498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5801"/>
        <item m="1" x="5804"/>
        <item m="1" x="6085"/>
        <item m="1" x="6679"/>
        <item m="1" x="5339"/>
        <item m="1" x="6680"/>
        <item m="1" x="6681"/>
        <item m="1" x="6682"/>
        <item m="1" x="6612"/>
        <item m="1" x="6683"/>
        <item m="1" x="5707"/>
        <item m="1" x="5713"/>
        <item m="1" x="5710"/>
        <item m="1" x="5715"/>
        <item m="1" x="5708"/>
        <item m="1" x="1948"/>
        <item m="1" x="6684"/>
        <item m="1" x="6685"/>
        <item m="1" x="6686"/>
        <item m="1" x="4831"/>
        <item m="1" x="6543"/>
        <item m="1" x="6613"/>
        <item m="1" x="6687"/>
        <item m="1" x="6688"/>
        <item m="1" x="6515"/>
        <item m="1" x="5108"/>
        <item m="1" x="6689"/>
        <item m="1" x="5806"/>
        <item m="1" x="6618"/>
        <item m="1" x="5726"/>
        <item m="1" x="6690"/>
        <item m="1" x="6306"/>
        <item m="1" x="6691"/>
        <item m="1" x="6692"/>
        <item m="1" x="6693"/>
        <item m="1" x="5719"/>
        <item m="1" x="5720"/>
        <item m="1" x="6694"/>
        <item m="1" x="5727"/>
        <item m="1" x="5717"/>
        <item m="1" x="5725"/>
        <item m="1" x="6620"/>
        <item m="1" x="6621"/>
        <item m="1" x="6622"/>
        <item m="1" x="6695"/>
        <item m="1" x="6696"/>
        <item m="1" x="6697"/>
        <item m="1" x="6698"/>
        <item m="1" x="6389"/>
        <item m="1" x="6699"/>
        <item m="1" x="6624"/>
        <item m="1" x="6625"/>
        <item m="1" x="2805"/>
        <item m="1" x="2795"/>
        <item m="1" x="4021"/>
        <item m="1" x="5039"/>
        <item m="1" x="6547"/>
        <item m="1" x="6548"/>
        <item m="1" x="6549"/>
        <item m="1" x="6550"/>
        <item m="1" x="6551"/>
        <item m="1" x="6391"/>
        <item m="1" x="6552"/>
        <item m="1" x="6553"/>
        <item m="1" x="6559"/>
        <item m="1" x="6402"/>
        <item m="1" x="6403"/>
        <item m="1" x="6560"/>
        <item m="1" x="6561"/>
        <item m="1" x="6562"/>
        <item m="1" x="6563"/>
        <item m="1" x="6564"/>
        <item m="1" x="6408"/>
        <item m="1" x="6316"/>
        <item m="1" x="6409"/>
        <item m="1" x="6410"/>
        <item m="1" x="6359"/>
        <item m="1" x="6414"/>
        <item m="1" x="6240"/>
        <item m="1" x="6415"/>
        <item m="1" x="6320"/>
        <item m="1" x="6565"/>
        <item m="1" x="6417"/>
        <item m="1" x="6418"/>
        <item m="1" x="6566"/>
        <item m="1" x="6567"/>
        <item m="1" x="6416"/>
        <item m="1" x="6438"/>
        <item m="1" x="6439"/>
        <item m="1" x="6440"/>
        <item m="1" x="6441"/>
        <item m="1" x="6442"/>
        <item m="1" x="6568"/>
        <item m="1" x="6569"/>
        <item m="1" x="6420"/>
        <item m="1" x="6422"/>
        <item m="1" x="6423"/>
        <item m="1" x="6425"/>
        <item m="1" x="6426"/>
        <item m="1" x="6427"/>
        <item m="1" x="6428"/>
        <item m="1" x="6424"/>
        <item m="1" x="6443"/>
        <item m="1" x="6419"/>
        <item m="1" x="6140"/>
        <item m="1" x="6575"/>
        <item m="1" x="6444"/>
        <item m="1" x="6576"/>
        <item m="1" x="6577"/>
        <item m="1" x="6578"/>
        <item m="1" x="6579"/>
        <item m="1" x="6580"/>
        <item m="1" x="6581"/>
        <item m="1" x="6450"/>
        <item m="1" x="2189"/>
        <item m="1" x="6448"/>
        <item m="1" x="6452"/>
        <item m="1" x="6582"/>
        <item m="1" x="5291"/>
        <item m="1" x="6455"/>
        <item m="1" x="4508"/>
        <item m="1" x="6333"/>
        <item m="1" x="6583"/>
        <item m="1" x="4509"/>
        <item m="1" x="6584"/>
        <item m="1" x="6458"/>
        <item m="1" x="6585"/>
        <item m="1" x="6460"/>
        <item m="1" x="6461"/>
        <item m="1" x="6463"/>
        <item m="1" x="6464"/>
        <item m="1" x="6465"/>
        <item m="1" x="6474"/>
        <item m="1" x="6587"/>
        <item m="1" x="6588"/>
        <item m="1" x="6589"/>
        <item m="1" x="6590"/>
        <item m="1" x="6591"/>
        <item m="1" x="6592"/>
        <item m="1" x="6593"/>
        <item m="1" x="6485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480"/>
        <item m="1" x="6481"/>
        <item m="1" x="6482"/>
        <item m="1" x="6483"/>
        <item m="1" x="6484"/>
        <item m="1" x="6486"/>
        <item m="1" x="6487"/>
        <item m="1" x="6604"/>
        <item m="1" x="6494"/>
        <item m="1" x="6112"/>
        <item m="1" x="6491"/>
        <item m="1" x="6119"/>
        <item m="1" x="1834"/>
        <item m="1" x="1849"/>
        <item m="1" x="1848"/>
        <item m="1" x="6605"/>
        <item m="1" x="5338"/>
        <item m="1" x="6499"/>
        <item m="1" x="1914"/>
        <item m="1" x="1913"/>
        <item m="1" x="1912"/>
        <item m="1" x="1132"/>
        <item m="1" x="1911"/>
        <item m="1" x="1910"/>
        <item m="1" x="1909"/>
        <item m="1" x="6607"/>
        <item m="1" x="6608"/>
        <item m="1" x="6511"/>
        <item m="1" x="6609"/>
        <item m="1" x="6610"/>
        <item m="1" x="6611"/>
        <item m="1" x="6501"/>
        <item m="1" x="6614"/>
        <item m="1" x="6258"/>
        <item m="1" x="6615"/>
        <item m="1" x="5838"/>
        <item m="1" x="6616"/>
        <item m="1" x="6617"/>
        <item m="1" x="6134"/>
        <item m="1" x="6619"/>
        <item m="1" x="6519"/>
        <item m="1" x="6623"/>
        <item m="1" x="6052"/>
        <item m="1" x="5938"/>
        <item m="1" x="6392"/>
        <item m="1" x="6393"/>
        <item m="1" x="6394"/>
        <item m="1" x="6395"/>
        <item m="1" x="6396"/>
        <item m="1" x="6397"/>
        <item m="1" x="6404"/>
        <item m="1" x="6405"/>
        <item m="1" x="6406"/>
        <item m="1" x="6407"/>
        <item m="1" x="5458"/>
        <item m="1" x="5459"/>
        <item m="1" x="5460"/>
        <item m="1" x="6411"/>
        <item m="1" x="5461"/>
        <item m="1" x="4719"/>
        <item m="1" x="5462"/>
        <item m="1" x="6412"/>
        <item m="1" x="6231"/>
        <item m="1" x="6125"/>
        <item m="1" x="4437"/>
        <item m="1" x="6089"/>
        <item m="1" x="6236"/>
        <item m="1" x="6321"/>
        <item m="1" x="6421"/>
        <item m="1" x="6430"/>
        <item m="1" x="6431"/>
        <item m="1" x="6432"/>
        <item m="1" x="6433"/>
        <item m="1" x="6434"/>
        <item m="1" x="6435"/>
        <item m="1" x="5143"/>
        <item m="1" x="6445"/>
        <item m="1" x="6446"/>
        <item m="1" x="5139"/>
        <item m="1" x="6451"/>
        <item m="1" x="6453"/>
        <item m="1" x="6456"/>
        <item m="1" x="6457"/>
        <item m="1" x="6248"/>
        <item m="1" x="6336"/>
        <item m="1" x="6466"/>
        <item m="1" x="6467"/>
        <item m="1" x="6468"/>
        <item m="1" x="6469"/>
        <item m="1" x="6470"/>
        <item m="1" x="6471"/>
        <item m="1" x="5825"/>
        <item m="1" x="6475"/>
        <item m="1" x="6476"/>
        <item m="1" x="5204"/>
        <item m="1" x="6145"/>
        <item m="1" x="6146"/>
        <item m="1" x="6142"/>
        <item m="1" x="6141"/>
        <item m="1" x="6144"/>
        <item m="1" x="6477"/>
        <item m="1" x="6331"/>
        <item m="1" x="6478"/>
        <item m="1" x="6479"/>
        <item m="1" x="6488"/>
        <item m="1" x="6489"/>
        <item m="1" x="6490"/>
        <item m="1" x="5836"/>
        <item m="1" x="1982"/>
        <item m="1" x="4983"/>
        <item m="1" x="6120"/>
        <item m="1" x="6040"/>
        <item m="1" x="6492"/>
        <item m="1" x="6493"/>
        <item m="1" x="6495"/>
        <item m="1" x="6496"/>
        <item m="1" x="5832"/>
        <item m="1" x="6497"/>
        <item m="1" x="6498"/>
        <item m="1" x="5835"/>
        <item m="1" x="6500"/>
        <item m="1" x="6502"/>
        <item m="1" x="6503"/>
        <item m="1" x="6504"/>
        <item m="1" x="1871"/>
        <item m="1" x="6505"/>
        <item m="1" x="4845"/>
        <item m="1" x="6506"/>
        <item m="1" x="2046"/>
        <item m="1" x="6507"/>
        <item m="1" x="6508"/>
        <item m="1" x="6354"/>
        <item m="1" x="6509"/>
        <item m="1" x="6510"/>
        <item m="1" x="5999"/>
        <item m="1" x="6512"/>
        <item m="1" x="6513"/>
        <item m="1" x="1822"/>
        <item m="1" x="6516"/>
        <item m="1" x="6517"/>
        <item m="1" x="6044"/>
        <item m="1" x="6518"/>
        <item m="1" x="6364"/>
        <item m="1" x="6366"/>
        <item m="1" x="6520"/>
        <item m="1" x="6521"/>
        <item m="1" x="6227"/>
        <item m="1" x="6228"/>
        <item m="1" x="6307"/>
        <item m="1" x="6308"/>
        <item m="1" x="6309"/>
        <item m="1" x="6310"/>
        <item m="1" x="6233"/>
        <item m="1" x="5457"/>
        <item m="1" x="6311"/>
        <item m="1" x="6312"/>
        <item m="1" x="6313"/>
        <item m="1" x="6314"/>
        <item m="1" x="6315"/>
        <item m="1" x="6317"/>
        <item m="1" x="6318"/>
        <item m="1" x="6319"/>
        <item m="1" x="6241"/>
        <item m="1" x="6322"/>
        <item m="1" x="6323"/>
        <item m="1" x="6239"/>
        <item m="1" x="6324"/>
        <item m="1" x="6325"/>
        <item m="1" x="6105"/>
        <item m="1" x="6326"/>
        <item m="1" x="6327"/>
        <item m="1" x="6244"/>
        <item m="1" x="6328"/>
        <item m="1" x="6329"/>
        <item m="1" x="6330"/>
        <item m="1" x="5575"/>
        <item m="1" x="6332"/>
        <item m="1" x="4315"/>
        <item m="1" x="6334"/>
        <item m="1" x="5362"/>
        <item m="1" x="6335"/>
        <item m="1" x="6106"/>
        <item m="1" x="5365"/>
        <item m="1" x="5576"/>
        <item m="1" x="6337"/>
        <item m="1" x="6338"/>
        <item m="1" x="6339"/>
        <item m="1" x="6250"/>
        <item m="1" x="6273"/>
        <item m="1" x="5577"/>
        <item m="1" x="6340"/>
        <item m="1" x="6341"/>
        <item m="1" x="6107"/>
        <item m="1" x="6342"/>
        <item m="1" x="6343"/>
        <item m="1" x="6344"/>
        <item m="1" x="6345"/>
        <item m="1" x="6346"/>
        <item m="1" x="6347"/>
        <item m="1" x="5466"/>
        <item m="1" x="6249"/>
        <item m="1" x="6348"/>
        <item m="1" x="6252"/>
        <item m="1" x="6251"/>
        <item m="1" x="6116"/>
        <item m="1" x="6117"/>
        <item m="1" x="6118"/>
        <item m="1" x="6253"/>
        <item m="1" x="6349"/>
        <item m="1" x="1916"/>
        <item m="1" x="1915"/>
        <item m="1" x="6350"/>
        <item m="1" x="6351"/>
        <item m="1" x="6352"/>
        <item m="1" x="6353"/>
        <item m="1" x="6041"/>
        <item m="1" x="1957"/>
        <item m="1" x="1983"/>
        <item m="1" x="6121"/>
        <item m="1" x="5737"/>
        <item m="1" x="6355"/>
        <item m="1" x="6356"/>
        <item m="1" x="1725"/>
        <item m="1" x="6257"/>
        <item m="1" x="5217"/>
        <item m="1" x="6357"/>
        <item m="1" x="6358"/>
        <item m="1" x="6360"/>
        <item m="1" x="6049"/>
        <item m="1" x="6361"/>
        <item m="1" x="6130"/>
        <item m="1" x="6128"/>
        <item m="1" x="6129"/>
        <item m="1" x="6362"/>
        <item m="1" x="6363"/>
        <item m="1" x="5744"/>
        <item m="1" x="6048"/>
        <item m="1" x="6133"/>
        <item m="1" x="6050"/>
        <item m="1" x="6365"/>
        <item m="1" x="2325"/>
        <item m="1" x="2768"/>
        <item m="1" x="4022"/>
        <item m="1" x="5929"/>
        <item m="1" x="6234"/>
        <item m="1" x="6235"/>
        <item m="1" x="6101"/>
        <item m="1" x="6090"/>
        <item m="1" x="6237"/>
        <item m="1" x="6238"/>
        <item m="1" x="6091"/>
        <item m="1" x="5574"/>
        <item m="1" x="6092"/>
        <item m="1" x="6103"/>
        <item m="1" x="6100"/>
        <item m="1" x="6104"/>
        <item m="1" x="5464"/>
        <item m="1" x="6242"/>
        <item m="1" x="6243"/>
        <item m="1" x="6245"/>
        <item m="1" x="6246"/>
        <item m="1" x="6097"/>
        <item m="1" x="6098"/>
        <item m="1" x="5281"/>
        <item m="1" x="6247"/>
        <item m="1" x="5312"/>
        <item m="1" x="6109"/>
        <item m="1" x="6139"/>
        <item m="1" x="6108"/>
        <item m="1" x="6147"/>
        <item m="1" x="5366"/>
        <item m="1" x="6113"/>
        <item m="1" x="6114"/>
        <item m="1" x="2088"/>
        <item m="1" x="5330"/>
        <item m="1" x="6115"/>
        <item m="1" x="6254"/>
        <item m="1" x="4842"/>
        <item m="1" x="1984"/>
        <item m="1" x="6255"/>
        <item m="1" x="4861"/>
        <item m="1" x="1954"/>
        <item m="1" x="6043"/>
        <item m="1" x="6124"/>
        <item m="1" x="5369"/>
        <item m="1" x="6045"/>
        <item m="1" x="5740"/>
        <item m="1" x="5945"/>
        <item m="1" x="6259"/>
        <item m="1" x="5946"/>
        <item m="1" x="6138"/>
        <item m="1" x="6131"/>
        <item m="1" x="6132"/>
        <item m="1" x="5947"/>
        <item m="1" x="6260"/>
        <item m="1" x="5961"/>
        <item m="1" x="5841"/>
        <item m="1" x="6214"/>
        <item m="1" x="5968"/>
        <item m="1" x="6149"/>
        <item m="1" x="6156"/>
        <item m="1" x="6157"/>
        <item m="1" x="5455"/>
        <item m="1" x="5456"/>
        <item m="1" x="6110"/>
        <item m="1" x="6261"/>
        <item m="1" x="6161"/>
        <item m="1" x="6022"/>
        <item m="1" x="6262"/>
        <item m="1" x="6094"/>
        <item m="1" x="6099"/>
        <item m="1" x="6095"/>
        <item m="1" x="6186"/>
        <item m="1" x="6093"/>
        <item m="1" x="6023"/>
        <item m="1" x="6096"/>
        <item m="1" x="6102"/>
        <item m="1" x="6194"/>
        <item m="1" x="6143"/>
        <item m="1" x="4595"/>
        <item m="1" x="6028"/>
        <item m="1" x="6029"/>
        <item m="1" x="6030"/>
        <item m="1" x="5363"/>
        <item m="1" x="5364"/>
        <item m="1" x="6031"/>
        <item m="1" x="6197"/>
        <item m="1" x="6198"/>
        <item m="1" x="6199"/>
        <item m="1" x="6037"/>
        <item m="1" x="6034"/>
        <item m="1" x="6035"/>
        <item m="1" x="6036"/>
        <item m="1" x="5465"/>
        <item m="1" x="6111"/>
        <item m="1" x="5325"/>
        <item m="1" x="6206"/>
        <item m="1" x="6205"/>
        <item m="1" x="6039"/>
        <item m="1" x="4585"/>
        <item m="1" x="6263"/>
        <item m="1" x="6264"/>
        <item m="1" x="6265"/>
        <item m="1" x="6266"/>
        <item m="1" x="6267"/>
        <item m="1" x="6268"/>
        <item m="1" x="6269"/>
        <item m="1" x="5733"/>
        <item m="1" x="6122"/>
        <item m="1" x="6219"/>
        <item m="1" x="5113"/>
        <item m="1" x="6126"/>
        <item m="1" x="6135"/>
        <item m="1" x="6136"/>
        <item m="1" x="6137"/>
        <item m="1" x="6270"/>
        <item m="1" x="6271"/>
        <item m="1" x="6221"/>
        <item m="1" x="6272"/>
        <item m="1" x="5741"/>
        <item m="1" x="5742"/>
        <item m="1" x="6127"/>
        <item m="1" x="6274"/>
        <item m="1" x="6148"/>
        <item m="1" x="6275"/>
        <item m="1" x="6276"/>
        <item m="1" x="6087"/>
        <item m="1" x="5158"/>
        <item m="1" x="6123"/>
        <item m="1" x="4592"/>
        <item m="1" x="5955"/>
        <item m="1" x="6173"/>
        <item m="1" x="6150"/>
        <item m="1" x="6151"/>
        <item m="1" x="6152"/>
        <item m="1" x="5942"/>
        <item m="1" x="6153"/>
        <item m="1" x="6154"/>
        <item m="1" x="6155"/>
        <item m="1" x="6158"/>
        <item m="1" x="6159"/>
        <item m="1" x="5149"/>
        <item m="1" x="6160"/>
        <item m="1" x="6162"/>
        <item m="1" x="6163"/>
        <item m="1" x="6164"/>
        <item m="1" x="6165"/>
        <item m="1" x="6166"/>
        <item m="1" x="5463"/>
        <item m="1" x="6167"/>
        <item m="1" x="6168"/>
        <item m="1" x="6169"/>
        <item m="1" x="6170"/>
        <item m="1" x="4805"/>
        <item m="1" x="5964"/>
        <item m="1" x="6061"/>
        <item m="1" x="6171"/>
        <item m="1" x="6172"/>
        <item m="1" x="5931"/>
        <item m="1" x="6196"/>
        <item m="1" x="6174"/>
        <item m="1" x="6175"/>
        <item m="1" x="6176"/>
        <item m="1" x="6177"/>
        <item m="1" x="6178"/>
        <item m="1" x="6179"/>
        <item m="1" x="6180"/>
        <item m="1" x="5360"/>
        <item m="1" x="6181"/>
        <item m="1" x="6182"/>
        <item m="1" x="5361"/>
        <item m="1" x="6024"/>
        <item m="1" x="6183"/>
        <item m="1" x="6184"/>
        <item m="1" x="6185"/>
        <item m="1" x="6187"/>
        <item m="1" x="6188"/>
        <item m="1" x="6189"/>
        <item m="1" x="6190"/>
        <item m="1" x="6191"/>
        <item m="1" x="6192"/>
        <item m="1" x="5290"/>
        <item m="1" x="6193"/>
        <item m="1" x="4500"/>
        <item m="1" x="4501"/>
        <item m="1" x="6065"/>
        <item m="1" x="6195"/>
        <item m="1" x="6027"/>
        <item m="1" x="6200"/>
        <item m="1" x="6201"/>
        <item m="1" x="6202"/>
        <item m="1" x="6203"/>
        <item m="1" x="6032"/>
        <item m="1" x="6033"/>
        <item m="1" x="6204"/>
        <item m="1" x="6038"/>
        <item m="1" x="5935"/>
        <item m="1" x="5497"/>
        <item m="1" x="6207"/>
        <item m="1" x="5578"/>
        <item m="1" x="6208"/>
        <item m="1" x="2500"/>
        <item m="1" x="5833"/>
        <item m="1" x="6209"/>
        <item m="1" x="6210"/>
        <item m="1" x="6211"/>
        <item m="1" x="6212"/>
        <item m="1" x="5735"/>
        <item m="1" x="6213"/>
        <item m="1" x="6215"/>
        <item m="1" x="4776"/>
        <item m="1" x="6216"/>
        <item m="1" x="1952"/>
        <item m="1" x="4846"/>
        <item m="1" x="6217"/>
        <item m="1" x="4833"/>
        <item m="1" x="6042"/>
        <item m="1" x="6218"/>
        <item m="1" x="2048"/>
        <item m="1" x="1850"/>
        <item m="1" x="5940"/>
        <item m="1" x="4403"/>
        <item m="1" x="6220"/>
        <item m="1" x="4418"/>
        <item m="1" x="6046"/>
        <item m="1" x="6222"/>
        <item m="1" x="6047"/>
        <item m="1" x="6223"/>
        <item m="1" x="5579"/>
        <item m="1" x="5948"/>
        <item m="1" x="5949"/>
        <item m="1" x="5962"/>
        <item m="1" x="6224"/>
        <item m="1" x="5965"/>
        <item m="1" x="6051"/>
        <item m="1" x="1716"/>
        <item m="1" x="5972"/>
        <item m="1" x="5973"/>
        <item m="1" x="6053"/>
        <item m="1" x="6054"/>
        <item m="1" x="5843"/>
        <item m="1" x="5842"/>
        <item m="1" x="1870"/>
        <item m="1" x="6055"/>
        <item m="1" x="4228"/>
        <item m="1" x="6056"/>
        <item m="1" x="6057"/>
        <item m="1" x="6058"/>
        <item m="1" x="6059"/>
        <item m="1" x="6060"/>
        <item m="1" x="5982"/>
        <item m="1" x="5155"/>
        <item m="1" x="6062"/>
        <item m="1" x="5934"/>
        <item m="1" x="5273"/>
        <item m="1" x="5932"/>
        <item m="1" x="5933"/>
        <item m="1" x="720"/>
        <item m="1" x="5282"/>
        <item m="1" x="5814"/>
        <item m="1" x="6063"/>
        <item m="1" x="5815"/>
        <item m="1" x="6064"/>
        <item m="1" x="4520"/>
        <item m="1" x="6066"/>
        <item m="1" x="6067"/>
        <item m="1" x="5484"/>
        <item m="1" x="6068"/>
        <item m="1" x="4911"/>
        <item m="1" x="5498"/>
        <item m="1" x="5492"/>
        <item m="1" x="5493"/>
        <item m="1" x="5494"/>
        <item m="1" x="5499"/>
        <item m="1" x="5936"/>
        <item m="1" x="5826"/>
        <item m="1" x="5827"/>
        <item m="1" x="5831"/>
        <item m="1" x="5829"/>
        <item m="1" x="5830"/>
        <item m="1" x="4023"/>
        <item m="1" x="5495"/>
        <item m="1" x="5496"/>
        <item m="1" x="5828"/>
        <item m="1" x="5991"/>
        <item m="1" x="5937"/>
        <item m="1" x="6069"/>
        <item m="1" x="6070"/>
        <item m="1" x="6071"/>
        <item m="1" x="5738"/>
        <item m="1" x="6072"/>
        <item m="1" x="6073"/>
        <item m="1" x="5736"/>
        <item m="1" x="6074"/>
        <item m="1" x="6075"/>
        <item m="1" x="6076"/>
        <item m="1" x="3583"/>
        <item m="1" x="6077"/>
        <item m="1" x="5941"/>
        <item m="1" x="5943"/>
        <item m="1" x="5944"/>
        <item m="1" x="5950"/>
        <item m="1" x="5951"/>
        <item m="1" x="5743"/>
        <item m="1" x="5746"/>
        <item m="1" x="6078"/>
        <item m="1" x="6079"/>
        <item m="1" x="2284"/>
        <item m="1" x="5745"/>
        <item m="1" x="5840"/>
        <item m="1" x="5952"/>
        <item m="1" x="5953"/>
        <item m="1" x="5954"/>
        <item m="1" x="5957"/>
        <item m="1" x="5958"/>
        <item m="1" x="5956"/>
        <item m="1" x="5959"/>
        <item m="1" x="5960"/>
        <item m="1" x="5966"/>
        <item m="1" x="5967"/>
        <item m="1" x="6080"/>
        <item m="1" x="5969"/>
        <item m="1" x="5970"/>
        <item m="1" x="6081"/>
        <item m="1" x="5971"/>
        <item m="1" x="5359"/>
        <item m="1" x="5974"/>
        <item m="1" x="5975"/>
        <item m="1" x="6082"/>
        <item m="1" x="5930"/>
        <item m="1" x="5963"/>
        <item m="1" x="5808"/>
        <item m="1" x="5976"/>
        <item m="1" x="5977"/>
        <item m="1" x="5978"/>
        <item m="1" x="5809"/>
        <item m="1" x="5849"/>
        <item m="1" x="5850"/>
        <item m="1" x="5851"/>
        <item m="1" x="5807"/>
        <item m="1" x="5979"/>
        <item m="1" x="5512"/>
        <item m="1" x="5471"/>
        <item m="1" x="5472"/>
        <item m="1" x="5980"/>
        <item m="1" x="5981"/>
        <item m="1" x="4804"/>
        <item m="1" x="5983"/>
        <item m="1" x="5487"/>
        <item m="1" x="5984"/>
        <item m="1" x="5985"/>
        <item m="1" x="5603"/>
        <item m="1" x="5813"/>
        <item m="1" x="4502"/>
        <item m="1" x="5508"/>
        <item m="1" x="5607"/>
        <item m="1" x="5986"/>
        <item m="1" x="5816"/>
        <item m="1" x="5817"/>
        <item m="1" x="5818"/>
        <item m="1" x="5819"/>
        <item m="1" x="5822"/>
        <item m="1" x="5823"/>
        <item m="1" x="5824"/>
        <item m="1" x="5303"/>
        <item m="1" x="5987"/>
        <item m="1" x="5820"/>
        <item m="1" x="5821"/>
        <item m="1" x="5485"/>
        <item m="1" x="5988"/>
        <item m="1" x="5989"/>
        <item m="1" x="4868"/>
        <item m="1" x="5990"/>
        <item m="1" x="5506"/>
        <item m="1" x="5500"/>
        <item m="1" x="5501"/>
        <item m="1" x="5507"/>
        <item m="1" x="5509"/>
        <item m="1" x="5510"/>
        <item m="1" x="5511"/>
        <item m="1" x="5505"/>
        <item m="1" x="5394"/>
        <item m="1" x="5503"/>
        <item m="1" x="5504"/>
        <item m="1" x="5886"/>
        <item m="1" x="5612"/>
        <item m="1" x="5633"/>
        <item m="1" x="3601"/>
        <item m="1" x="5839"/>
        <item m="1" x="5919"/>
        <item m="1" x="5502"/>
        <item m="1" x="5613"/>
        <item m="1" x="5992"/>
        <item m="1" x="2102"/>
        <item m="1" x="5993"/>
        <item m="1" x="5994"/>
        <item m="1" x="5995"/>
        <item m="1" x="5996"/>
        <item m="1" x="5997"/>
        <item m="1" x="5834"/>
        <item m="1" x="5998"/>
        <item m="1" x="5734"/>
        <item m="1" x="6000"/>
        <item m="1" x="6001"/>
        <item m="1" x="5837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1876"/>
        <item m="1" x="6012"/>
        <item m="1" x="5357"/>
        <item m="1" x="6013"/>
        <item m="1" x="4796"/>
        <item m="1" x="5811"/>
        <item m="1" x="5812"/>
        <item m="1" x="1788"/>
        <item m="1" x="5844"/>
        <item m="1" x="5374"/>
        <item m="1" x="3600"/>
        <item m="1" x="5375"/>
        <item m="1" x="5376"/>
        <item m="1" x="5377"/>
        <item m="1" x="5845"/>
        <item m="1" x="5846"/>
        <item m="1" x="5847"/>
        <item m="1" x="5848"/>
        <item m="1" x="5852"/>
        <item m="1" x="5378"/>
        <item m="1" x="5728"/>
        <item m="1" x="5853"/>
        <item m="1" x="5729"/>
        <item m="1" x="5854"/>
        <item m="1" x="5855"/>
        <item m="1" x="5856"/>
        <item m="1" x="4444"/>
        <item m="1" x="5470"/>
        <item m="1" x="5592"/>
        <item m="1" x="5591"/>
        <item m="1" x="5857"/>
        <item m="1" x="5858"/>
        <item m="1" x="5859"/>
        <item m="1" x="5860"/>
        <item m="1" x="5861"/>
        <item m="1" x="5862"/>
        <item m="1" x="5863"/>
        <item m="1" x="5864"/>
        <item m="1" x="5731"/>
        <item m="1" x="5865"/>
        <item m="1" x="5866"/>
        <item m="1" x="5599"/>
        <item m="1" x="5600"/>
        <item m="1" x="5601"/>
        <item m="1" x="1950"/>
        <item m="1" x="5867"/>
        <item m="1" x="5868"/>
        <item m="1" x="5732"/>
        <item m="1" x="5869"/>
        <item m="1" x="5870"/>
        <item m="1" x="5871"/>
        <item m="1" x="5872"/>
        <item m="1" x="5873"/>
        <item m="1" x="5874"/>
        <item m="1" x="5875"/>
        <item m="1" x="5876"/>
        <item m="1" x="4024"/>
        <item m="1" x="5608"/>
        <item m="1" x="5877"/>
        <item m="1" x="5878"/>
        <item m="1" x="5879"/>
        <item m="1" x="5880"/>
        <item m="1" x="5881"/>
        <item m="1" x="5882"/>
        <item m="1" x="5883"/>
        <item m="1" x="5514"/>
        <item m="1" x="5515"/>
        <item m="1" x="5513"/>
        <item m="1" x="5884"/>
        <item m="1" x="5885"/>
        <item m="1" x="5887"/>
        <item m="1" x="5888"/>
        <item m="1" x="5889"/>
        <item m="1" x="5890"/>
        <item m="1" x="5891"/>
        <item m="1" x="5892"/>
        <item m="1" x="5893"/>
        <item m="1" x="5522"/>
        <item m="1" x="5395"/>
        <item m="1" x="5396"/>
        <item m="1" x="5894"/>
        <item m="1" x="1832"/>
        <item m="1" x="5895"/>
        <item m="1" x="5896"/>
        <item m="1" x="1920"/>
        <item m="1" x="1928"/>
        <item m="1" x="1897"/>
        <item m="1" x="5782"/>
        <item m="1" x="5777"/>
        <item m="1" x="5897"/>
        <item m="1" x="4853"/>
        <item m="1" x="5898"/>
        <item m="1" x="5739"/>
        <item m="1" x="4838"/>
        <item m="1" x="5775"/>
        <item m="1" x="5401"/>
        <item m="1" x="5341"/>
        <item m="1" x="5527"/>
        <item m="1" x="5899"/>
        <item m="1" x="4843"/>
        <item m="1" x="4844"/>
        <item m="1" x="4836"/>
        <item m="1" x="5900"/>
        <item m="1" x="5901"/>
        <item m="1" x="1812"/>
        <item m="1" x="4863"/>
        <item m="1" x="5528"/>
        <item m="1" x="4710"/>
        <item m="1" x="1792"/>
        <item m="1" x="1793"/>
        <item m="1" x="2567"/>
        <item m="1" x="5902"/>
        <item m="1" x="5903"/>
        <item m="1" x="1808"/>
        <item m="1" x="1807"/>
        <item m="1" x="5616"/>
        <item m="1" x="5904"/>
        <item m="1" x="5905"/>
        <item m="1" x="5906"/>
        <item m="1" x="5787"/>
        <item m="1" x="5788"/>
        <item m="1" x="5907"/>
        <item m="1" x="5908"/>
        <item m="1" x="5909"/>
        <item m="1" x="5910"/>
        <item m="1" x="5911"/>
        <item m="1" x="5912"/>
        <item m="1" x="5913"/>
        <item m="1" x="5914"/>
        <item m="1" x="5615"/>
        <item m="1" x="5915"/>
        <item m="1" x="5620"/>
        <item m="1" x="5621"/>
        <item m="1" x="4877"/>
        <item m="1" x="4793"/>
        <item m="1" x="5916"/>
        <item m="1" x="5917"/>
        <item m="1" x="5918"/>
        <item m="1" x="5920"/>
        <item m="1" x="5393"/>
        <item m="1" x="5921"/>
        <item m="1" x="5922"/>
        <item m="1" x="5389"/>
        <item m="1" x="5390"/>
        <item m="1" x="5923"/>
        <item m="1" x="5924"/>
        <item m="1" x="5925"/>
        <item m="1" x="5926"/>
        <item m="1" x="5927"/>
        <item m="1" x="2303"/>
        <item m="1" x="5730"/>
        <item m="1" x="5380"/>
        <item m="1" x="5747"/>
        <item m="1" x="5623"/>
        <item m="1" x="5624"/>
        <item m="1" x="5625"/>
        <item m="1" x="5626"/>
        <item m="1" x="5627"/>
        <item m="1" x="5628"/>
        <item m="1" x="5629"/>
        <item m="1" x="5630"/>
        <item m="1" x="3191"/>
        <item m="1" x="5581"/>
        <item m="1" x="5748"/>
        <item m="1" x="5580"/>
        <item m="1" x="5468"/>
        <item m="1" x="5469"/>
        <item m="1" x="5582"/>
        <item m="1" x="5583"/>
        <item m="1" x="5749"/>
        <item m="1" x="5750"/>
        <item m="1" x="5584"/>
        <item m="1" x="5585"/>
        <item m="1" x="5586"/>
        <item m="1" x="5587"/>
        <item m="1" x="5751"/>
        <item m="1" x="5752"/>
        <item m="1" x="5753"/>
        <item m="1" x="5622"/>
        <item m="1" x="5754"/>
        <item m="1" x="5755"/>
        <item m="1" x="5756"/>
        <item m="1" x="5588"/>
        <item m="1" x="5593"/>
        <item m="1" x="5594"/>
        <item m="1" x="5475"/>
        <item m="1" x="5757"/>
        <item m="1" x="5595"/>
        <item m="1" x="5758"/>
        <item m="1" x="5759"/>
        <item m="1" x="5590"/>
        <item m="1" x="5589"/>
        <item m="1" x="5596"/>
        <item m="1" x="4919"/>
        <item m="1" x="5156"/>
        <item m="1" x="5760"/>
        <item m="1" x="5598"/>
        <item m="1" x="5761"/>
        <item m="1" x="5762"/>
        <item m="1" x="5652"/>
        <item m="1" x="5763"/>
        <item m="1" x="5764"/>
        <item m="1" x="5653"/>
        <item m="1" x="5654"/>
        <item m="1" x="5655"/>
        <item m="1" x="5656"/>
        <item m="1" x="5765"/>
        <item m="1" x="5657"/>
        <item m="1" x="5766"/>
        <item m="1" x="5658"/>
        <item m="1" x="5767"/>
        <item m="1" x="877"/>
        <item m="1" x="5602"/>
        <item m="1" x="5768"/>
        <item m="1" x="5662"/>
        <item m="1" x="5606"/>
        <item m="1" x="5604"/>
        <item m="1" x="5605"/>
        <item m="1" x="5597"/>
        <item m="1" x="5296"/>
        <item m="1" x="5300"/>
        <item m="1" x="5301"/>
        <item m="1" x="5769"/>
        <item m="1" x="5489"/>
        <item m="1" x="5610"/>
        <item m="1" x="5490"/>
        <item m="1" x="5611"/>
        <item m="1" x="5770"/>
        <item m="1" x="5771"/>
        <item m="1" x="5609"/>
        <item m="1" x="5397"/>
        <item m="1" x="5517"/>
        <item m="1" x="5491"/>
        <item m="1" x="5634"/>
        <item m="1" x="5677"/>
        <item m="1" x="5678"/>
        <item m="1" x="5679"/>
        <item m="1" x="5317"/>
        <item m="1" x="5318"/>
        <item m="1" x="5635"/>
        <item m="1" x="5772"/>
        <item m="1" x="5518"/>
        <item m="1" x="4406"/>
        <item m="1" x="5636"/>
        <item m="1" x="5773"/>
        <item m="1" x="5520"/>
        <item m="1" x="5774"/>
        <item m="1" x="4775"/>
        <item m="1" x="5524"/>
        <item m="1" x="5525"/>
        <item m="1" x="5526"/>
        <item m="1" x="5398"/>
        <item m="1" x="3193"/>
        <item m="1" x="4837"/>
        <item m="1" x="4835"/>
        <item m="1" x="5776"/>
        <item m="1" x="5778"/>
        <item m="1" x="4852"/>
        <item m="1" x="4856"/>
        <item m="1" x="5779"/>
        <item m="1" x="5780"/>
        <item m="1" x="5693"/>
        <item m="1" x="5781"/>
        <item m="1" x="1981"/>
        <item m="1" x="5215"/>
        <item m="1" x="1843"/>
        <item m="1" x="1833"/>
        <item m="1" x="5783"/>
        <item m="1" x="5784"/>
        <item m="1" x="5529"/>
        <item m="1" x="5120"/>
        <item m="1" x="5614"/>
        <item m="1" x="5785"/>
        <item m="1" x="5786"/>
        <item m="1" x="5789"/>
        <item m="1" x="5790"/>
        <item m="1" x="5791"/>
        <item m="1" x="5792"/>
        <item m="1" x="5651"/>
        <item m="1" x="5617"/>
        <item m="1" x="5618"/>
        <item m="1" x="5619"/>
        <item m="1" x="5408"/>
        <item m="1" x="5409"/>
        <item m="1" x="5410"/>
        <item m="1" x="5793"/>
        <item m="1" x="5233"/>
        <item m="1" x="5402"/>
        <item m="1" x="5403"/>
        <item m="1" x="5631"/>
        <item m="1" x="5632"/>
        <item m="1" x="5637"/>
        <item m="1" x="5638"/>
        <item m="1" x="5379"/>
        <item m="1" x="5639"/>
        <item m="1" x="4912"/>
        <item m="1" x="5640"/>
        <item m="1" x="5641"/>
        <item m="1" x="5642"/>
        <item m="1" x="5474"/>
        <item m="1" x="4920"/>
        <item m="1" x="5643"/>
        <item m="1" x="5480"/>
        <item m="1" x="5644"/>
        <item m="1" x="5645"/>
        <item m="1" x="4899"/>
        <item m="1" x="5646"/>
        <item m="1" x="5647"/>
        <item m="1" x="4864"/>
        <item m="1" x="4434"/>
        <item m="1" x="5648"/>
        <item m="1" x="5473"/>
        <item m="1" x="5262"/>
        <item m="1" x="4884"/>
        <item m="1" x="5649"/>
        <item m="1" x="5650"/>
        <item m="1" x="5481"/>
        <item m="1" x="5482"/>
        <item m="1" x="3204"/>
        <item m="1" x="5477"/>
        <item m="1" x="5478"/>
        <item m="1" x="5479"/>
        <item m="1" x="5392"/>
        <item m="1" x="5659"/>
        <item m="1" x="5660"/>
        <item m="1" x="5661"/>
        <item m="1" x="5663"/>
        <item m="1" x="5664"/>
        <item m="1" x="5483"/>
        <item m="1" x="5665"/>
        <item m="1" x="5486"/>
        <item m="1" x="5488"/>
        <item m="1" x="5666"/>
        <item m="1" x="5229"/>
        <item m="1" x="5667"/>
        <item m="1" x="5516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80"/>
        <item m="1" x="5519"/>
        <item m="1" x="2053"/>
        <item m="1" x="4821"/>
        <item m="1" x="5521"/>
        <item m="1" x="1524"/>
        <item m="1" x="5523"/>
        <item m="1" x="5681"/>
        <item m="1" x="5682"/>
        <item m="1" x="5683"/>
        <item m="1" x="5684"/>
        <item m="1" x="5685"/>
        <item m="1" x="5686"/>
        <item m="1" x="1839"/>
        <item m="1" x="5687"/>
        <item m="1" x="1823"/>
        <item m="1" x="5688"/>
        <item m="1" x="5689"/>
        <item m="1" x="2049"/>
        <item m="1" x="5690"/>
        <item m="1" x="5356"/>
        <item m="1" x="5114"/>
        <item m="1" x="5530"/>
        <item m="1" x="5531"/>
        <item m="1" x="5354"/>
        <item m="1" x="5691"/>
        <item m="1" x="5125"/>
        <item m="1" x="4417"/>
        <item m="1" x="4878"/>
        <item m="1" x="4879"/>
        <item m="1" x="4880"/>
        <item m="1" x="5692"/>
        <item m="1" x="5694"/>
        <item m="1" x="5533"/>
        <item m="1" x="5695"/>
        <item m="1" x="4887"/>
        <item m="1" x="5476"/>
        <item m="1" x="5328"/>
        <item m="1" x="1794"/>
        <item m="1" x="5532"/>
        <item m="1" x="5137"/>
        <item m="1" x="5242"/>
        <item m="1" x="5534"/>
        <item m="1" x="5535"/>
        <item m="1" x="5370"/>
        <item m="1" x="5371"/>
        <item m="1" x="5372"/>
        <item m="1" x="5536"/>
        <item m="1" x="5384"/>
        <item m="1" x="5244"/>
        <item m="1" x="5245"/>
        <item m="1" x="5537"/>
        <item m="1" x="5259"/>
        <item m="1" x="5381"/>
        <item m="1" x="5382"/>
        <item m="1" x="5383"/>
        <item m="1" x="4923"/>
        <item m="1" x="5265"/>
        <item m="1" x="4918"/>
        <item m="1" x="1961"/>
        <item m="1" x="5538"/>
        <item m="1" x="5539"/>
        <item m="1" x="5540"/>
        <item m="1" x="5541"/>
        <item m="1" x="3927"/>
        <item m="1" x="5283"/>
        <item m="1" x="5284"/>
        <item m="1" x="2323"/>
        <item m="1" x="5286"/>
        <item m="1" x="5287"/>
        <item m="1" x="5285"/>
        <item m="1" x="4025"/>
        <item m="1" x="5298"/>
        <item m="1" x="5542"/>
        <item m="1" x="5543"/>
        <item m="1" x="2029"/>
        <item m="1" x="5280"/>
        <item m="1" x="5544"/>
        <item m="1" x="5545"/>
        <item m="1" x="5546"/>
        <item m="1" x="5547"/>
        <item m="1" x="5307"/>
        <item m="1" x="5548"/>
        <item m="1" x="5549"/>
        <item m="1" x="5319"/>
        <item m="1" x="5316"/>
        <item m="1" x="5550"/>
        <item m="1" x="4914"/>
        <item m="1" x="4995"/>
        <item m="1" x="5551"/>
        <item m="1" x="5007"/>
        <item m="1" x="5552"/>
        <item m="1" x="5553"/>
        <item m="1" x="5554"/>
        <item m="1" x="5555"/>
        <item m="1" x="5081"/>
        <item m="1" x="5079"/>
        <item m="1" x="5556"/>
        <item m="1" x="3849"/>
        <item m="1" x="5557"/>
        <item m="1" x="2003"/>
        <item m="1" x="5558"/>
        <item m="1" x="5559"/>
        <item m="1" x="5560"/>
        <item m="1" x="5561"/>
        <item m="1" x="5562"/>
        <item m="1" x="5399"/>
        <item m="1" x="5400"/>
        <item m="1" x="5563"/>
        <item m="1" x="5564"/>
        <item m="1" x="5565"/>
        <item m="1" x="2050"/>
        <item m="1" x="2051"/>
        <item m="1" x="2094"/>
        <item m="1" x="4597"/>
        <item m="1" x="4784"/>
        <item m="1" x="5405"/>
        <item m="1" x="4785"/>
        <item m="1" x="2040"/>
        <item m="1" x="5566"/>
        <item m="1" x="5567"/>
        <item m="1" x="5223"/>
        <item m="1" x="5568"/>
        <item m="1" x="5406"/>
        <item m="1" x="5407"/>
        <item m="1" x="5227"/>
        <item m="1" x="5569"/>
        <item m="1" x="5570"/>
        <item m="1" x="5133"/>
        <item m="1" x="5571"/>
        <item m="1" x="5572"/>
        <item m="1" x="4798"/>
        <item m="1" x="5373"/>
        <item m="1" x="5385"/>
        <item m="1" x="5386"/>
        <item m="1" x="5387"/>
        <item m="1" x="5388"/>
        <item m="1" x="1951"/>
        <item m="1" x="5271"/>
        <item m="1" x="5272"/>
        <item m="1" x="5391"/>
        <item m="1" x="5302"/>
        <item m="1" x="3192"/>
        <item m="1" x="5404"/>
        <item m="1" x="5352"/>
        <item m="1" x="4917"/>
        <item m="1" x="5411"/>
        <item m="1" x="5160"/>
        <item m="1" x="5412"/>
        <item m="1" x="5413"/>
        <item m="1" x="5414"/>
        <item m="1" x="4801"/>
        <item m="1" x="5415"/>
        <item m="1" x="5416"/>
        <item m="1" x="5246"/>
        <item m="1" x="5247"/>
        <item m="1" x="5248"/>
        <item m="1" x="5249"/>
        <item m="1" x="5261"/>
        <item m="1" x="5256"/>
        <item m="1" x="5260"/>
        <item m="1" x="5417"/>
        <item m="1" x="5263"/>
        <item m="1" x="5331"/>
        <item m="1" x="5418"/>
        <item m="1" x="5419"/>
        <item m="1" x="5288"/>
        <item m="1" x="5420"/>
        <item m="1" x="5293"/>
        <item m="1" x="5266"/>
        <item m="1" x="5297"/>
        <item m="1" x="5421"/>
        <item m="1" x="5422"/>
        <item m="1" x="5423"/>
        <item m="1" x="4333"/>
        <item m="1" x="5424"/>
        <item m="1" x="5425"/>
        <item m="1" x="5426"/>
        <item m="1" x="5427"/>
        <item m="1" x="5428"/>
        <item m="1" x="5429"/>
        <item m="1" x="5430"/>
        <item m="1" x="5431"/>
        <item m="1" x="5226"/>
        <item m="1" x="1927"/>
        <item m="1" x="5326"/>
        <item m="1" x="5315"/>
        <item m="1" x="5313"/>
        <item m="1" x="5314"/>
        <item m="1" x="5432"/>
        <item m="1" x="5433"/>
        <item m="1" x="5329"/>
        <item m="1" x="5434"/>
        <item m="1" x="5435"/>
        <item m="1" x="5436"/>
        <item m="1" x="5438"/>
        <item m="1" x="1938"/>
        <item m="1" x="5337"/>
        <item m="1" x="5197"/>
        <item m="1" x="3942"/>
        <item m="1" x="5439"/>
        <item m="1" x="5440"/>
        <item m="1" x="5441"/>
        <item m="1" x="5083"/>
        <item m="1" x="5084"/>
        <item m="1" x="5345"/>
        <item m="1" x="1888"/>
        <item m="1" x="5442"/>
        <item m="1" x="5443"/>
        <item m="1" x="5444"/>
        <item m="1" x="5445"/>
        <item m="1" x="5446"/>
        <item m="1" x="1732"/>
        <item m="1" x="3265"/>
        <item m="1" x="1810"/>
        <item m="1" x="1811"/>
        <item m="1" x="5447"/>
        <item m="1" x="2052"/>
        <item m="1" x="5448"/>
        <item m="1" x="5099"/>
        <item m="1" x="5449"/>
        <item m="1" x="1831"/>
        <item m="1" x="2090"/>
        <item m="1" x="5110"/>
        <item m="1" x="5450"/>
        <item m="1" x="5451"/>
        <item m="1" x="5452"/>
        <item m="1" x="4794"/>
        <item m="1" x="5138"/>
        <item m="1" x="5453"/>
        <item m="1" x="4355"/>
        <item m="1" x="5234"/>
        <item m="1" x="5235"/>
        <item m="1" x="5236"/>
        <item m="1" x="4725"/>
        <item m="1" x="4905"/>
        <item m="1" x="4904"/>
        <item m="1" x="5146"/>
        <item m="1" x="5147"/>
        <item m="1" x="5237"/>
        <item m="1" x="5238"/>
        <item m="1" x="5239"/>
        <item m="1" x="4649"/>
        <item m="1" x="5240"/>
        <item m="1" x="5241"/>
        <item m="1" x="1799"/>
        <item m="1" x="4729"/>
        <item m="1" x="4735"/>
        <item m="1" x="4736"/>
        <item m="1" x="5152"/>
        <item m="1" x="5243"/>
        <item m="1" x="4439"/>
        <item m="1" x="5154"/>
        <item m="1" x="5250"/>
        <item m="1" x="5251"/>
        <item m="1" x="5252"/>
        <item m="1" x="5253"/>
        <item m="1" x="5254"/>
        <item m="1" x="5255"/>
        <item m="1" x="5257"/>
        <item m="1" x="5258"/>
        <item m="1" x="1908"/>
        <item m="1" x="5159"/>
        <item m="1" x="5264"/>
        <item m="1" x="4921"/>
        <item m="1" x="5161"/>
        <item m="1" x="4665"/>
        <item m="1" x="2030"/>
        <item m="1" x="5267"/>
        <item m="1" x="5268"/>
        <item m="1" x="5269"/>
        <item m="1" x="5270"/>
        <item m="1" x="5274"/>
        <item m="1" x="5275"/>
        <item m="1" x="5170"/>
        <item m="1" x="5276"/>
        <item m="1" x="5277"/>
        <item m="1" x="5278"/>
        <item m="1" x="5172"/>
        <item m="1" x="5279"/>
        <item m="1" x="4026"/>
        <item m="1" x="5173"/>
        <item m="1" x="5289"/>
        <item m="1" x="5115"/>
        <item m="1" x="4756"/>
        <item m="1" x="4511"/>
        <item m="1" x="4506"/>
        <item m="1" x="5292"/>
        <item m="1" x="5294"/>
        <item m="1" x="5295"/>
        <item m="1" x="4757"/>
        <item m="1" x="4954"/>
        <item m="1" x="4717"/>
        <item m="1" x="4950"/>
        <item m="1" x="5299"/>
        <item m="1" x="5178"/>
        <item m="1" x="5177"/>
        <item m="1" x="4816"/>
        <item m="1" x="5304"/>
        <item m="1" x="5305"/>
        <item m="1" x="5306"/>
        <item m="1" x="5308"/>
        <item m="1" x="5309"/>
        <item m="1" x="5310"/>
        <item m="1" x="5311"/>
        <item m="1" x="5188"/>
        <item m="1" x="5189"/>
        <item m="1" x="5320"/>
        <item m="1" x="5321"/>
        <item m="1" x="5322"/>
        <item m="1" x="5323"/>
        <item m="1" x="5324"/>
        <item m="1" x="5183"/>
        <item m="1" x="5190"/>
        <item m="1" x="5187"/>
        <item m="1" x="5186"/>
        <item m="1" x="5185"/>
        <item m="1" x="5184"/>
        <item m="1" x="5327"/>
        <item m="1" x="5191"/>
        <item m="1" x="5192"/>
        <item m="1" x="5193"/>
        <item m="1" x="5194"/>
        <item m="1" x="5332"/>
        <item m="1" x="5333"/>
        <item m="1" x="5334"/>
        <item m="1" x="5335"/>
        <item m="1" x="5336"/>
        <item m="1" x="4696"/>
        <item m="1" x="4984"/>
        <item m="1" x="4824"/>
        <item m="1" x="1895"/>
        <item m="1" x="4827"/>
        <item m="1" x="5340"/>
        <item m="1" x="5199"/>
        <item m="1" x="5342"/>
        <item m="1" x="5343"/>
        <item m="1" x="5344"/>
        <item m="1" x="5082"/>
        <item m="1" x="3567"/>
        <item m="1" x="5206"/>
        <item m="1" x="5090"/>
        <item m="1" x="5346"/>
        <item m="1" x="5347"/>
        <item m="1" x="5348"/>
        <item m="1" x="5208"/>
        <item m="1" x="5349"/>
        <item m="1" x="1791"/>
        <item m="1" x="5203"/>
        <item m="1" x="5350"/>
        <item m="1" x="3586"/>
        <item m="1" x="3588"/>
        <item m="1" x="1921"/>
        <item m="1" x="5351"/>
        <item m="1" x="5219"/>
        <item m="1" x="5353"/>
        <item m="1" x="5228"/>
        <item m="1" x="5355"/>
        <item m="1" x="5230"/>
        <item m="1" x="5231"/>
        <item m="1" x="5135"/>
        <item m="1" x="5232"/>
        <item m="1" x="4718"/>
        <item m="1" x="4020"/>
        <item m="1" x="4886"/>
        <item m="1" x="5358"/>
        <item m="1" x="4028"/>
        <item m="1" x="4894"/>
        <item m="1" x="5144"/>
        <item m="1" x="4897"/>
        <item m="1" x="4898"/>
        <item m="1" x="5145"/>
        <item m="1" x="4900"/>
        <item m="1" x="4901"/>
        <item m="1" x="4902"/>
        <item m="1" x="4903"/>
        <item m="1" x="5148"/>
        <item m="1" x="4730"/>
        <item m="1" x="4909"/>
        <item m="1" x="4731"/>
        <item m="1" x="5150"/>
        <item m="1" x="5151"/>
        <item m="1" x="5153"/>
        <item m="1" x="4803"/>
        <item m="1" x="4433"/>
        <item m="1" x="4800"/>
        <item m="1" x="3923"/>
        <item m="1" x="4913"/>
        <item m="1" x="5157"/>
        <item m="1" x="3924"/>
        <item m="1" x="4936"/>
        <item m="1" x="4935"/>
        <item m="1" x="4922"/>
        <item m="1" x="4926"/>
        <item m="1" x="3503"/>
        <item m="1" x="4938"/>
        <item m="1" x="5162"/>
        <item m="1" x="5163"/>
        <item m="1" x="4356"/>
        <item m="1" x="5164"/>
        <item m="1" x="5165"/>
        <item m="1" x="5166"/>
        <item m="1" x="5167"/>
        <item m="1" x="4948"/>
        <item m="1" x="5168"/>
        <item m="1" x="5169"/>
        <item m="1" x="4855"/>
        <item m="1" x="5171"/>
        <item m="1" x="4955"/>
        <item m="1" x="3780"/>
        <item m="1" x="4951"/>
        <item m="1" x="4952"/>
        <item m="1" x="5174"/>
        <item m="1" x="5175"/>
        <item m="1" x="5176"/>
        <item m="1" x="4963"/>
        <item m="1" x="4966"/>
        <item m="1" x="5179"/>
        <item m="1" x="5180"/>
        <item m="1" x="5181"/>
        <item m="1" x="5182"/>
        <item m="1" x="4977"/>
        <item m="1" x="4973"/>
        <item m="1" x="4974"/>
        <item m="1" x="4975"/>
        <item m="1" x="4979"/>
        <item m="1" x="3086"/>
        <item m="1" x="4985"/>
        <item m="1" x="5195"/>
        <item m="1" x="5196"/>
        <item m="1" x="4619"/>
        <item m="1" x="5198"/>
        <item m="1" x="1735"/>
        <item m="1" x="4832"/>
        <item m="1" x="5200"/>
        <item m="1" x="5201"/>
        <item m="1" x="5202"/>
        <item m="1" x="4841"/>
        <item m="1" x="4839"/>
        <item m="1" x="4840"/>
        <item m="1" x="2044"/>
        <item m="1" x="4851"/>
        <item m="1" x="4860"/>
        <item m="1" x="4859"/>
        <item m="1" x="4391"/>
        <item m="1" x="5205"/>
        <item m="1" x="5207"/>
        <item m="1" x="1147"/>
        <item m="1" x="1898"/>
        <item m="1" x="5209"/>
        <item m="1" x="5210"/>
        <item m="1" x="5211"/>
        <item m="1" x="5212"/>
        <item m="1" x="5213"/>
        <item m="1" x="5214"/>
        <item m="1" x="1923"/>
        <item m="1" x="1922"/>
        <item m="1" x="3587"/>
        <item m="1" x="5216"/>
        <item m="1" x="5142"/>
        <item m="1" x="1924"/>
        <item m="1" x="1907"/>
        <item m="1" x="4865"/>
        <item m="1" x="4866"/>
        <item m="1" x="5218"/>
        <item m="1" x="5220"/>
        <item m="1" x="5221"/>
        <item m="1" x="5222"/>
        <item m="1" x="4027"/>
        <item m="1" x="5224"/>
        <item m="1" x="4412"/>
        <item m="1" x="4410"/>
        <item m="1" x="5123"/>
        <item m="1" x="5225"/>
        <item m="1" x="1702"/>
        <item m="1" x="4624"/>
        <item m="1" x="2800"/>
        <item m="1" x="2806"/>
        <item m="1" x="4727"/>
        <item m="1" x="4890"/>
        <item m="1" x="4891"/>
        <item m="1" x="4892"/>
        <item m="1" x="4893"/>
        <item m="1" x="4895"/>
        <item m="1" x="4896"/>
        <item m="1" x="1824"/>
        <item m="1" x="4906"/>
        <item m="1" x="4907"/>
        <item m="1" x="4908"/>
        <item m="1" x="4910"/>
        <item m="1" x="4799"/>
        <item m="1" x="5127"/>
        <item m="1" x="4806"/>
        <item m="1" x="4807"/>
        <item m="1" x="4808"/>
        <item m="1" x="4810"/>
        <item m="1" x="4811"/>
        <item m="1" x="4812"/>
        <item m="1" x="4813"/>
        <item m="1" x="4809"/>
        <item m="1" x="4915"/>
        <item m="1" x="4916"/>
        <item m="1" x="5016"/>
        <item m="1" x="4924"/>
        <item m="1" x="4925"/>
        <item m="1" x="4927"/>
        <item m="1" x="4928"/>
        <item m="1" x="4929"/>
        <item m="1" x="4930"/>
        <item m="1" x="4931"/>
        <item m="1" x="4932"/>
        <item m="1" x="4933"/>
        <item m="1" x="4934"/>
        <item m="1" x="4937"/>
        <item m="1" x="51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9"/>
        <item m="1" x="4847"/>
        <item m="1" x="4953"/>
        <item m="1" x="4956"/>
        <item m="1" x="4957"/>
        <item m="1" x="4958"/>
        <item m="1" x="4959"/>
        <item m="1" x="4763"/>
        <item m="1" x="5140"/>
        <item m="1" x="4960"/>
        <item m="1" x="4961"/>
        <item m="1" x="4962"/>
        <item m="1" x="4964"/>
        <item m="1" x="4965"/>
        <item m="1" x="4967"/>
        <item m="1" x="5141"/>
        <item m="1" x="4968"/>
        <item m="1" x="4035"/>
        <item m="1" x="4969"/>
        <item m="1" x="4970"/>
        <item m="1" x="4971"/>
        <item m="1" x="4972"/>
        <item m="1" x="4976"/>
        <item m="1" x="4978"/>
        <item m="1" x="4989"/>
        <item m="1" x="4990"/>
        <item m="1" x="4991"/>
        <item m="1" x="4992"/>
        <item m="1" x="1935"/>
        <item m="1" x="4993"/>
        <item m="1" x="4994"/>
        <item m="1" x="4996"/>
        <item m="1" x="3093"/>
        <item m="1" x="4825"/>
        <item m="1" x="5015"/>
        <item m="1" x="4828"/>
        <item m="1" x="5027"/>
        <item m="1" x="4848"/>
        <item m="1" x="1997"/>
        <item m="1" x="4854"/>
        <item m="1" x="4858"/>
        <item m="1" x="1864"/>
        <item m="1" x="4393"/>
        <item m="1" x="5092"/>
        <item m="1" x="5095"/>
        <item m="1" x="4862"/>
        <item m="1" x="5121"/>
        <item m="1" x="5122"/>
        <item m="1" x="4416"/>
        <item m="1" x="2783"/>
        <item m="1" x="3115"/>
        <item m="1" x="1929"/>
        <item m="1" x="2794"/>
        <item m="1" x="4882"/>
        <item m="1" x="4885"/>
        <item m="1" x="4625"/>
        <item m="1" x="4797"/>
        <item m="1" x="4720"/>
        <item m="1" x="4611"/>
        <item m="1" x="4732"/>
        <item m="1" x="4733"/>
        <item m="1" x="4427"/>
        <item m="1" x="4438"/>
        <item m="1" x="4802"/>
        <item m="1" x="4723"/>
        <item m="1" x="4745"/>
        <item m="1" x="4751"/>
        <item m="1" x="4814"/>
        <item m="1" x="4815"/>
        <item m="1" x="4758"/>
        <item m="1" x="4668"/>
        <item m="1" x="4669"/>
        <item m="1" x="4670"/>
        <item m="1" x="4666"/>
        <item m="1" x="4667"/>
        <item m="1" x="4817"/>
        <item m="1" x="4490"/>
        <item m="1" x="4491"/>
        <item m="1" x="4683"/>
        <item m="1" x="4783"/>
        <item m="1" x="4818"/>
        <item m="1" x="4556"/>
        <item m="1" x="4819"/>
        <item m="1" x="4601"/>
        <item m="1" x="4820"/>
        <item m="1" x="1940"/>
        <item m="1" x="4823"/>
        <item m="1" x="4385"/>
        <item m="1" x="4386"/>
        <item m="1" x="3591"/>
        <item m="1" x="2026"/>
        <item m="1" x="4829"/>
        <item m="1" x="4830"/>
        <item m="1" x="4834"/>
        <item m="1" x="4849"/>
        <item m="1" x="4850"/>
        <item m="1" x="4780"/>
        <item m="1" x="4779"/>
        <item m="1" x="4388"/>
        <item m="1" x="1962"/>
        <item m="1" x="4401"/>
        <item m="1" x="1835"/>
        <item m="1" x="1836"/>
        <item m="1" x="1790"/>
        <item m="1" x="4867"/>
        <item m="1" x="2766"/>
        <item m="1" x="2764"/>
        <item m="1" x="2765"/>
        <item m="1" x="4869"/>
        <item m="1" x="4870"/>
        <item m="1" x="4607"/>
        <item m="1" x="4871"/>
        <item m="1" x="4415"/>
        <item m="1" x="4872"/>
        <item m="1" x="4873"/>
        <item m="1" x="4874"/>
        <item m="1" x="4875"/>
        <item m="1" x="4876"/>
        <item m="1" x="2774"/>
        <item m="1" x="4881"/>
        <item m="1" x="4883"/>
        <item m="1" x="4628"/>
        <item m="1" x="4888"/>
        <item m="1" x="4889"/>
        <item m="1" x="4552"/>
        <item m="1" x="4721"/>
        <item m="1" x="4722"/>
        <item m="1" x="4567"/>
        <item m="1" x="4724"/>
        <item m="1" x="4726"/>
        <item m="1" x="4728"/>
        <item m="1" x="4429"/>
        <item m="1" x="4492"/>
        <item m="1" x="4734"/>
        <item m="1" x="4017"/>
        <item m="1" x="4435"/>
        <item m="1" x="4436"/>
        <item m="1" x="4737"/>
        <item m="1" x="4738"/>
        <item m="1" x="4739"/>
        <item m="1" x="4740"/>
        <item m="1" x="4741"/>
        <item m="1" x="4538"/>
        <item m="1" x="4742"/>
        <item m="1" x="4743"/>
        <item m="1" x="4744"/>
        <item m="1" x="4746"/>
        <item m="1" x="4456"/>
        <item m="1" x="4747"/>
        <item m="1" x="4748"/>
        <item m="1" x="4749"/>
        <item m="1" x="4750"/>
        <item m="1" x="4752"/>
        <item m="1" x="4753"/>
        <item m="1" x="4754"/>
        <item m="1" x="4755"/>
        <item m="1" x="4469"/>
        <item m="1" x="4474"/>
        <item m="1" x="4240"/>
        <item m="1" x="4759"/>
        <item m="1" x="4760"/>
        <item m="1" x="4519"/>
        <item m="1" x="4761"/>
        <item m="1" x="4762"/>
        <item m="1" x="4764"/>
        <item m="1" x="4688"/>
        <item m="1" x="4765"/>
        <item m="1" x="4528"/>
        <item m="1" x="4033"/>
        <item m="1" x="1813"/>
        <item m="1" x="4766"/>
        <item m="1" x="4767"/>
        <item m="1" x="4548"/>
        <item m="1" x="4768"/>
        <item m="1" x="4769"/>
        <item m="1" x="4549"/>
        <item m="1" x="4689"/>
        <item m="1" x="4690"/>
        <item m="1" x="4580"/>
        <item m="1" x="4770"/>
        <item m="1" x="4771"/>
        <item m="1" x="4772"/>
        <item m="1" x="4258"/>
        <item m="1" x="4774"/>
        <item m="1" x="4262"/>
        <item m="1" x="3925"/>
        <item m="1" x="4777"/>
        <item m="1" x="4392"/>
        <item m="1" x="4396"/>
        <item m="1" x="1930"/>
        <item m="1" x="4781"/>
        <item m="1" x="4782"/>
        <item m="1" x="4587"/>
        <item m="1" x="1711"/>
        <item m="1" x="1826"/>
        <item m="1" x="3585"/>
        <item m="1" x="1825"/>
        <item m="1" x="3590"/>
        <item m="1" x="1933"/>
        <item m="1" x="1931"/>
        <item m="1" x="4598"/>
        <item m="1" x="4599"/>
        <item m="1" x="3268"/>
        <item m="1" x="4602"/>
        <item m="1" x="4604"/>
        <item m="1" x="4605"/>
        <item x="13"/>
        <item m="1" x="4409"/>
        <item m="1" x="4413"/>
        <item m="1" x="4283"/>
        <item m="1" x="4786"/>
        <item m="1" x="4787"/>
        <item m="1" x="4788"/>
        <item m="1" x="4789"/>
        <item m="1" x="4790"/>
        <item m="1" x="4791"/>
        <item m="1" x="4792"/>
        <item m="1" x="4612"/>
        <item m="1" x="4617"/>
        <item m="1" x="4618"/>
        <item m="1" x="4620"/>
        <item m="1" x="4622"/>
        <item m="1" x="4642"/>
        <item m="1" x="4626"/>
        <item m="1" x="4002"/>
        <item m="1" x="4629"/>
        <item m="1" x="4795"/>
        <item m="1" x="3998"/>
        <item m="1" x="4632"/>
        <item m="1" x="4633"/>
        <item m="1" x="4634"/>
        <item m="1" x="4635"/>
        <item m="1" x="4636"/>
        <item m="1" x="4637"/>
        <item m="1" x="2767"/>
        <item m="1" x="4638"/>
        <item m="1" x="4639"/>
        <item m="1" x="4640"/>
        <item m="1" x="4425"/>
        <item m="1" x="4641"/>
        <item m="1" x="4643"/>
        <item m="1" x="4644"/>
        <item m="1" x="4645"/>
        <item m="1" x="4646"/>
        <item m="1" x="4647"/>
        <item m="1" x="4473"/>
        <item m="1" x="4648"/>
        <item m="1" x="4650"/>
        <item m="1" x="4428"/>
        <item m="1" x="4651"/>
        <item m="1" x="4652"/>
        <item m="1" x="4029"/>
        <item m="1" x="3216"/>
        <item m="1" x="4653"/>
        <item m="1" x="4504"/>
        <item m="1" x="4654"/>
        <item m="1" x="4655"/>
        <item m="1" x="4432"/>
        <item m="1" x="4364"/>
        <item m="1" x="4656"/>
        <item m="1" x="4032"/>
        <item m="1" x="2497"/>
        <item m="1" x="4657"/>
        <item m="1" x="4658"/>
        <item m="1" x="4659"/>
        <item m="1" x="4660"/>
        <item m="1" x="4661"/>
        <item m="1" x="4457"/>
        <item m="1" x="4463"/>
        <item m="1" x="4464"/>
        <item m="1" x="4662"/>
        <item m="1" x="4663"/>
        <item m="1" x="4664"/>
        <item m="1" x="4476"/>
        <item m="1" x="4481"/>
        <item m="1" x="4493"/>
        <item m="1" x="4484"/>
        <item m="1" x="4494"/>
        <item m="1" x="4671"/>
        <item m="1" x="3743"/>
        <item m="1" x="4672"/>
        <item m="1" x="4673"/>
        <item m="1" x="3261"/>
        <item m="1" x="4482"/>
        <item m="1" x="4674"/>
        <item m="1" x="4498"/>
        <item m="1" x="4499"/>
        <item m="1" x="4513"/>
        <item m="1" x="4515"/>
        <item m="1" x="4516"/>
        <item m="1" x="4030"/>
        <item m="1" x="4031"/>
        <item m="1" x="4514"/>
        <item m="1" x="4675"/>
        <item m="1" x="4676"/>
        <item m="1" x="3416"/>
        <item m="1" x="4517"/>
        <item m="1" x="4677"/>
        <item m="1" x="4452"/>
        <item m="1" x="4088"/>
        <item m="1" x="4678"/>
        <item m="1" x="4679"/>
        <item m="1" x="4680"/>
        <item m="1" x="4524"/>
        <item m="1" x="4681"/>
        <item m="1" x="4682"/>
        <item m="1" x="4525"/>
        <item m="1" x="4533"/>
        <item m="1" x="4534"/>
        <item m="1" x="4535"/>
        <item m="1" x="4531"/>
        <item m="1" x="4532"/>
        <item m="1" x="4544"/>
        <item m="1" x="4537"/>
        <item m="1" x="4684"/>
        <item m="1" x="4685"/>
        <item m="1" x="4686"/>
        <item m="1" x="4687"/>
        <item m="1" x="4547"/>
        <item m="1" x="4558"/>
        <item m="1" x="4555"/>
        <item m="1" x="4551"/>
        <item m="1" x="4557"/>
        <item m="1" x="4554"/>
        <item m="1" x="4563"/>
        <item m="1" x="4564"/>
        <item m="1" x="4569"/>
        <item m="1" x="4691"/>
        <item m="1" x="4565"/>
        <item m="1" x="4574"/>
        <item m="1" x="4566"/>
        <item m="1" x="4568"/>
        <item m="1" x="4570"/>
        <item m="1" x="4692"/>
        <item m="1" x="4693"/>
        <item m="1" x="4576"/>
        <item m="1" x="4577"/>
        <item m="1" x="4578"/>
        <item m="1" x="4579"/>
        <item m="1" x="3608"/>
        <item m="1" x="3609"/>
        <item m="1" x="2707"/>
        <item m="1" x="4312"/>
        <item m="1" x="4694"/>
        <item m="1" x="4695"/>
        <item m="1" x="4583"/>
        <item m="1" x="4697"/>
        <item m="1" x="4698"/>
        <item m="1" x="4699"/>
        <item m="1" x="4594"/>
        <item m="1" x="4018"/>
        <item m="1" x="1798"/>
        <item m="1" x="4700"/>
        <item m="1" x="4701"/>
        <item m="1" x="1868"/>
        <item m="1" x="1860"/>
        <item m="1" x="1861"/>
        <item m="1" x="3469"/>
        <item m="1" x="1867"/>
        <item m="1" x="4389"/>
        <item m="1" x="4390"/>
        <item m="1" x="1889"/>
        <item m="1" x="1709"/>
        <item m="1" x="1710"/>
        <item m="1" x="3190"/>
        <item m="1" x="4702"/>
        <item m="1" x="4703"/>
        <item m="1" x="4704"/>
        <item m="1" x="4705"/>
        <item m="1" x="4706"/>
        <item m="1" x="4707"/>
        <item m="1" x="4708"/>
        <item m="1" x="4277"/>
        <item m="1" x="1814"/>
        <item m="1" x="4709"/>
        <item m="1" x="1980"/>
        <item m="1" x="2067"/>
        <item m="1" x="1837"/>
        <item m="1" x="2299"/>
        <item m="1" x="1863"/>
        <item m="1" x="1830"/>
        <item m="1" x="4336"/>
        <item m="1" x="1955"/>
        <item m="1" x="1884"/>
        <item m="1" x="4711"/>
        <item m="1" x="4503"/>
        <item m="1" x="4712"/>
        <item m="1" x="4713"/>
        <item m="1" x="4714"/>
        <item m="1" x="2775"/>
        <item m="1" x="3610"/>
        <item m="1" x="4610"/>
        <item m="1" x="4019"/>
        <item m="1" x="4536"/>
        <item m="1" x="1086"/>
        <item m="1" x="4715"/>
        <item m="1" x="1838"/>
        <item m="1" x="1932"/>
        <item m="1" x="3596"/>
        <item m="1" x="2790"/>
        <item m="1" x="4716"/>
        <item m="1" x="1943"/>
        <item m="1" x="2796"/>
        <item m="1" x="2810"/>
        <item m="1" x="2811"/>
        <item m="1" x="4422"/>
        <item m="1" x="4039"/>
        <item m="1" x="4040"/>
        <item m="1" x="4041"/>
        <item m="1" x="4354"/>
        <item m="1" x="4423"/>
        <item m="1" x="4424"/>
        <item m="1" x="4353"/>
        <item m="1" x="4360"/>
        <item m="1" x="4426"/>
        <item m="1" x="2817"/>
        <item m="1" x="4430"/>
        <item m="1" x="4361"/>
        <item m="1" x="4357"/>
        <item m="1" x="2005"/>
        <item m="1" x="4431"/>
        <item m="1" x="4440"/>
        <item m="1" x="3257"/>
        <item m="1" x="4441"/>
        <item m="1" x="4442"/>
        <item m="1" x="4443"/>
        <item m="1" x="4445"/>
        <item m="1" x="4446"/>
        <item m="1" x="4447"/>
        <item m="1" x="4448"/>
        <item m="1" x="4449"/>
        <item m="1" x="4450"/>
        <item m="1" x="4451"/>
        <item m="1" x="4061"/>
        <item m="1" x="4453"/>
        <item m="1" x="4454"/>
        <item m="1" x="4455"/>
        <item m="1" x="4064"/>
        <item m="1" x="4458"/>
        <item m="1" x="4459"/>
        <item m="1" x="4460"/>
        <item m="1" x="4461"/>
        <item m="1" x="4462"/>
        <item m="1" x="4465"/>
        <item m="1" x="4466"/>
        <item m="1" x="4467"/>
        <item m="1" x="4371"/>
        <item m="1" x="4468"/>
        <item m="1" x="4470"/>
        <item m="1" x="4471"/>
        <item m="1" x="4472"/>
        <item m="1" x="4475"/>
        <item m="1" x="4477"/>
        <item m="1" x="4478"/>
        <item m="1" x="4479"/>
        <item m="1" x="4480"/>
        <item m="1" x="4070"/>
        <item m="1" x="4483"/>
        <item m="1" x="4485"/>
        <item m="1" x="4486"/>
        <item m="1" x="4487"/>
        <item m="1" x="4488"/>
        <item m="1" x="4489"/>
        <item m="1" x="4374"/>
        <item m="1" x="4495"/>
        <item m="1" x="4496"/>
        <item m="1" x="4497"/>
        <item m="1" x="4505"/>
        <item m="1" x="4510"/>
        <item m="1" x="4512"/>
        <item m="1" x="4518"/>
        <item m="1" x="4376"/>
        <item m="1" x="4521"/>
        <item m="1" x="4522"/>
        <item m="1" x="4523"/>
        <item m="1" x="4526"/>
        <item m="1" x="4527"/>
        <item m="1" x="4529"/>
        <item m="1" x="4530"/>
        <item m="1" x="1858"/>
        <item m="1" x="4087"/>
        <item m="1" x="4539"/>
        <item m="1" x="4540"/>
        <item m="1" x="4408"/>
        <item m="1" x="4541"/>
        <item m="1" x="4542"/>
        <item m="1" x="4543"/>
        <item m="1" x="4377"/>
        <item m="1" x="4545"/>
        <item m="1" x="4546"/>
        <item m="1" x="4380"/>
        <item m="1" x="4550"/>
        <item m="1" x="4034"/>
        <item m="1" x="4553"/>
        <item m="1" x="4099"/>
        <item m="1" x="4559"/>
        <item m="1" x="4560"/>
        <item m="1" x="4561"/>
        <item m="1" x="4562"/>
        <item m="1" x="4571"/>
        <item m="1" x="4572"/>
        <item m="1" x="4573"/>
        <item m="1" x="4575"/>
        <item m="1" x="4382"/>
        <item m="1" x="3607"/>
        <item m="1" x="2710"/>
        <item m="1" x="2089"/>
        <item m="1" x="4581"/>
        <item m="1" x="4582"/>
        <item m="1" x="4584"/>
        <item m="1" x="1936"/>
        <item m="1" x="2025"/>
        <item m="1" x="3259"/>
        <item m="1" x="4395"/>
        <item m="1" x="4394"/>
        <item m="1" x="4263"/>
        <item m="1" x="4586"/>
        <item m="1" x="4588"/>
        <item m="1" x="3926"/>
        <item m="1" x="4589"/>
        <item m="1" x="4590"/>
        <item m="1" x="4591"/>
        <item m="1" x="2460"/>
        <item m="1" x="4593"/>
        <item m="1" x="2028"/>
        <item m="1" x="4329"/>
        <item m="1" x="1977"/>
        <item m="1" x="3945"/>
        <item m="1" x="4596"/>
        <item m="1" x="2987"/>
        <item m="1" x="4036"/>
        <item m="1" x="4037"/>
        <item m="1" x="4600"/>
        <item m="1" x="4603"/>
        <item m="1" x="4038"/>
        <item m="1" x="4606"/>
        <item m="1" x="4279"/>
        <item m="1" x="4608"/>
        <item m="1" x="4609"/>
        <item m="1" x="4419"/>
        <item m="1" x="3928"/>
        <item m="1" x="4347"/>
        <item m="1" x="3611"/>
        <item m="1" x="4613"/>
        <item m="1" x="4614"/>
        <item m="1" x="4615"/>
        <item m="1" x="4616"/>
        <item m="1" x="4621"/>
        <item m="1" x="4421"/>
        <item m="1" x="4623"/>
        <item m="1" x="3750"/>
        <item m="1" x="4627"/>
        <item m="1" x="4630"/>
        <item m="1" x="4631"/>
        <item m="1" x="3752"/>
        <item m="1" x="3753"/>
        <item m="1" x="4290"/>
        <item m="1" x="4042"/>
        <item m="1" x="4046"/>
        <item m="1" x="4047"/>
        <item m="1" x="4048"/>
        <item m="1" x="4050"/>
        <item m="1" x="4057"/>
        <item m="1" x="4055"/>
        <item m="1" x="4051"/>
        <item m="1" x="4052"/>
        <item m="1" x="4053"/>
        <item m="1" x="4054"/>
        <item m="1" x="2322"/>
        <item m="1" x="4358"/>
        <item m="1" x="4359"/>
        <item m="1" x="4362"/>
        <item m="1" x="4363"/>
        <item m="1" x="4218"/>
        <item m="1" x="1780"/>
        <item m="1" x="4365"/>
        <item m="1" x="2010"/>
        <item m="1" x="4226"/>
        <item m="1" x="4227"/>
        <item m="1" x="4366"/>
        <item m="1" x="4367"/>
        <item m="1" x="4368"/>
        <item m="1" x="4369"/>
        <item m="1" x="4288"/>
        <item m="1" x="4225"/>
        <item m="1" x="3933"/>
        <item m="1" x="4370"/>
        <item m="1" x="4372"/>
        <item m="1" x="4373"/>
        <item m="1" x="4065"/>
        <item m="1" x="2238"/>
        <item m="1" x="4375"/>
        <item m="1" x="4069"/>
        <item m="1" x="2031"/>
        <item m="1" x="4301"/>
        <item x="274"/>
        <item m="1" x="4077"/>
        <item m="1" x="4078"/>
        <item m="1" x="4079"/>
        <item m="1" x="4081"/>
        <item m="1" x="4303"/>
        <item m="1" x="4082"/>
        <item m="1" x="4304"/>
        <item m="1" x="2239"/>
        <item m="1" x="4092"/>
        <item m="1" x="4093"/>
        <item m="1" x="4094"/>
        <item m="1" x="4095"/>
        <item m="1" x="4090"/>
        <item m="1" x="4378"/>
        <item m="1" x="4379"/>
        <item m="1" x="4097"/>
        <item m="1" x="3346"/>
        <item m="1" x="3739"/>
        <item m="1" x="3740"/>
        <item m="1" x="3438"/>
        <item m="1" x="3166"/>
        <item m="1" x="4381"/>
        <item m="1" x="4098"/>
        <item m="1" x="4100"/>
        <item m="1" x="4101"/>
        <item m="1" x="4102"/>
        <item m="1" x="4106"/>
        <item m="1" x="4107"/>
        <item m="1" x="3741"/>
        <item m="1" x="1978"/>
        <item m="1" x="4383"/>
        <item m="1" x="4384"/>
        <item m="1" x="3940"/>
        <item m="1" x="3941"/>
        <item m="1" x="4259"/>
        <item m="1" x="4257"/>
        <item m="1" x="4256"/>
        <item m="1" x="4260"/>
        <item m="1" x="4387"/>
        <item m="1" x="4316"/>
        <item m="1" x="3742"/>
        <item m="1" x="4261"/>
        <item m="1" x="4270"/>
        <item m="1" x="4273"/>
        <item m="1" x="4274"/>
        <item m="1" x="4269"/>
        <item m="1" x="4272"/>
        <item m="1" x="4271"/>
        <item m="1" x="4264"/>
        <item m="1" x="2465"/>
        <item m="1" x="1992"/>
        <item m="1" x="1995"/>
        <item m="1" x="3488"/>
        <item m="1" x="4397"/>
        <item m="1" x="2027"/>
        <item m="1" x="2035"/>
        <item m="1" x="4398"/>
        <item m="1" x="4399"/>
        <item m="1" x="4400"/>
        <item m="1" x="1598"/>
        <item m="1" x="4276"/>
        <item m="1" x="4331"/>
        <item m="1" x="2917"/>
        <item m="1" x="4402"/>
        <item m="1" x="4335"/>
        <item m="1" x="1890"/>
        <item m="1" x="1827"/>
        <item m="1" x="4337"/>
        <item m="1" x="3288"/>
        <item m="1" x="4405"/>
        <item m="1" x="4407"/>
        <item m="1" x="4411"/>
        <item m="1" x="4414"/>
        <item m="1" x="3747"/>
        <item m="1" x="3746"/>
        <item m="1" x="3748"/>
        <item m="1" x="3749"/>
        <item m="1" x="4420"/>
        <item m="1" x="3947"/>
        <item m="1" x="3745"/>
        <item m="1" x="3744"/>
        <item m="1" x="3313"/>
        <item m="1" x="2797"/>
        <item m="1" x="3331"/>
        <item m="1" x="3754"/>
        <item m="1" x="3512"/>
        <item m="1" x="4056"/>
        <item m="1" x="4049"/>
        <item m="1" x="4291"/>
        <item m="1" x="4292"/>
        <item m="1" x="4060"/>
        <item m="1" x="4063"/>
        <item m="1" x="4293"/>
        <item m="1" x="4234"/>
        <item m="1" x="4232"/>
        <item m="1" x="4294"/>
        <item m="1" x="4295"/>
        <item m="1" x="4296"/>
        <item m="1" x="4233"/>
        <item m="1" x="4224"/>
        <item m="1" x="4237"/>
        <item m="1" x="4221"/>
        <item m="1" x="2032"/>
        <item m="1" x="4297"/>
        <item m="1" x="3302"/>
        <item m="1" x="4298"/>
        <item m="1" x="4299"/>
        <item m="1" x="4300"/>
        <item m="1" x="4066"/>
        <item m="1" x="4074"/>
        <item m="1" x="4075"/>
        <item m="1" x="4071"/>
        <item m="1" x="4080"/>
        <item m="1" x="4241"/>
        <item m="1" x="4302"/>
        <item m="1" x="4083"/>
        <item m="1" x="4084"/>
        <item m="1" x="4305"/>
        <item m="1" x="4085"/>
        <item m="1" x="4096"/>
        <item m="1" x="4306"/>
        <item m="1" x="4307"/>
        <item m="1" x="4089"/>
        <item m="1" x="4243"/>
        <item m="1" x="4308"/>
        <item m="1" x="4309"/>
        <item m="1" x="4248"/>
        <item m="1" x="4244"/>
        <item m="1" x="4245"/>
        <item m="1" x="4247"/>
        <item m="1" x="4246"/>
        <item m="1" x="3604"/>
        <item m="1" x="3603"/>
        <item m="1" x="3536"/>
        <item m="1" x="3772"/>
        <item m="1" x="3537"/>
        <item m="1" x="3602"/>
        <item m="1" x="3538"/>
        <item m="1" x="3605"/>
        <item m="1" x="3606"/>
        <item m="1" x="4310"/>
        <item m="1" x="4250"/>
        <item m="1" x="4104"/>
        <item m="1" x="4251"/>
        <item m="1" x="4311"/>
        <item m="1" x="2711"/>
        <item m="1" x="2900"/>
        <item m="1" x="4313"/>
        <item m="1" x="3938"/>
        <item m="1" x="4253"/>
        <item m="1" x="646"/>
        <item m="1" x="3939"/>
        <item m="1" x="4314"/>
        <item m="1" x="4108"/>
        <item m="1" x="1859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3626"/>
        <item m="1" x="1726"/>
        <item m="1" x="3943"/>
        <item m="1" x="2034"/>
        <item m="1" x="4327"/>
        <item m="1" x="4328"/>
        <item m="1" x="4330"/>
        <item m="1" x="3781"/>
        <item m="1" x="4332"/>
        <item m="1" x="4278"/>
        <item m="1" x="4334"/>
        <item m="1" x="3279"/>
        <item m="1" x="4338"/>
        <item m="1" x="3293"/>
        <item m="1" x="3296"/>
        <item m="1" x="2771"/>
        <item m="1" x="4339"/>
        <item m="1" x="3948"/>
        <item m="1" x="4340"/>
        <item m="1" x="4341"/>
        <item m="1" x="4342"/>
        <item m="1" x="4343"/>
        <item m="1" x="4344"/>
        <item m="1" x="4345"/>
        <item m="1" x="4346"/>
        <item m="1" x="3789"/>
        <item m="1" x="3949"/>
        <item m="1" x="2786"/>
        <item m="1" x="3311"/>
        <item m="1" x="3314"/>
        <item m="1" x="4284"/>
        <item m="1" x="3321"/>
        <item m="1" x="3322"/>
        <item m="1" x="3323"/>
        <item m="1" x="4285"/>
        <item m="1" x="4287"/>
        <item m="1" x="4348"/>
        <item m="1" x="4289"/>
        <item m="1" x="4349"/>
        <item m="1" x="4350"/>
        <item m="1" x="4351"/>
        <item m="1" x="4352"/>
        <item m="1" x="3335"/>
        <item m="1" x="2803"/>
        <item m="1" x="3340"/>
        <item m="1" x="3341"/>
        <item m="1" x="3342"/>
        <item m="1" x="3757"/>
        <item m="1" x="3755"/>
        <item m="1" x="3756"/>
        <item m="1" x="4115"/>
        <item m="1" x="4043"/>
        <item m="1" x="4044"/>
        <item m="1" x="4045"/>
        <item m="1" x="4217"/>
        <item m="1" x="4121"/>
        <item m="1" x="4122"/>
        <item m="1" x="3759"/>
        <item m="1" x="4058"/>
        <item m="1" x="4059"/>
        <item m="1" x="3764"/>
        <item m="1" x="2226"/>
        <item m="1" x="4219"/>
        <item m="1" x="4220"/>
        <item m="1" x="4222"/>
        <item m="1" x="4223"/>
        <item m="1" x="3934"/>
        <item m="1" x="4229"/>
        <item m="1" x="4230"/>
        <item m="1" x="4231"/>
        <item m="1" x="4235"/>
        <item m="1" x="4236"/>
        <item m="1" x="3936"/>
        <item m="1" x="1313"/>
        <item m="1" x="4068"/>
        <item m="1" x="4067"/>
        <item m="1" x="4238"/>
        <item m="1" x="4239"/>
        <item m="1" x="4142"/>
        <item m="1" x="4147"/>
        <item m="1" x="4148"/>
        <item m="1" x="4072"/>
        <item m="1" x="4073"/>
        <item m="1" x="4076"/>
        <item m="1" x="4152"/>
        <item m="1" x="4163"/>
        <item m="1" x="4242"/>
        <item m="1" x="4158"/>
        <item m="1" x="4086"/>
        <item m="1" x="4160"/>
        <item m="1" x="4091"/>
        <item m="1" x="3539"/>
        <item m="1" x="4249"/>
        <item m="1" x="3540"/>
        <item m="1" x="3541"/>
        <item m="1" x="3165"/>
        <item m="1" x="3525"/>
        <item m="1" x="3436"/>
        <item m="1" x="3561"/>
        <item m="1" x="3456"/>
        <item m="1" x="3522"/>
        <item m="1" x="3523"/>
        <item m="1" x="3524"/>
        <item m="1" x="3773"/>
        <item m="1" x="4103"/>
        <item m="1" x="4203"/>
        <item m="1" x="4208"/>
        <item m="1" x="4105"/>
        <item m="1" x="3333"/>
        <item m="1" x="4252"/>
        <item m="1" x="4254"/>
        <item m="1" x="4255"/>
        <item m="1" x="1878"/>
        <item m="1" x="3779"/>
        <item m="1" x="3625"/>
        <item m="1" x="3900"/>
        <item m="1" x="4265"/>
        <item m="1" x="4266"/>
        <item m="1" x="2270"/>
        <item m="1" x="4204"/>
        <item m="1" x="1775"/>
        <item x="79"/>
        <item m="1" x="4275"/>
        <item m="1" x="1960"/>
        <item m="1" x="3680"/>
        <item m="1" x="3108"/>
        <item m="1" x="2294"/>
        <item m="1" x="3499"/>
        <item m="1" x="3269"/>
        <item m="1" x="4280"/>
        <item m="1" x="4281"/>
        <item m="1" x="3153"/>
        <item m="1" x="3786"/>
        <item m="1" x="4282"/>
        <item m="1" x="4188"/>
        <item m="1" x="1946"/>
        <item m="1" x="4286"/>
        <item m="1" x="3336"/>
        <item m="1" x="3950"/>
        <item m="1" x="4062"/>
        <item m="1" x="4109"/>
        <item m="1" x="4110"/>
        <item m="1" x="4111"/>
        <item m="1" x="4112"/>
        <item m="1" x="4113"/>
        <item m="1" x="4114"/>
        <item m="1" x="4116"/>
        <item m="1" x="4117"/>
        <item m="1" x="4118"/>
        <item m="1" x="4119"/>
        <item m="1" x="4120"/>
        <item m="1" x="4123"/>
        <item m="1" x="2163"/>
        <item m="1" x="4124"/>
        <item m="1" x="4125"/>
        <item m="1" x="4126"/>
        <item m="1" x="4127"/>
        <item m="1" x="4128"/>
        <item m="1" x="4129"/>
        <item m="1" x="4130"/>
        <item m="1" x="2826"/>
        <item m="1" x="3761"/>
        <item m="1" x="3762"/>
        <item m="1" x="3763"/>
        <item m="1" x="3930"/>
        <item m="1" x="4131"/>
        <item m="1" x="3767"/>
        <item m="1" x="1738"/>
        <item m="1" x="3619"/>
        <item m="1" x="3931"/>
        <item m="1" x="3932"/>
        <item m="1" x="2180"/>
        <item m="1" x="2850"/>
        <item m="1" x="3935"/>
        <item m="1" x="3970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3"/>
        <item m="1" x="4144"/>
        <item m="1" x="4145"/>
        <item m="1" x="4146"/>
        <item m="1" x="4149"/>
        <item m="1" x="4150"/>
        <item m="1" x="1704"/>
        <item m="1" x="4151"/>
        <item m="1" x="2809"/>
        <item m="1" x="4153"/>
        <item m="1" x="4154"/>
        <item m="1" x="3217"/>
        <item m="1" x="4155"/>
        <item m="1" x="4156"/>
        <item m="1" x="4157"/>
        <item m="1" x="4159"/>
        <item m="1" x="4161"/>
        <item m="1" x="4162"/>
        <item m="1" x="3275"/>
        <item m="1" x="3979"/>
        <item m="1" x="3277"/>
        <item m="1" x="4164"/>
        <item m="1" x="3437"/>
        <item m="1" x="3547"/>
        <item m="1" x="3161"/>
        <item m="1" x="3545"/>
        <item m="1" x="3546"/>
        <item m="1" x="3533"/>
        <item m="1" x="3534"/>
        <item m="1" x="3535"/>
        <item m="1" x="3526"/>
        <item m="1" x="3527"/>
        <item m="1" x="3528"/>
        <item m="1" x="3529"/>
        <item m="1" x="3530"/>
        <item m="1" x="3531"/>
        <item m="1" x="3532"/>
        <item m="1" x="3543"/>
        <item m="1" x="3544"/>
        <item m="1" x="3548"/>
        <item m="1" x="3542"/>
        <item m="1" x="4165"/>
        <item m="1" x="4166"/>
        <item m="1" x="4167"/>
        <item m="1" x="3774"/>
        <item m="1" x="3937"/>
        <item m="1" x="4168"/>
        <item m="1" x="3775"/>
        <item m="1" x="3776"/>
        <item m="1" x="3777"/>
        <item m="1" x="3778"/>
        <item m="1" x="4169"/>
        <item m="1" x="4170"/>
        <item m="1" x="4171"/>
        <item m="1" x="4172"/>
        <item m="1" x="4173"/>
        <item m="1" x="4174"/>
        <item m="1" x="1894"/>
        <item m="1" x="4175"/>
        <item m="1" x="4176"/>
        <item m="1" x="3976"/>
        <item m="1" x="3977"/>
        <item m="1" x="1949"/>
        <item m="1" x="4177"/>
        <item m="1" x="4178"/>
        <item m="1" x="4179"/>
        <item m="1" x="3679"/>
        <item m="1" x="4180"/>
        <item m="1" x="4181"/>
        <item m="1" x="3944"/>
        <item m="1" x="1781"/>
        <item m="1" x="4182"/>
        <item m="1" x="3980"/>
        <item m="1" x="4183"/>
        <item m="1" x="2022"/>
        <item m="1" x="4184"/>
        <item m="1" x="3990"/>
        <item m="1" x="3946"/>
        <item m="1" x="4185"/>
        <item m="1" x="4186"/>
        <item m="1" x="4187"/>
        <item m="1" x="3785"/>
        <item m="1" x="3627"/>
        <item m="1" x="1555"/>
        <item m="1" x="3790"/>
        <item m="1" x="4189"/>
        <item m="1" x="4190"/>
        <item m="1" x="4191"/>
        <item m="1" x="4192"/>
        <item m="1" x="4193"/>
        <item m="1" x="4194"/>
        <item m="1" x="3965"/>
        <item m="1" x="4195"/>
        <item m="1" x="4196"/>
        <item m="1" x="4197"/>
        <item m="1" x="4198"/>
        <item m="1" x="4199"/>
        <item m="1" x="4200"/>
        <item m="1" x="3249"/>
        <item m="1" x="4201"/>
        <item m="1" x="4202"/>
        <item m="1" x="4205"/>
        <item m="1" x="4206"/>
        <item m="1" x="4207"/>
        <item m="1" x="4209"/>
        <item m="1" x="4210"/>
        <item m="1" x="4211"/>
        <item m="1" x="4212"/>
        <item m="1" x="4213"/>
        <item m="1" x="4214"/>
        <item m="1" x="4215"/>
        <item m="1" x="4216"/>
        <item m="1" x="3999"/>
        <item m="1" x="4000"/>
        <item m="1" x="4001"/>
        <item m="1" x="4003"/>
        <item m="1" x="4004"/>
        <item m="1" x="4014"/>
        <item m="1" x="4016"/>
        <item m="1" x="3929"/>
        <item m="1" x="3766"/>
        <item m="1" x="3615"/>
        <item m="1" x="3616"/>
        <item m="1" x="3951"/>
        <item m="1" x="3952"/>
        <item m="1" x="2210"/>
        <item m="1" x="3953"/>
        <item m="1" x="3954"/>
        <item m="1" x="3955"/>
        <item m="1" x="3956"/>
        <item m="1" x="3612"/>
        <item m="1" x="3613"/>
        <item m="1" x="3792"/>
        <item m="1" x="3793"/>
        <item m="1" x="3794"/>
        <item m="1" x="3796"/>
        <item m="1" x="3797"/>
        <item m="1" x="3798"/>
        <item m="1" x="3799"/>
        <item m="1" x="3800"/>
        <item m="1" x="3795"/>
        <item m="1" x="3758"/>
        <item m="1" x="3957"/>
        <item m="1" x="3760"/>
        <item m="1" x="3958"/>
        <item m="1" x="3959"/>
        <item m="1" x="2631"/>
        <item m="1" x="3960"/>
        <item m="1" x="3961"/>
        <item m="1" x="3962"/>
        <item m="1" x="2836"/>
        <item m="1" x="3963"/>
        <item m="1" x="3964"/>
        <item m="1" x="3765"/>
        <item m="1" x="3614"/>
        <item m="1" x="3801"/>
        <item m="1" x="3803"/>
        <item m="1" x="1650"/>
        <item m="1" x="3850"/>
        <item m="1" x="3768"/>
        <item m="1" x="3769"/>
        <item m="1" x="3966"/>
        <item m="1" x="3967"/>
        <item m="1" x="3968"/>
        <item m="1" x="3969"/>
        <item m="1" x="3971"/>
        <item m="1" x="3972"/>
        <item m="1" x="3239"/>
        <item m="1" x="3973"/>
        <item m="1" x="3820"/>
        <item x="291"/>
        <item m="1" x="3415"/>
        <item m="1" x="3818"/>
        <item m="1" x="3243"/>
        <item m="1" x="3825"/>
        <item m="1" x="3620"/>
        <item m="1" x="1979"/>
        <item m="1" x="1819"/>
        <item m="1" x="3830"/>
        <item m="1" x="3770"/>
        <item m="1" x="3771"/>
        <item m="1" x="3549"/>
        <item m="1" x="3835"/>
        <item m="1" x="3840"/>
        <item m="1" x="3865"/>
        <item m="1" x="3089"/>
        <item m="1" x="3092"/>
        <item m="1" x="3974"/>
        <item m="1" x="3975"/>
        <item m="1" x="2542"/>
        <item m="1" x="2293"/>
        <item m="1" x="1652"/>
        <item m="1" x="3978"/>
        <item m="1" x="3981"/>
        <item m="1" x="3982"/>
        <item m="1" x="3983"/>
        <item m="1" x="3984"/>
        <item m="1" x="3832"/>
        <item m="1" x="3985"/>
        <item m="1" x="3986"/>
        <item m="1" x="3987"/>
        <item m="1" x="3988"/>
        <item m="1" x="3989"/>
        <item m="1" x="3991"/>
        <item m="1" x="1779"/>
        <item m="1" x="3992"/>
        <item m="1" x="3993"/>
        <item m="1" x="2564"/>
        <item m="1" x="2565"/>
        <item m="1" x="2300"/>
        <item m="1" x="3994"/>
        <item m="1" x="3267"/>
        <item m="1" x="3271"/>
        <item m="1" x="3276"/>
        <item m="1" x="3272"/>
        <item m="1" x="2164"/>
        <item m="1" x="3280"/>
        <item m="1" x="3782"/>
        <item m="1" x="3294"/>
        <item m="1" x="3295"/>
        <item m="1" x="3783"/>
        <item m="1" x="3784"/>
        <item m="1" x="3297"/>
        <item m="1" x="3788"/>
        <item m="1" x="3787"/>
        <item m="1" x="3995"/>
        <item m="1" x="3996"/>
        <item m="1" x="1944"/>
        <item m="1" x="3312"/>
        <item m="1" x="3317"/>
        <item m="1" x="3319"/>
        <item m="1" x="2498"/>
        <item m="1" x="3320"/>
        <item m="1" x="3324"/>
        <item m="1" x="1541"/>
        <item m="1" x="3334"/>
        <item m="1" x="3338"/>
        <item m="1" x="2801"/>
        <item m="1" x="2802"/>
        <item m="1" x="2807"/>
        <item m="1" x="3997"/>
        <item m="1" x="3629"/>
        <item m="1" x="3630"/>
        <item m="1" x="3631"/>
        <item m="1" x="3632"/>
        <item m="1" x="3791"/>
        <item m="1" x="3638"/>
        <item m="1" x="3802"/>
        <item m="1" x="3804"/>
        <item m="1" x="3617"/>
        <item m="1" x="3805"/>
        <item m="1" x="3806"/>
        <item m="1" x="3807"/>
        <item m="1" x="3140"/>
        <item m="1" x="2827"/>
        <item m="1" x="3808"/>
        <item m="1" x="3809"/>
        <item m="1" x="3810"/>
        <item m="1" x="3811"/>
        <item m="1" x="2085"/>
        <item m="1" x="2083"/>
        <item m="1" x="3812"/>
        <item m="1" x="3813"/>
        <item x="292"/>
        <item m="1" x="3621"/>
        <item m="1" x="3401"/>
        <item m="1" x="3814"/>
        <item m="1" x="3815"/>
        <item m="1" x="3816"/>
        <item m="1" x="3072"/>
        <item m="1" x="2375"/>
        <item m="1" x="3412"/>
        <item m="1" x="3410"/>
        <item m="1" x="3413"/>
        <item m="1" x="3408"/>
        <item m="1" x="3409"/>
        <item m="1" x="3817"/>
        <item m="1" x="3819"/>
        <item m="1" x="3821"/>
        <item m="1" x="3822"/>
        <item m="1" x="3823"/>
        <item m="1" x="3824"/>
        <item m="1" x="3622"/>
        <item m="1" x="3826"/>
        <item m="1" x="3827"/>
        <item m="1" x="3828"/>
        <item m="1" x="2866"/>
        <item m="1" x="3829"/>
        <item m="1" x="3831"/>
        <item m="1" x="3833"/>
        <item m="1" x="2762"/>
        <item m="1" x="3350"/>
        <item m="1" x="3552"/>
        <item m="1" x="3550"/>
        <item m="1" x="3551"/>
        <item m="1" x="3444"/>
        <item m="1" x="3442"/>
        <item m="1" x="3443"/>
        <item m="1" x="3162"/>
        <item m="1" x="3555"/>
        <item m="1" x="3163"/>
        <item m="1" x="3164"/>
        <item m="1" x="3554"/>
        <item m="1" x="3553"/>
        <item m="1" x="3445"/>
        <item m="1" x="3446"/>
        <item m="1" x="3834"/>
        <item m="1" x="3836"/>
        <item m="1" x="3837"/>
        <item m="1" x="3838"/>
        <item m="1" x="3839"/>
        <item m="1" x="3247"/>
        <item m="1" x="3841"/>
        <item m="1" x="3842"/>
        <item m="1" x="3457"/>
        <item m="1" x="3458"/>
        <item m="1" x="3843"/>
        <item m="1" x="3844"/>
        <item m="1" x="3845"/>
        <item m="1" x="3846"/>
        <item m="1" x="3256"/>
        <item m="1" x="3255"/>
        <item m="1" x="3847"/>
        <item m="1" x="3848"/>
        <item m="1" x="3624"/>
        <item m="1" x="1815"/>
        <item m="1" x="3103"/>
        <item m="1" x="3851"/>
        <item m="1" x="1720"/>
        <item m="1" x="3676"/>
        <item m="1" x="3677"/>
        <item m="1" x="3852"/>
        <item m="1" x="3273"/>
        <item m="1" x="3274"/>
        <item m="1" x="3282"/>
        <item m="1" x="3286"/>
        <item m="1" x="3289"/>
        <item m="1" x="3301"/>
        <item m="1" x="3853"/>
        <item m="1" x="2773"/>
        <item m="1" x="3703"/>
        <item m="1" x="3704"/>
        <item m="1" x="3854"/>
        <item m="1" x="3855"/>
        <item m="1" x="3856"/>
        <item m="1" x="3700"/>
        <item m="1" x="3701"/>
        <item m="1" x="3857"/>
        <item m="1" x="3858"/>
        <item m="1" x="3859"/>
        <item m="1" x="3860"/>
        <item m="1" x="3707"/>
        <item m="1" x="3861"/>
        <item m="1" x="3699"/>
        <item m="1" x="3862"/>
        <item m="1" x="3698"/>
        <item m="1" x="3411"/>
        <item m="1" x="3863"/>
        <item m="1" x="3316"/>
        <item m="1" x="3318"/>
        <item m="1" x="3328"/>
        <item m="1" x="3628"/>
        <item m="1" x="1783"/>
        <item m="1" x="3339"/>
        <item m="1" x="3347"/>
        <item m="1" x="2501"/>
        <item m="1" x="3864"/>
        <item m="1" x="3866"/>
        <item m="1" x="3867"/>
        <item m="1" x="3868"/>
        <item m="1" x="3869"/>
        <item m="1" x="3643"/>
        <item m="1" x="3641"/>
        <item m="1" x="3642"/>
        <item m="1" x="3646"/>
        <item m="1" x="3870"/>
        <item m="1" x="3871"/>
        <item m="1" x="3872"/>
        <item m="1" x="3873"/>
        <item m="1" x="3874"/>
        <item m="1" x="3655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510"/>
        <item m="1" x="3886"/>
        <item m="1" x="3887"/>
        <item m="1" x="3888"/>
        <item m="1" x="3889"/>
        <item m="1" x="1319"/>
        <item m="1" x="3890"/>
        <item m="1" x="3667"/>
        <item m="1" x="3891"/>
        <item m="1" x="3668"/>
        <item m="1" x="1974"/>
        <item m="1" x="3892"/>
        <item m="1" x="1937"/>
        <item m="1" x="3329"/>
        <item m="1" x="3893"/>
        <item m="1" x="3894"/>
        <item m="1" x="3895"/>
        <item m="1" x="3896"/>
        <item m="1" x="2024"/>
        <item m="1" x="3696"/>
        <item m="1" x="3897"/>
        <item m="1" x="3691"/>
        <item m="1" x="3690"/>
        <item m="1" x="3898"/>
        <item m="1" x="3692"/>
        <item m="1" x="3686"/>
        <item m="1" x="3899"/>
        <item m="1" x="3568"/>
        <item m="1" x="3735"/>
        <item m="1" x="3734"/>
        <item m="1" x="2731"/>
        <item m="1" x="3901"/>
        <item m="1" x="3902"/>
        <item m="1" x="3903"/>
        <item m="1" x="3904"/>
        <item m="1" x="3582"/>
        <item m="1" x="3905"/>
        <item m="1" x="2964"/>
        <item m="1" x="3266"/>
        <item m="1" x="1976"/>
        <item m="1" x="3290"/>
        <item m="1" x="3906"/>
        <item m="1" x="3907"/>
        <item m="1" x="2084"/>
        <item m="1" x="2086"/>
        <item m="1" x="3300"/>
        <item m="1" x="3908"/>
        <item m="1" x="3909"/>
        <item m="1" x="3910"/>
        <item m="1" x="3911"/>
        <item m="1" x="3912"/>
        <item m="1" x="3706"/>
        <item m="1" x="3913"/>
        <item m="1" x="3914"/>
        <item m="1" x="3598"/>
        <item m="1" x="3915"/>
        <item m="1" x="3916"/>
        <item m="1" x="3618"/>
        <item m="1" x="3623"/>
        <item m="1" x="1700"/>
        <item m="1" x="1699"/>
        <item m="1" x="2042"/>
        <item m="1" x="3633"/>
        <item m="1" x="3634"/>
        <item m="1" x="3635"/>
        <item m="1" x="3636"/>
        <item m="1" x="2813"/>
        <item m="1" x="3637"/>
        <item m="1" x="3511"/>
        <item m="1" x="3639"/>
        <item m="1" x="3640"/>
        <item m="1" x="3644"/>
        <item m="1" x="3645"/>
        <item m="1" x="1634"/>
        <item m="1" x="3218"/>
        <item m="1" x="3219"/>
        <item m="1" x="3647"/>
        <item m="1" x="3648"/>
        <item m="1" x="3649"/>
        <item m="1" x="3650"/>
        <item m="1" x="3651"/>
        <item m="1" x="3652"/>
        <item m="1" x="3516"/>
        <item m="1" x="2116"/>
        <item m="1" x="3653"/>
        <item m="1" x="3654"/>
        <item m="1" x="2843"/>
        <item m="1" x="2844"/>
        <item m="1" x="3031"/>
        <item m="1" x="2924"/>
        <item m="1" x="3656"/>
        <item m="1" x="3657"/>
        <item m="1" x="3658"/>
        <item m="1" x="3520"/>
        <item m="1" x="3659"/>
        <item m="1" x="3660"/>
        <item m="1" x="3393"/>
        <item m="1" x="3237"/>
        <item m="1" x="3517"/>
        <item m="1" x="3661"/>
        <item m="1" x="3662"/>
        <item m="1" x="3201"/>
        <item m="1" x="3663"/>
        <item m="1" x="3423"/>
        <item m="1" x="3664"/>
        <item m="1" x="3429"/>
        <item m="1" x="2328"/>
        <item m="1" x="3665"/>
        <item m="1" x="3666"/>
        <item m="1" x="3414"/>
        <item m="1" x="3559"/>
        <item m="1" x="3558"/>
        <item m="1" x="3441"/>
        <item m="1" x="3557"/>
        <item m="1" x="3556"/>
        <item m="1" x="3450"/>
        <item m="1" x="3447"/>
        <item m="1" x="3448"/>
        <item m="1" x="3449"/>
        <item m="1" x="2006"/>
        <item m="1" x="2717"/>
        <item m="1" x="3669"/>
        <item m="1" x="3670"/>
        <item m="1" x="3671"/>
        <item m="1" x="3672"/>
        <item m="1" x="3673"/>
        <item m="1" x="3486"/>
        <item m="1" x="3674"/>
        <item m="1" x="3675"/>
        <item m="1" x="3678"/>
        <item m="1" x="1865"/>
        <item m="1" x="3681"/>
        <item m="1" x="3682"/>
        <item m="1" x="3683"/>
        <item m="1" x="3684"/>
        <item m="1" x="3685"/>
        <item m="1" x="3687"/>
        <item m="1" x="3688"/>
        <item m="1" x="3569"/>
        <item m="1" x="3689"/>
        <item m="1" x="3693"/>
        <item m="1" x="3694"/>
        <item m="1" x="3695"/>
        <item m="1" x="2763"/>
        <item m="1" x="3697"/>
        <item m="1" x="3292"/>
        <item m="1" x="3702"/>
        <item m="1" x="3705"/>
        <item m="1" x="3708"/>
        <item m="1" x="3200"/>
        <item m="1" x="3709"/>
        <item m="1" x="3710"/>
        <item m="1" x="3711"/>
        <item m="1" x="3712"/>
        <item m="1" x="3713"/>
        <item m="1" x="3714"/>
        <item m="1" x="3327"/>
        <item m="1" x="3715"/>
        <item m="1" x="3127"/>
        <item m="1" x="3364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x="399"/>
        <item m="1" x="3729"/>
        <item m="1" x="3730"/>
        <item m="1" x="3731"/>
        <item m="1" x="3732"/>
        <item m="1" x="3733"/>
        <item m="1" x="3736"/>
        <item m="1" x="3737"/>
        <item m="1" x="3592"/>
        <item m="1" x="3738"/>
        <item m="1" x="3332"/>
        <item m="1" x="3356"/>
        <item m="1" x="3359"/>
        <item m="1" x="3357"/>
        <item m="1" x="3358"/>
        <item m="1" x="3210"/>
        <item m="1" x="3360"/>
        <item m="1" x="3129"/>
        <item m="1" x="3128"/>
        <item m="1" x="3365"/>
        <item m="1" x="3362"/>
        <item m="1" x="3363"/>
        <item m="1" x="3130"/>
        <item m="1" x="3425"/>
        <item m="1" x="3513"/>
        <item m="1" x="3514"/>
        <item m="1" x="3371"/>
        <item m="1" x="3372"/>
        <item m="1" x="3515"/>
        <item m="1" x="2823"/>
        <item m="1" x="3137"/>
        <item m="1" x="3141"/>
        <item m="1" x="3310"/>
        <item m="1" x="3376"/>
        <item m="1" x="3377"/>
        <item m="1" x="3221"/>
        <item m="1" x="3379"/>
        <item m="1" x="3386"/>
        <item m="1" x="3387"/>
        <item m="1" x="3385"/>
        <item m="1" x="3389"/>
        <item m="1" x="2842"/>
        <item m="1" x="3392"/>
        <item m="1" x="2634"/>
        <item m="1" x="2190"/>
        <item m="1" x="3207"/>
        <item m="1" x="2772"/>
        <item m="1" x="3518"/>
        <item m="1" x="3519"/>
        <item m="1" x="3238"/>
        <item m="1" x="3396"/>
        <item m="1" x="3397"/>
        <item m="1" x="1851"/>
        <item m="1" x="3402"/>
        <item m="1" x="3404"/>
        <item m="1" x="3521"/>
        <item m="1" x="3427"/>
        <item m="1" x="3422"/>
        <item m="1" x="3298"/>
        <item m="1" x="3420"/>
        <item m="1" x="3421"/>
        <item m="1" x="3419"/>
        <item m="1" x="1667"/>
        <item m="1" x="3418"/>
        <item m="1" x="3428"/>
        <item m="1" x="3432"/>
        <item m="1" x="3440"/>
        <item m="1" x="3439"/>
        <item m="1" x="3560"/>
        <item m="1" x="3455"/>
        <item m="1" x="3460"/>
        <item m="1" x="3463"/>
        <item m="1" x="3464"/>
        <item m="1" x="2708"/>
        <item m="1" x="2709"/>
        <item m="1" x="3562"/>
        <item m="1" x="3563"/>
        <item m="1" x="3564"/>
        <item m="1" x="3565"/>
        <item m="1" x="3566"/>
        <item m="1" x="2725"/>
        <item m="1" x="1869"/>
        <item m="1" x="1684"/>
        <item m="1" x="3260"/>
        <item m="1" x="1679"/>
        <item m="1" x="1685"/>
        <item m="1" x="1680"/>
        <item m="1" x="1681"/>
        <item m="1" x="1683"/>
        <item m="1" x="3570"/>
        <item m="1" x="3571"/>
        <item m="1" x="3572"/>
        <item m="1" x="3573"/>
        <item m="1" x="3574"/>
        <item m="1" x="3575"/>
        <item m="1" x="3576"/>
        <item m="1" x="2007"/>
        <item m="1" x="1996"/>
        <item m="1" x="3577"/>
        <item m="1" x="3578"/>
        <item m="1" x="3579"/>
        <item m="1" x="3580"/>
        <item m="1" x="3581"/>
        <item m="1" x="1958"/>
        <item m="1" x="1959"/>
        <item m="1" x="3264"/>
        <item m="1" x="3584"/>
        <item m="1" x="2946"/>
        <item m="1" x="1828"/>
        <item m="1" x="2942"/>
        <item m="1" x="2944"/>
        <item m="1" x="3589"/>
        <item m="1" x="3199"/>
        <item m="1" x="3285"/>
        <item m="1" x="3287"/>
        <item m="1" x="3308"/>
        <item m="1" x="1686"/>
        <item m="1" x="1682"/>
        <item m="1" x="3507"/>
        <item m="1" x="3112"/>
        <item m="1" x="3594"/>
        <item m="1" x="3595"/>
        <item m="1" x="3597"/>
        <item m="1" x="2574"/>
        <item m="1" x="3599"/>
        <item m="1" x="1784"/>
        <item m="1" x="3337"/>
        <item m="1" x="3344"/>
        <item m="1" x="3345"/>
        <item m="1" x="3205"/>
        <item m="1" x="3348"/>
        <item m="1" x="3349"/>
        <item m="1" x="3351"/>
        <item m="1" x="3208"/>
        <item m="1" x="3352"/>
        <item m="1" x="3353"/>
        <item m="1" x="3036"/>
        <item m="1" x="3354"/>
        <item m="1" x="3355"/>
        <item m="1" x="3361"/>
        <item m="1" x="3131"/>
        <item m="1" x="3366"/>
        <item m="1" x="3367"/>
        <item m="1" x="3368"/>
        <item m="1" x="3369"/>
        <item m="1" x="3370"/>
        <item m="1" x="3373"/>
        <item m="1" x="3133"/>
        <item m="1" x="3374"/>
        <item m="1" x="3375"/>
        <item m="1" x="3135"/>
        <item m="1" x="3138"/>
        <item m="1" x="3139"/>
        <item m="1" x="3142"/>
        <item m="1" x="3378"/>
        <item m="1" x="3380"/>
        <item m="1" x="3381"/>
        <item m="1" x="2356"/>
        <item m="1" x="3220"/>
        <item m="1" x="3223"/>
        <item m="1" x="3382"/>
        <item m="1" x="3383"/>
        <item m="1" x="3384"/>
        <item m="1" x="3147"/>
        <item m="1" x="1310"/>
        <item m="1" x="3388"/>
        <item m="1" x="2837"/>
        <item m="1" x="2838"/>
        <item m="1" x="2839"/>
        <item m="1" x="2845"/>
        <item m="1" x="3390"/>
        <item m="1" x="3391"/>
        <item m="1" x="2186"/>
        <item m="1" x="2295"/>
        <item m="1" x="3394"/>
        <item m="1" x="3234"/>
        <item m="1" x="3395"/>
        <item m="1" x="3398"/>
        <item m="1" x="3399"/>
        <item m="1" x="3400"/>
        <item m="1" x="3242"/>
        <item m="1" x="3405"/>
        <item m="1" x="3406"/>
        <item m="1" x="3407"/>
        <item m="1" x="3417"/>
        <item m="1" x="3424"/>
        <item m="1" x="3426"/>
        <item m="1" x="2865"/>
        <item m="1" x="3430"/>
        <item m="1" x="3431"/>
        <item m="1" x="3433"/>
        <item m="1" x="3434"/>
        <item m="1" x="3435"/>
        <item m="1" x="3451"/>
        <item m="1" x="3452"/>
        <item m="1" x="3453"/>
        <item m="1" x="3454"/>
        <item m="1" x="3459"/>
        <item m="1" x="2730"/>
        <item m="1" x="3461"/>
        <item m="1" x="3462"/>
        <item m="1" x="2991"/>
        <item m="1" x="3175"/>
        <item m="1" x="3251"/>
        <item m="1" x="3465"/>
        <item m="1" x="3466"/>
        <item m="1" x="3467"/>
        <item m="1" x="1886"/>
        <item m="1" x="3468"/>
        <item m="1" x="1678"/>
        <item m="1" x="3470"/>
        <item m="1" x="3471"/>
        <item m="1" x="3472"/>
        <item m="1" x="3474"/>
        <item m="1" x="1778"/>
        <item m="1" x="1718"/>
        <item m="1" x="1715"/>
        <item m="1" x="3475"/>
        <item m="1" x="1727"/>
        <item m="1" x="3476"/>
        <item m="1" x="3477"/>
        <item m="1" x="3478"/>
        <item m="1" x="2975"/>
        <item m="1" x="3479"/>
        <item m="1" x="3480"/>
        <item m="1" x="3481"/>
        <item m="1" x="3482"/>
        <item m="1" x="3483"/>
        <item m="1" x="3484"/>
        <item m="1" x="3485"/>
        <item m="1" x="348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2038"/>
        <item m="1" x="3500"/>
        <item m="1" x="3501"/>
        <item m="1" x="3270"/>
        <item m="1" x="3281"/>
        <item m="1" x="3502"/>
        <item m="1" x="3291"/>
        <item m="1" x="3307"/>
        <item m="1" x="2993"/>
        <item m="1" x="3504"/>
        <item m="1" x="3505"/>
        <item m="1" x="3506"/>
        <item m="1" x="3508"/>
        <item m="1" x="3003"/>
        <item m="1" x="3309"/>
        <item m="1" x="3509"/>
        <item m="1" x="3032"/>
        <item m="1" x="3034"/>
        <item m="1" x="3343"/>
        <item m="1" x="2580"/>
        <item m="1" x="3209"/>
        <item x="214"/>
        <item m="1" x="3118"/>
        <item m="1" x="3119"/>
        <item m="1" x="3125"/>
        <item m="1" x="3047"/>
        <item m="1" x="3211"/>
        <item m="1" x="3132"/>
        <item m="1" x="2818"/>
        <item m="1" x="3048"/>
        <item m="1" x="3212"/>
        <item m="1" x="3213"/>
        <item m="1" x="3214"/>
        <item m="1" x="3215"/>
        <item x="217"/>
        <item m="1" x="3136"/>
        <item m="1" x="2825"/>
        <item m="1" x="3054"/>
        <item m="1" x="3061"/>
        <item m="1" x="3062"/>
        <item m="1" x="2617"/>
        <item m="1" x="3222"/>
        <item m="1" x="2615"/>
        <item m="1" x="2616"/>
        <item m="1" x="2620"/>
        <item m="1" x="3224"/>
        <item m="1" x="3225"/>
        <item m="1" x="3226"/>
        <item m="1" x="3227"/>
        <item m="1" x="3228"/>
        <item m="1" x="2235"/>
        <item m="1" x="3144"/>
        <item m="1" x="3229"/>
        <item m="1" x="3230"/>
        <item m="1" x="3145"/>
        <item m="1" x="3231"/>
        <item m="1" x="3232"/>
        <item m="1" x="3233"/>
        <item m="1" x="3154"/>
        <item m="1" x="1044"/>
        <item m="1" x="3235"/>
        <item m="1" x="3236"/>
        <item m="1" x="3148"/>
        <item m="1" x="3149"/>
        <item m="1" x="2851"/>
        <item m="1" x="3069"/>
        <item m="1" x="3068"/>
        <item m="1" x="3240"/>
        <item m="1" x="3241"/>
        <item m="1" x="2642"/>
        <item m="1" x="2643"/>
        <item m="1" x="2383"/>
        <item m="1" x="2382"/>
        <item m="1" x="2646"/>
        <item x="303"/>
        <item m="1" x="2645"/>
        <item m="1" x="3157"/>
        <item m="1" x="2859"/>
        <item m="1" x="2870"/>
        <item m="1" x="2668"/>
        <item m="1" x="2669"/>
        <item m="1" x="2670"/>
        <item m="1" x="2242"/>
        <item m="1" x="3168"/>
        <item m="1" x="2675"/>
        <item m="1" x="3244"/>
        <item m="1" x="2875"/>
        <item m="1" x="3245"/>
        <item m="1" x="2874"/>
        <item m="1" x="3167"/>
        <item m="1" x="3246"/>
        <item m="1" x="3248"/>
        <item m="1" x="3171"/>
        <item m="1" x="3172"/>
        <item m="1" x="2881"/>
        <item m="1" x="2704"/>
        <item m="1" x="3084"/>
        <item m="1" x="2705"/>
        <item m="1" x="2715"/>
        <item m="1" x="2093"/>
        <item m="1" x="3250"/>
        <item m="1" x="2904"/>
        <item m="1" x="3252"/>
        <item m="1" x="3253"/>
        <item m="1" x="3254"/>
        <item m="1" x="1926"/>
        <item m="1" x="3258"/>
        <item m="1" x="3262"/>
        <item m="1" x="2754"/>
        <item m="1" x="3263"/>
        <item m="1" x="2920"/>
        <item m="1" x="3278"/>
        <item m="1" x="3283"/>
        <item m="1" x="3284"/>
        <item m="1" x="2989"/>
        <item m="1" x="3299"/>
        <item m="1" x="3303"/>
        <item m="1" x="3305"/>
        <item m="1" x="3306"/>
        <item m="1" x="3202"/>
        <item m="1" x="2973"/>
        <item m="1" x="3000"/>
        <item m="1" x="3001"/>
        <item m="1" x="1947"/>
        <item m="1" x="3037"/>
        <item m="1" x="3029"/>
        <item m="1" x="3315"/>
        <item m="1" x="1787"/>
        <item m="1" x="3325"/>
        <item m="1" x="3326"/>
        <item m="1" x="3330"/>
        <item m="1" x="3038"/>
        <item m="1" x="3039"/>
        <item x="218"/>
        <item m="1" x="2582"/>
        <item m="1" x="2197"/>
        <item m="1" x="3041"/>
        <item m="1" x="3042"/>
        <item x="238"/>
        <item x="259"/>
        <item m="1" x="3120"/>
        <item m="1" x="3121"/>
        <item m="1" x="3122"/>
        <item m="1" x="3123"/>
        <item m="1" x="3124"/>
        <item m="1" x="3126"/>
        <item m="1" x="2595"/>
        <item m="1" x="2977"/>
        <item m="1" x="2820"/>
        <item m="1" x="2819"/>
        <item m="1" x="3050"/>
        <item m="1" x="3134"/>
        <item m="1" x="3052"/>
        <item m="1" x="3055"/>
        <item m="1" x="3056"/>
        <item m="1" x="3057"/>
        <item m="1" x="3063"/>
        <item m="1" x="2829"/>
        <item m="1" x="2831"/>
        <item m="1" x="2832"/>
        <item m="1" x="2830"/>
        <item m="1" x="3143"/>
        <item m="1" x="2840"/>
        <item m="1" x="2841"/>
        <item x="172"/>
        <item m="1" x="3146"/>
        <item m="1" x="3150"/>
        <item x="111"/>
        <item m="1" x="3151"/>
        <item m="1" x="3152"/>
        <item m="1" x="2641"/>
        <item m="1" x="2384"/>
        <item m="1" x="3155"/>
        <item x="275"/>
        <item m="1" x="2855"/>
        <item m="1" x="3073"/>
        <item m="1" x="3156"/>
        <item m="1" x="2860"/>
        <item m="1" x="3158"/>
        <item m="1" x="2862"/>
        <item m="1" x="3159"/>
        <item m="1" x="2861"/>
        <item x="261"/>
        <item m="1" x="3075"/>
        <item m="1" x="3076"/>
        <item m="1" x="2868"/>
        <item m="1" x="3160"/>
        <item m="1" x="2674"/>
        <item m="1" x="2876"/>
        <item m="1" x="2877"/>
        <item m="1" x="2880"/>
        <item m="1" x="2688"/>
        <item m="1" x="2878"/>
        <item m="1" x="2879"/>
        <item m="1" x="3169"/>
        <item m="1" x="3170"/>
        <item m="1" x="3083"/>
        <item m="1" x="3173"/>
        <item m="1" x="3085"/>
        <item m="1" x="2887"/>
        <item m="1" x="2892"/>
        <item m="1" x="2712"/>
        <item m="1" x="3087"/>
        <item m="1" x="3176"/>
        <item m="1" x="3177"/>
        <item m="1" x="3178"/>
        <item m="1" x="2723"/>
        <item m="1" x="2726"/>
        <item m="1" x="1918"/>
        <item m="1" x="1407"/>
        <item m="1" x="3179"/>
        <item m="1" x="3094"/>
        <item m="1" x="2272"/>
        <item m="1" x="3180"/>
        <item m="1" x="3181"/>
        <item m="1" x="1777"/>
        <item m="1" x="3182"/>
        <item m="1" x="3183"/>
        <item m="1" x="3097"/>
        <item m="1" x="3184"/>
        <item m="1" x="3185"/>
        <item m="1" x="3186"/>
        <item m="1" x="3187"/>
        <item m="1" x="3188"/>
        <item m="1" x="547"/>
        <item m="1" x="1739"/>
        <item m="1" x="2296"/>
        <item m="1" x="3194"/>
        <item m="1" x="3195"/>
        <item m="1" x="1687"/>
        <item m="1" x="3197"/>
        <item m="1" x="3198"/>
        <item m="1" x="3203"/>
        <item m="1" x="3028"/>
        <item m="1" x="2499"/>
        <item m="1" x="3116"/>
        <item m="1" x="3206"/>
        <item m="1" x="3043"/>
        <item m="1" x="3044"/>
        <item m="1" x="3045"/>
        <item m="1" x="3046"/>
        <item m="1" x="2815"/>
        <item m="1" x="2821"/>
        <item m="1" x="3049"/>
        <item m="1" x="3051"/>
        <item m="1" x="1736"/>
        <item m="1" x="2603"/>
        <item m="1" x="2612"/>
        <item m="1" x="3053"/>
        <item m="1" x="3058"/>
        <item m="1" x="3059"/>
        <item m="1" x="3060"/>
        <item m="1" x="2627"/>
        <item m="1" x="2629"/>
        <item m="1" x="2512"/>
        <item m="1" x="2628"/>
        <item m="1" x="3064"/>
        <item m="1" x="2788"/>
        <item m="1" x="2787"/>
        <item m="1" x="2624"/>
        <item m="1" x="2625"/>
        <item m="1" x="2632"/>
        <item m="1" x="2365"/>
        <item m="1" x="3065"/>
        <item m="1" x="3066"/>
        <item m="1" x="3067"/>
        <item m="1" x="3070"/>
        <item m="1" x="3071"/>
        <item m="1" x="2852"/>
        <item m="1" x="2647"/>
        <item m="1" x="1031"/>
        <item m="1" x="1030"/>
        <item m="1" x="2648"/>
        <item m="1" x="2654"/>
        <item m="1" x="2655"/>
        <item m="1" x="2392"/>
        <item m="1" x="2394"/>
        <item m="1" x="3074"/>
        <item m="1" x="2864"/>
        <item m="1" x="2869"/>
        <item m="1" x="2867"/>
        <item m="1" x="2667"/>
        <item m="1" x="3077"/>
        <item m="1" x="3078"/>
        <item m="1" x="2673"/>
        <item m="1" x="2873"/>
        <item m="1" x="2882"/>
        <item m="1" x="3079"/>
        <item m="1" x="3080"/>
        <item m="1" x="3081"/>
        <item m="1" x="2883"/>
        <item m="1" x="2884"/>
        <item m="1" x="3082"/>
        <item m="1" x="2706"/>
        <item m="1" x="2714"/>
        <item m="1" x="2713"/>
        <item m="1" x="2902"/>
        <item m="1" x="2901"/>
        <item m="1" x="3088"/>
        <item m="1" x="2258"/>
        <item m="1" x="3090"/>
        <item m="1" x="3091"/>
        <item m="1" x="1917"/>
        <item m="1" x="3095"/>
        <item m="1" x="3096"/>
        <item m="1" x="3098"/>
        <item m="1" x="2280"/>
        <item m="1" x="1675"/>
        <item m="1" x="3099"/>
        <item m="1" x="3100"/>
        <item m="1" x="3101"/>
        <item m="1" x="3102"/>
        <item m="1" x="2970"/>
        <item m="1" x="1842"/>
        <item m="1" x="2578"/>
        <item m="1" x="3104"/>
        <item m="1" x="2910"/>
        <item m="1" x="1740"/>
        <item m="1" x="3105"/>
        <item m="1" x="2752"/>
        <item m="1" x="3106"/>
        <item m="1" x="3107"/>
        <item m="1" x="3109"/>
        <item m="1" x="3110"/>
        <item m="1" x="2988"/>
        <item m="1" x="3111"/>
        <item m="1" x="2308"/>
        <item m="1" x="2994"/>
        <item m="1" x="3002"/>
        <item m="1" x="1866"/>
        <item m="1" x="3113"/>
        <item m="1" x="3114"/>
        <item m="1" x="3025"/>
        <item m="1" x="3030"/>
        <item m="1" x="3033"/>
        <item x="270"/>
        <item m="1" x="2808"/>
        <item m="1" x="3117"/>
        <item m="1" x="2581"/>
        <item m="1" x="1120"/>
        <item m="1" x="1347"/>
        <item x="239"/>
        <item m="1" x="2812"/>
        <item m="1" x="2586"/>
        <item m="1" x="2587"/>
        <item m="1" x="2588"/>
        <item m="1" x="2589"/>
        <item m="1" x="2585"/>
        <item m="1" x="2591"/>
        <item m="1" x="1925"/>
        <item m="1" x="2212"/>
        <item m="1" x="2339"/>
        <item m="1" x="2592"/>
        <item m="1" x="2213"/>
        <item m="1" x="2214"/>
        <item m="1" x="2215"/>
        <item m="1" x="2211"/>
        <item m="1" x="2593"/>
        <item m="1" x="2814"/>
        <item m="1" x="2816"/>
        <item m="1" x="2822"/>
        <item m="1" x="2324"/>
        <item m="1" x="2824"/>
        <item m="1" x="2698"/>
        <item m="1" x="2608"/>
        <item m="1" x="2609"/>
        <item m="1" x="2610"/>
        <item m="1" x="2828"/>
        <item m="1" x="2613"/>
        <item m="1" x="2614"/>
        <item m="1" x="2833"/>
        <item m="1" x="2834"/>
        <item m="1" x="2835"/>
        <item m="1" x="2630"/>
        <item m="1" x="2623"/>
        <item m="1" x="2846"/>
        <item m="1" x="2847"/>
        <item m="1" x="2848"/>
        <item m="1" x="2849"/>
        <item m="1" x="2622"/>
        <item m="1" x="2633"/>
        <item m="1" x="2636"/>
        <item m="1" x="2638"/>
        <item x="276"/>
        <item x="277"/>
        <item x="278"/>
        <item x="279"/>
        <item x="280"/>
        <item x="281"/>
        <item x="282"/>
        <item m="1" x="2409"/>
        <item m="1" x="2853"/>
        <item m="1" x="2854"/>
        <item m="1" x="2856"/>
        <item m="1" x="2857"/>
        <item m="1" x="2393"/>
        <item m="1" x="2858"/>
        <item m="1" x="1971"/>
        <item m="1" x="2659"/>
        <item m="1" x="2660"/>
        <item m="1" x="2863"/>
        <item m="1" x="2666"/>
        <item m="1" x="2871"/>
        <item m="1" x="2872"/>
        <item m="1" x="2686"/>
        <item m="1" x="2245"/>
        <item m="1" x="2246"/>
        <item m="1" x="2885"/>
        <item m="1" x="2690"/>
        <item m="1" x="2523"/>
        <item m="1" x="2699"/>
        <item m="1" x="2695"/>
        <item x="398"/>
        <item m="1" x="2697"/>
        <item m="1" x="2696"/>
        <item m="1" x="2886"/>
        <item m="1" x="2888"/>
        <item m="1" x="2889"/>
        <item m="1" x="2890"/>
        <item m="1" x="2891"/>
        <item m="1" x="2893"/>
        <item m="1" x="2894"/>
        <item m="1" x="2895"/>
        <item m="1" x="2896"/>
        <item m="1" x="2897"/>
        <item m="1" x="2898"/>
        <item m="1" x="2899"/>
        <item m="1" x="2257"/>
        <item m="1" x="2264"/>
        <item m="1" x="2905"/>
        <item m="1" x="2724"/>
        <item m="1" x="2906"/>
        <item m="1" x="2907"/>
        <item m="1" x="2908"/>
        <item m="1" x="2536"/>
        <item m="1" x="2909"/>
        <item m="1" x="2466"/>
        <item m="1" x="2544"/>
        <item m="1" x="2733"/>
        <item m="1" x="1677"/>
        <item m="1" x="2547"/>
        <item m="1" x="1872"/>
        <item m="1" x="2734"/>
        <item m="1" x="2273"/>
        <item m="1" x="2911"/>
        <item m="1" x="2912"/>
        <item m="1" x="2913"/>
        <item m="1" x="2914"/>
        <item m="1" x="2915"/>
        <item m="1" x="2916"/>
        <item m="1" x="2918"/>
        <item m="1" x="2919"/>
        <item m="1" x="2921"/>
        <item m="1" x="2922"/>
        <item m="1" x="2923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3"/>
        <item m="1" x="2945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758"/>
        <item m="1" x="2965"/>
        <item m="1" x="2966"/>
        <item m="1" x="2967"/>
        <item m="1" x="2759"/>
        <item m="1" x="2760"/>
        <item m="1" x="2761"/>
        <item m="1" x="2968"/>
        <item m="1" x="2969"/>
        <item m="1" x="2971"/>
        <item m="1" x="2972"/>
        <item m="1" x="2974"/>
        <item m="1" x="2976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092"/>
        <item m="1" x="1893"/>
        <item m="1" x="2990"/>
        <item m="1" x="2992"/>
        <item m="1" x="2995"/>
        <item m="1" x="2996"/>
        <item m="1" x="2997"/>
        <item m="1" x="2998"/>
        <item m="1" x="2999"/>
        <item m="1" x="1676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6"/>
        <item m="1" x="3027"/>
        <item m="1" x="1698"/>
        <item m="1" x="1785"/>
        <item m="1" x="3035"/>
        <item m="1" x="1786"/>
        <item m="1" x="3040"/>
        <item m="1" x="1651"/>
        <item m="1" x="2583"/>
        <item m="1" x="1674"/>
        <item m="1" x="2095"/>
        <item m="1" x="2584"/>
        <item m="1" x="2502"/>
        <item m="1" x="2590"/>
        <item m="1" x="2594"/>
        <item m="1" x="2596"/>
        <item m="1" x="2597"/>
        <item m="1" x="2598"/>
        <item m="1" x="2599"/>
        <item m="1" x="2600"/>
        <item m="1" x="2601"/>
        <item m="1" x="2236"/>
        <item m="1" x="2602"/>
        <item m="1" x="2604"/>
        <item m="1" x="2605"/>
        <item m="1" x="2606"/>
        <item m="1" x="2607"/>
        <item m="1" x="2611"/>
        <item m="1" x="1278"/>
        <item m="1" x="2618"/>
        <item m="1" x="2508"/>
        <item m="1" x="2619"/>
        <item m="1" x="2621"/>
        <item m="1" x="2232"/>
        <item m="1" x="2626"/>
        <item m="1" x="1734"/>
        <item m="1" x="2635"/>
        <item m="1" x="2637"/>
        <item m="1" x="2373"/>
        <item m="1" x="2639"/>
        <item m="1" x="2640"/>
        <item m="1" x="2644"/>
        <item m="1" x="2388"/>
        <item m="1" x="2387"/>
        <item m="1" x="2649"/>
        <item m="1" x="2650"/>
        <item m="1" x="2651"/>
        <item m="1" x="2652"/>
        <item m="1" x="2653"/>
        <item m="1" x="2517"/>
        <item m="1" x="1111"/>
        <item m="1" x="2656"/>
        <item m="1" x="2657"/>
        <item m="1" x="2658"/>
        <item m="1" x="2661"/>
        <item m="1" x="2662"/>
        <item m="1" x="2663"/>
        <item m="1" x="2664"/>
        <item m="1" x="2665"/>
        <item m="1" x="2671"/>
        <item m="1" x="2672"/>
        <item m="1" x="1316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7"/>
        <item m="1" x="2098"/>
        <item m="1" x="2689"/>
        <item m="1" x="2691"/>
        <item m="1" x="2692"/>
        <item m="1" x="2693"/>
        <item m="1" x="2694"/>
        <item m="1" x="2700"/>
        <item m="1" x="2701"/>
        <item m="1" x="2522"/>
        <item m="1" x="2702"/>
        <item m="1" x="2703"/>
        <item m="1" x="1975"/>
        <item m="1" x="2716"/>
        <item m="1" x="2524"/>
        <item m="1" x="1712"/>
        <item m="1" x="1708"/>
        <item m="1" x="2718"/>
        <item m="1" x="2719"/>
        <item m="1" x="2720"/>
        <item m="1" x="2721"/>
        <item m="1" x="2722"/>
        <item m="1" x="2438"/>
        <item m="1" x="2436"/>
        <item m="1" x="2437"/>
        <item m="1" x="1919"/>
        <item m="1" x="2727"/>
        <item m="1" x="2728"/>
        <item m="1" x="2729"/>
        <item m="1" x="2732"/>
        <item m="1" x="1939"/>
        <item m="1" x="1713"/>
        <item m="1" x="2735"/>
        <item m="1" x="2736"/>
        <item m="1" x="2469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278"/>
        <item m="1" x="2279"/>
        <item m="1" x="2748"/>
        <item m="1" x="2749"/>
        <item m="1" x="2552"/>
        <item m="1" x="2553"/>
        <item m="1" x="2017"/>
        <item m="1" x="2750"/>
        <item m="1" x="2751"/>
        <item m="1" x="2753"/>
        <item m="1" x="1854"/>
        <item m="1" x="2755"/>
        <item m="1" x="2756"/>
        <item m="1" x="2458"/>
        <item m="1" x="2757"/>
        <item m="1" x="2114"/>
        <item m="1" x="2107"/>
        <item m="1" x="1953"/>
        <item m="1" x="2770"/>
        <item m="1" x="2082"/>
        <item m="1" x="2776"/>
        <item m="1" x="2777"/>
        <item m="1" x="2778"/>
        <item m="1" x="2779"/>
        <item m="1" x="2780"/>
        <item m="1" x="2781"/>
        <item m="1" x="2782"/>
        <item m="1" x="2081"/>
        <item m="1" x="2789"/>
        <item m="1" x="1721"/>
        <item m="1" x="2791"/>
        <item m="1" x="2793"/>
        <item m="1" x="1722"/>
        <item m="1" x="2798"/>
        <item m="1" x="2799"/>
        <item m="1" x="2804"/>
        <item m="1" x="2329"/>
        <item m="1" x="2333"/>
        <item m="1" x="2338"/>
        <item m="1" x="2503"/>
        <item m="1" x="2504"/>
        <item m="1" x="2340"/>
        <item m="1" x="1459"/>
        <item m="1" x="2505"/>
        <item m="1" x="2506"/>
        <item m="1" x="2507"/>
        <item m="1" x="1636"/>
        <item m="1" x="2343"/>
        <item m="1" x="2344"/>
        <item m="1" x="2345"/>
        <item m="1" x="2349"/>
        <item m="1" x="2350"/>
        <item m="1" x="2352"/>
        <item m="1" x="2353"/>
        <item m="1" x="2354"/>
        <item m="1" x="2355"/>
        <item m="1" x="2509"/>
        <item m="1" x="2510"/>
        <item m="1" x="2358"/>
        <item m="1" x="2357"/>
        <item m="1" x="2511"/>
        <item m="1" x="2360"/>
        <item m="1" x="1639"/>
        <item m="1" x="2361"/>
        <item m="1" x="2362"/>
        <item m="1" x="1737"/>
        <item m="1" x="2513"/>
        <item m="1" x="2514"/>
        <item m="1" x="2515"/>
        <item m="1" x="2516"/>
        <item m="1" x="2370"/>
        <item m="1" x="2371"/>
        <item m="1" x="2372"/>
        <item x="283"/>
        <item m="1" x="1653"/>
        <item x="284"/>
        <item x="285"/>
        <item m="1" x="2380"/>
        <item m="1" x="2381"/>
        <item m="1" x="2378"/>
        <item m="1" x="2379"/>
        <item m="1" x="2367"/>
        <item m="1" x="2385"/>
        <item m="1" x="2386"/>
        <item m="1" x="2389"/>
        <item m="1" x="2397"/>
        <item m="1" x="2402"/>
        <item m="1" x="2403"/>
        <item m="1" x="2518"/>
        <item m="1" x="2519"/>
        <item m="1" x="2412"/>
        <item m="1" x="2520"/>
        <item m="1" x="2097"/>
        <item m="1" x="2099"/>
        <item m="1" x="2100"/>
        <item m="1" x="1363"/>
        <item m="1" x="1362"/>
        <item m="1" x="2521"/>
        <item m="1" x="2419"/>
        <item m="1" x="2416"/>
        <item m="1" x="2421"/>
        <item m="1" x="2422"/>
        <item m="1" x="2423"/>
        <item m="1" x="2424"/>
        <item m="1" x="2428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1730"/>
        <item m="1" x="1941"/>
        <item m="1" x="2537"/>
        <item m="1" x="2538"/>
        <item m="1" x="2539"/>
        <item m="1" x="2540"/>
        <item m="1" x="2541"/>
        <item m="1" x="1733"/>
        <item m="1" x="2543"/>
        <item m="1" x="2016"/>
        <item m="1" x="2545"/>
        <item m="1" x="2546"/>
        <item m="1" x="1776"/>
        <item m="1" x="2548"/>
        <item m="1" x="2549"/>
        <item m="1" x="2550"/>
        <item m="1" x="2551"/>
        <item m="1" x="2554"/>
        <item m="1" x="2555"/>
        <item m="1" x="2556"/>
        <item m="1" x="2557"/>
        <item m="1" x="2558"/>
        <item m="1" x="2009"/>
        <item m="1" x="2559"/>
        <item m="1" x="2560"/>
        <item m="1" x="2561"/>
        <item m="1" x="2124"/>
        <item m="1" x="2056"/>
        <item m="1" x="2047"/>
        <item m="1" x="1816"/>
        <item m="1" x="1817"/>
        <item m="1" x="1818"/>
        <item m="1" x="2562"/>
        <item m="1" x="2563"/>
        <item m="1" x="1829"/>
        <item m="1" x="2566"/>
        <item m="1" x="1901"/>
        <item m="1" x="2486"/>
        <item m="1" x="1729"/>
        <item m="1" x="2568"/>
        <item m="1" x="2569"/>
        <item m="1" x="2570"/>
        <item m="1" x="2571"/>
        <item m="1" x="2572"/>
        <item m="1" x="2573"/>
        <item m="1" x="1887"/>
        <item m="1" x="2575"/>
        <item m="1" x="1942"/>
        <item m="1" x="2576"/>
        <item m="1" x="2577"/>
        <item m="1" x="2579"/>
        <item m="1" x="2330"/>
        <item m="1" x="2331"/>
        <item m="1" x="2332"/>
        <item m="1" x="2334"/>
        <item m="1" x="2335"/>
        <item m="1" x="2336"/>
        <item m="1" x="2243"/>
        <item m="1" x="2337"/>
        <item m="1" x="1646"/>
        <item m="1" x="2341"/>
        <item m="1" x="2342"/>
        <item m="1" x="1596"/>
        <item m="1" x="2221"/>
        <item m="1" x="2347"/>
        <item m="1" x="2348"/>
        <item m="1" x="2225"/>
        <item m="1" x="2351"/>
        <item x="129"/>
        <item m="1" x="1277"/>
        <item m="1" x="2013"/>
        <item m="1" x="2230"/>
        <item m="1" x="2231"/>
        <item m="1" x="2237"/>
        <item m="1" x="2359"/>
        <item m="1" x="1993"/>
        <item m="1" x="1314"/>
        <item m="1" x="2363"/>
        <item m="1" x="2364"/>
        <item m="1" x="2366"/>
        <item m="1" x="2368"/>
        <item m="1" x="2369"/>
        <item m="1" x="2374"/>
        <item x="286"/>
        <item m="1" x="2376"/>
        <item m="1" x="2377"/>
        <item m="1" x="1320"/>
        <item m="1" x="2193"/>
        <item m="1" x="1663"/>
        <item m="1" x="2036"/>
        <item m="1" x="2390"/>
        <item m="1" x="2391"/>
        <item m="1" x="2395"/>
        <item m="1" x="2396"/>
        <item m="1" x="2398"/>
        <item m="1" x="2399"/>
        <item m="1" x="2400"/>
        <item m="1" x="2401"/>
        <item m="1" x="2404"/>
        <item m="1" x="2405"/>
        <item m="1" x="2406"/>
        <item m="1" x="2407"/>
        <item m="1" x="2240"/>
        <item m="1" x="2408"/>
        <item m="1" x="2410"/>
        <item m="1" x="2411"/>
        <item m="1" x="2206"/>
        <item m="1" x="2207"/>
        <item m="1" x="2101"/>
        <item m="1" x="2244"/>
        <item m="1" x="2413"/>
        <item m="1" x="2414"/>
        <item m="1" x="2415"/>
        <item m="1" x="2417"/>
        <item m="1" x="2418"/>
        <item m="1" x="2420"/>
        <item m="1" x="2425"/>
        <item m="1" x="2426"/>
        <item m="1" x="2427"/>
        <item m="1" x="2061"/>
        <item m="1" x="2429"/>
        <item m="1" x="2430"/>
        <item m="1" x="2431"/>
        <item m="1" x="2432"/>
        <item m="1" x="2433"/>
        <item m="1" x="2434"/>
        <item m="1" x="2435"/>
        <item m="1" x="1723"/>
        <item m="1" x="1724"/>
        <item m="1" x="2439"/>
        <item m="1" x="2440"/>
        <item m="1" x="2441"/>
        <item m="1" x="2442"/>
        <item m="1" x="1373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1852"/>
        <item m="1" x="1853"/>
        <item m="1" x="2459"/>
        <item x="311"/>
        <item m="1" x="1999"/>
        <item m="1" x="2001"/>
        <item m="1" x="2002"/>
        <item m="1" x="2461"/>
        <item m="1" x="2462"/>
        <item m="1" x="2463"/>
        <item m="1" x="2195"/>
        <item m="1" x="2196"/>
        <item m="1" x="2464"/>
        <item m="1" x="1695"/>
        <item m="1" x="2467"/>
        <item m="1" x="2468"/>
        <item m="1" x="2470"/>
        <item m="1" x="2471"/>
        <item m="1" x="2472"/>
        <item m="1" x="2473"/>
        <item m="1" x="2474"/>
        <item m="1" x="2475"/>
        <item m="1" x="2476"/>
        <item m="1" x="2477"/>
        <item m="1" x="1882"/>
        <item m="1" x="2478"/>
        <item m="1" x="2479"/>
        <item m="1" x="2480"/>
        <item m="1" x="2481"/>
        <item m="1" x="2482"/>
        <item m="1" x="2483"/>
        <item m="1" x="2484"/>
        <item m="1" x="2485"/>
        <item m="1" x="2297"/>
        <item m="1" x="1862"/>
        <item m="1" x="2487"/>
        <item m="1" x="2488"/>
        <item m="1" x="2489"/>
        <item m="1" x="2490"/>
        <item m="1" x="2491"/>
        <item m="1" x="2492"/>
        <item m="1" x="2493"/>
        <item m="1" x="2319"/>
        <item m="1" x="2494"/>
        <item m="1" x="2495"/>
        <item m="1" x="1673"/>
        <item m="1" x="1706"/>
        <item m="1" x="1705"/>
        <item m="1" x="2496"/>
        <item m="1" x="2181"/>
        <item m="1" x="1470"/>
        <item m="1" x="2185"/>
        <item m="1" x="1900"/>
        <item m="1" x="1899"/>
        <item m="1" x="2216"/>
        <item m="1" x="2217"/>
        <item m="1" x="1672"/>
        <item m="1" x="2218"/>
        <item m="1" x="2219"/>
        <item m="1" x="2220"/>
        <item m="1" x="2222"/>
        <item m="1" x="2223"/>
        <item m="1" x="2224"/>
        <item x="145"/>
        <item x="146"/>
        <item m="1" x="1714"/>
        <item m="1" x="1635"/>
        <item m="1" x="2227"/>
        <item m="1" x="2228"/>
        <item m="1" x="1804"/>
        <item m="1" x="2166"/>
        <item m="1" x="1802"/>
        <item m="1" x="1803"/>
        <item m="1" x="2229"/>
        <item m="1" x="2233"/>
        <item m="1" x="2234"/>
        <item m="1" x="1028"/>
        <item x="265"/>
        <item m="1" x="1027"/>
        <item m="1" x="1966"/>
        <item x="110"/>
        <item x="309"/>
        <item m="1" x="1335"/>
        <item m="1" x="1337"/>
        <item m="1" x="2054"/>
        <item m="1" x="2055"/>
        <item m="1" x="2241"/>
        <item m="1" x="2075"/>
        <item m="1" x="2247"/>
        <item m="1" x="931"/>
        <item m="1" x="930"/>
        <item m="1" x="1029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113"/>
        <item m="1" x="2062"/>
        <item m="1" x="2063"/>
        <item m="1" x="2064"/>
        <item m="1" x="1190"/>
        <item m="1" x="2259"/>
        <item m="1" x="2260"/>
        <item m="1" x="2261"/>
        <item m="1" x="2262"/>
        <item m="1" x="2263"/>
        <item m="1" x="2265"/>
        <item m="1" x="2266"/>
        <item m="1" x="2267"/>
        <item m="1" x="1877"/>
        <item m="1" x="2268"/>
        <item m="1" x="2269"/>
        <item m="1" x="2271"/>
        <item m="1" x="1697"/>
        <item m="1" x="1094"/>
        <item m="1" x="2274"/>
        <item m="1" x="2275"/>
        <item m="1" x="2276"/>
        <item m="1" x="2277"/>
        <item m="1" x="2281"/>
        <item m="1" x="2282"/>
        <item m="1" x="2283"/>
        <item m="1" x="2285"/>
        <item m="1" x="2286"/>
        <item m="1" x="2287"/>
        <item m="1" x="2288"/>
        <item m="1" x="2289"/>
        <item m="1" x="1998"/>
        <item m="1" x="2290"/>
        <item m="1" x="2291"/>
        <item m="1" x="2292"/>
        <item m="1" x="1855"/>
        <item m="1" x="2298"/>
        <item m="1" x="1207"/>
        <item m="1" x="2301"/>
        <item m="1" x="2302"/>
        <item m="1" x="1892"/>
        <item m="1" x="2304"/>
        <item m="1" x="2305"/>
        <item m="1" x="2306"/>
        <item m="1" x="2307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20"/>
        <item m="1" x="2321"/>
        <item m="1" x="2326"/>
        <item m="1" x="2327"/>
        <item m="1" x="1466"/>
        <item m="1" x="2115"/>
        <item m="1" x="1670"/>
        <item m="1" x="2117"/>
        <item m="1" x="1693"/>
        <item m="1" x="1691"/>
        <item m="1" x="1692"/>
        <item m="1" x="1688"/>
        <item m="1" x="1689"/>
        <item m="1" x="1690"/>
        <item m="1" x="1671"/>
        <item m="1" x="2118"/>
        <item m="1" x="2119"/>
        <item m="1" x="1597"/>
        <item m="1" x="2120"/>
        <item m="1" x="2121"/>
        <item m="1" x="2122"/>
        <item m="1" x="1719"/>
        <item m="1" x="1731"/>
        <item m="1" x="2123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1774"/>
        <item m="1" x="2158"/>
        <item m="1" x="2159"/>
        <item m="1" x="2160"/>
        <item m="1" x="1633"/>
        <item m="1" x="2161"/>
        <item m="1" x="1631"/>
        <item m="1" x="2162"/>
        <item m="1" x="1629"/>
        <item m="1" x="1789"/>
        <item m="1" x="1025"/>
        <item m="1" x="1795"/>
        <item m="1" x="1773"/>
        <item m="1" x="1796"/>
        <item m="1" x="2165"/>
        <item m="1" x="2167"/>
        <item m="1" x="2168"/>
        <item m="1" x="1801"/>
        <item m="1" x="1809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1841"/>
        <item m="1" x="1840"/>
        <item m="1" x="2178"/>
        <item m="1" x="1283"/>
        <item m="1" x="1284"/>
        <item m="1" x="1285"/>
        <item m="1" x="2179"/>
        <item m="1" x="1875"/>
        <item m="1" x="1880"/>
        <item m="1" x="1883"/>
        <item m="1" x="1891"/>
        <item m="1" x="2182"/>
        <item m="1" x="2183"/>
        <item m="1" x="2184"/>
        <item m="1" x="1140"/>
        <item m="1" x="1294"/>
        <item m="1" x="1530"/>
        <item m="1" x="1150"/>
        <item m="1" x="2187"/>
        <item m="1" x="2188"/>
        <item m="1" x="1964"/>
        <item x="360"/>
        <item m="1" x="1965"/>
        <item m="1" x="1972"/>
        <item m="1" x="1969"/>
        <item m="1" x="2191"/>
        <item m="1" x="2192"/>
        <item x="310"/>
        <item m="1" x="1026"/>
        <item m="1" x="2194"/>
        <item m="1" x="1986"/>
        <item m="1" x="1024"/>
        <item m="1" x="2015"/>
        <item m="1" x="2020"/>
        <item m="1" x="2021"/>
        <item m="1" x="1994"/>
        <item m="1" x="2000"/>
        <item m="1" x="2012"/>
        <item m="1" x="1562"/>
        <item m="1" x="2198"/>
        <item m="1" x="2043"/>
        <item m="1" x="2199"/>
        <item m="1" x="2200"/>
        <item m="1" x="2201"/>
        <item m="1" x="2060"/>
        <item m="1" x="2059"/>
        <item m="1" x="2057"/>
        <item m="1" x="2058"/>
        <item m="1" x="2202"/>
        <item x="403"/>
        <item m="1" x="2203"/>
        <item m="1" x="2074"/>
        <item m="1" x="2068"/>
        <item m="1" x="2080"/>
        <item x="407"/>
        <item m="1" x="2204"/>
        <item m="1" x="2076"/>
        <item m="1" x="2205"/>
        <item m="1" x="2096"/>
        <item m="1" x="2103"/>
        <item m="1" x="2104"/>
        <item m="1" x="2105"/>
        <item m="1" x="929"/>
        <item m="1" x="2208"/>
        <item m="1" x="2111"/>
        <item m="1" x="2209"/>
        <item m="1" x="1458"/>
        <item m="1" x="2112"/>
        <item m="1" x="1461"/>
        <item m="1" x="1460"/>
        <item m="1" x="1213"/>
        <item m="1" x="1694"/>
        <item m="1" x="1696"/>
        <item m="1" x="1717"/>
        <item m="1" x="1056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034"/>
        <item m="1" x="1768"/>
        <item m="1" x="1769"/>
        <item m="1" x="1770"/>
        <item m="1" x="1771"/>
        <item m="1" x="1772"/>
        <item x="367"/>
        <item m="1" x="1115"/>
        <item m="1" x="1782"/>
        <item m="1" x="1090"/>
        <item m="1" x="1274"/>
        <item m="1" x="1638"/>
        <item m="1" x="1023"/>
        <item m="1" x="1542"/>
        <item m="1" x="1797"/>
        <item m="1" x="1661"/>
        <item m="1" x="1800"/>
        <item m="1" x="1805"/>
        <item m="1" x="1806"/>
        <item m="1" x="1820"/>
        <item m="1" x="1821"/>
        <item m="1" x="1457"/>
        <item x="149"/>
        <item m="1" x="1844"/>
        <item m="1" x="1845"/>
        <item m="1" x="1846"/>
        <item m="1" x="1847"/>
        <item m="1" x="1856"/>
        <item m="1" x="1857"/>
        <item m="1" x="1873"/>
        <item m="1" x="1874"/>
        <item m="1" x="1879"/>
        <item m="1" x="1881"/>
        <item m="1" x="1885"/>
        <item m="1" x="1896"/>
        <item m="1" x="1902"/>
        <item m="1" x="1903"/>
        <item m="1" x="1904"/>
        <item m="1" x="1905"/>
        <item m="1" x="1906"/>
        <item m="1" x="1934"/>
        <item m="1" x="1144"/>
        <item m="1" x="1145"/>
        <item m="1" x="1945"/>
        <item m="1" x="1956"/>
        <item m="1" x="1302"/>
        <item m="1" x="1303"/>
        <item m="1" x="1304"/>
        <item m="1" x="1963"/>
        <item m="1" x="1535"/>
        <item m="1" x="1967"/>
        <item m="1" x="1968"/>
        <item m="1" x="1970"/>
        <item m="1" x="1973"/>
        <item x="269"/>
        <item x="271"/>
        <item x="272"/>
        <item x="273"/>
        <item x="266"/>
        <item x="267"/>
        <item x="268"/>
        <item m="1" x="1985"/>
        <item m="1" x="1547"/>
        <item m="1" x="1987"/>
        <item m="1" x="1988"/>
        <item m="1" x="1989"/>
        <item m="1" x="1654"/>
        <item m="1" x="1990"/>
        <item m="1" x="1991"/>
        <item m="1" x="2004"/>
        <item m="1" x="2008"/>
        <item m="1" x="2011"/>
        <item m="1" x="2014"/>
        <item m="1" x="2018"/>
        <item m="1" x="2019"/>
        <item m="1" x="2023"/>
        <item m="1" x="1456"/>
        <item m="1" x="1035"/>
        <item m="1" x="2037"/>
        <item m="1" x="2039"/>
        <item m="1" x="2041"/>
        <item m="1" x="2045"/>
        <item m="1" x="2065"/>
        <item m="1" x="2066"/>
        <item m="1" x="2069"/>
        <item m="1" x="2070"/>
        <item m="1" x="2071"/>
        <item m="1" x="2072"/>
        <item m="1" x="2073"/>
        <item m="1" x="1198"/>
        <item m="1" x="2077"/>
        <item m="1" x="2078"/>
        <item m="1" x="2079"/>
        <item m="1" x="2087"/>
        <item m="1" x="2106"/>
        <item m="1" x="2108"/>
        <item m="1" x="2109"/>
        <item m="1" x="2110"/>
        <item m="1" x="1590"/>
        <item m="1" x="1591"/>
        <item m="1" x="1592"/>
        <item m="1" x="1593"/>
        <item m="1" x="1594"/>
        <item m="1" x="1022"/>
        <item m="1" x="1595"/>
        <item m="1" x="1467"/>
        <item m="1" x="742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494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30"/>
        <item m="1" x="1632"/>
        <item m="1" x="974"/>
        <item m="1" x="1637"/>
        <item m="1" x="771"/>
        <item m="1" x="1640"/>
        <item m="1" x="1641"/>
        <item m="1" x="1642"/>
        <item m="1" x="1643"/>
        <item m="1" x="1644"/>
        <item m="1" x="1512"/>
        <item m="1" x="1516"/>
        <item m="1" x="1522"/>
        <item x="402"/>
        <item m="1" x="1519"/>
        <item m="1" x="1520"/>
        <item m="1" x="1518"/>
        <item m="1" x="1645"/>
        <item m="1" x="1647"/>
        <item m="1" x="1648"/>
        <item m="1" x="1649"/>
        <item m="1" x="1528"/>
        <item m="1" x="1529"/>
        <item m="1" x="1527"/>
        <item m="1" x="1526"/>
        <item m="1" x="1143"/>
        <item m="1" x="1532"/>
        <item m="1" x="1298"/>
        <item m="1" x="1305"/>
        <item m="1" x="1306"/>
        <item m="1" x="1536"/>
        <item m="1" x="1537"/>
        <item m="1" x="1538"/>
        <item x="255"/>
        <item x="256"/>
        <item x="257"/>
        <item m="1" x="1544"/>
        <item m="1" x="1543"/>
        <item m="1" x="1545"/>
        <item m="1" x="1655"/>
        <item m="1" x="1656"/>
        <item m="1" x="1657"/>
        <item m="1" x="1658"/>
        <item m="1" x="1659"/>
        <item m="1" x="1660"/>
        <item m="1" x="1662"/>
        <item m="1" x="1557"/>
        <item m="1" x="1556"/>
        <item m="1" x="1664"/>
        <item m="1" x="1558"/>
        <item m="1" x="1665"/>
        <item m="1" x="1666"/>
        <item x="373"/>
        <item x="374"/>
        <item m="1" x="1563"/>
        <item m="1" x="1564"/>
        <item m="1" x="1339"/>
        <item m="1" x="1338"/>
        <item m="1" x="1566"/>
        <item m="1" x="1569"/>
        <item m="1" x="1346"/>
        <item m="1" x="1573"/>
        <item m="1" x="1572"/>
        <item m="1" x="1575"/>
        <item m="1" x="1579"/>
        <item m="1" x="1455"/>
        <item m="1" x="1668"/>
        <item m="1" x="928"/>
        <item x="420"/>
        <item m="1" x="1021"/>
        <item m="1" x="1020"/>
        <item m="1" x="1669"/>
        <item m="1" x="1584"/>
        <item m="1" x="1454"/>
        <item m="1" x="1453"/>
        <item m="1" x="1462"/>
        <item m="1" x="1463"/>
        <item m="1" x="1464"/>
        <item m="1" x="1043"/>
        <item m="1" x="1049"/>
        <item m="1" x="1465"/>
        <item m="1" x="1468"/>
        <item x="109"/>
        <item m="1" x="1469"/>
        <item m="1" x="1471"/>
        <item m="1" x="1472"/>
        <item m="1" x="1473"/>
        <item m="1" x="1474"/>
        <item m="1" x="1475"/>
        <item m="1" x="1447"/>
        <item m="1" x="1476"/>
        <item m="1" x="1446"/>
        <item m="1" x="1477"/>
        <item m="1" x="1478"/>
        <item m="1" x="1479"/>
        <item m="1" x="1480"/>
        <item m="1" x="1481"/>
        <item m="1" x="1482"/>
        <item m="1" x="1415"/>
        <item m="1" x="1483"/>
        <item m="1" x="1484"/>
        <item m="1" x="1452"/>
        <item x="38"/>
        <item m="1" x="1485"/>
        <item m="1" x="1486"/>
        <item m="1" x="1487"/>
        <item m="1" x="1488"/>
        <item m="1" x="1445"/>
        <item m="1" x="1489"/>
        <item m="1" x="1490"/>
        <item m="1" x="1491"/>
        <item m="1" x="1492"/>
        <item m="1" x="1493"/>
        <item x="264"/>
        <item m="1" x="1495"/>
        <item m="1" x="1496"/>
        <item m="1" x="1497"/>
        <item m="1" x="1498"/>
        <item m="1" x="1066"/>
        <item m="1" x="1499"/>
        <item m="1" x="1500"/>
        <item m="1" x="1501"/>
        <item m="1" x="1502"/>
        <item m="1" x="1503"/>
        <item m="1" x="1449"/>
        <item m="1" x="1448"/>
        <item m="1" x="1504"/>
        <item m="1" x="1505"/>
        <item m="1" x="1506"/>
        <item m="1" x="1507"/>
        <item m="1" x="1508"/>
        <item m="1" x="1509"/>
        <item m="1" x="1273"/>
        <item m="1" x="1510"/>
        <item m="1" x="1411"/>
        <item m="1" x="1511"/>
        <item m="1" x="1451"/>
        <item m="1" x="1450"/>
        <item x="136"/>
        <item m="1" x="1281"/>
        <item m="1" x="1513"/>
        <item m="1" x="1514"/>
        <item m="1" x="1515"/>
        <item m="1" x="1517"/>
        <item m="1" x="1521"/>
        <item m="1" x="1523"/>
        <item m="1" x="1117"/>
        <item m="1" x="1525"/>
        <item m="1" x="1295"/>
        <item m="1" x="1296"/>
        <item m="1" x="1531"/>
        <item x="419"/>
        <item m="1" x="1148"/>
        <item m="1" x="1533"/>
        <item m="1" x="1307"/>
        <item m="1" x="1152"/>
        <item m="1" x="1534"/>
        <item m="1" x="1539"/>
        <item m="1" x="1540"/>
        <item x="254"/>
        <item m="1" x="1158"/>
        <item m="1" x="1546"/>
        <item m="1" x="1015"/>
        <item m="1" x="1548"/>
        <item m="1" x="1549"/>
        <item m="1" x="1550"/>
        <item m="1" x="1551"/>
        <item m="1" x="1552"/>
        <item m="1" x="1553"/>
        <item m="1" x="1554"/>
        <item m="1" x="1164"/>
        <item m="1" x="1559"/>
        <item m="1" x="1560"/>
        <item m="1" x="1561"/>
        <item m="1" x="1185"/>
        <item m="1" x="1186"/>
        <item m="1" x="1187"/>
        <item m="1" x="1336"/>
        <item m="1" x="1565"/>
        <item m="1" x="1567"/>
        <item m="1" x="1568"/>
        <item m="1" x="1570"/>
        <item m="1" x="1571"/>
        <item m="1" x="1574"/>
        <item x="401"/>
        <item m="1" x="1019"/>
        <item m="1" x="1576"/>
        <item m="1" x="1577"/>
        <item m="1" x="1578"/>
        <item m="1" x="1580"/>
        <item m="1" x="1199"/>
        <item m="1" x="1581"/>
        <item m="1" x="1582"/>
        <item m="1" x="1583"/>
        <item m="1" x="925"/>
        <item m="1" x="1016"/>
        <item m="1" x="926"/>
        <item m="1" x="1585"/>
        <item m="1" x="1586"/>
        <item m="1" x="1587"/>
        <item m="1" x="1588"/>
        <item m="1" x="1589"/>
        <item m="1" x="1422"/>
        <item m="1" x="1443"/>
        <item m="1" x="1398"/>
        <item m="1" x="1247"/>
        <item m="1" x="973"/>
        <item m="1" x="1397"/>
        <item m="1" x="1054"/>
        <item m="1" x="1251"/>
        <item x="290"/>
        <item m="1" x="1370"/>
        <item m="1" x="1375"/>
        <item m="1" x="1436"/>
        <item m="1" x="1430"/>
        <item m="1" x="1421"/>
        <item m="1" x="1429"/>
        <item m="1" x="1428"/>
        <item m="1" x="1427"/>
        <item m="1" x="1343"/>
        <item m="1" x="1426"/>
        <item m="1" x="1425"/>
        <item m="1" x="1442"/>
        <item m="1" x="1441"/>
        <item m="1" x="1440"/>
        <item m="1" x="1395"/>
        <item m="1" x="1408"/>
        <item m="1" x="1437"/>
        <item m="1" x="1396"/>
        <item m="1" x="1252"/>
        <item m="1" x="1402"/>
        <item m="1" x="1414"/>
        <item m="1" x="1413"/>
        <item m="1" x="1412"/>
        <item m="1" x="1065"/>
        <item m="1" x="1410"/>
        <item m="1" x="1409"/>
        <item m="1" x="1264"/>
        <item m="1" x="1420"/>
        <item m="1" x="1419"/>
        <item m="1" x="1418"/>
        <item m="1" x="1417"/>
        <item m="1" x="1416"/>
        <item m="1" x="1394"/>
        <item m="1" x="1393"/>
        <item m="1" x="1376"/>
        <item m="1" x="1379"/>
        <item m="1" x="1270"/>
        <item m="1" x="1080"/>
        <item x="75"/>
        <item m="1" x="1388"/>
        <item m="1" x="1082"/>
        <item m="1" x="1087"/>
        <item m="1" x="1271"/>
        <item m="1" x="1384"/>
        <item m="1" x="1383"/>
        <item m="1" x="1382"/>
        <item m="1" x="1392"/>
        <item m="1" x="1391"/>
        <item m="1" x="1401"/>
        <item m="1" x="1400"/>
        <item m="1" x="1399"/>
        <item m="1" x="1390"/>
        <item m="1" x="1282"/>
        <item m="1" x="1431"/>
        <item m="1" x="1276"/>
        <item m="1" x="1280"/>
        <item x="150"/>
        <item m="1" x="1286"/>
        <item m="1" x="1287"/>
        <item m="1" x="1113"/>
        <item m="1" x="1372"/>
        <item m="1" x="1371"/>
        <item m="1" x="1290"/>
        <item m="1" x="1291"/>
        <item m="1" x="1369"/>
        <item m="1" x="1293"/>
        <item m="1" x="1378"/>
        <item m="1" x="1377"/>
        <item m="1" x="1297"/>
        <item m="1" x="1301"/>
        <item m="1" x="1374"/>
        <item m="1" x="1151"/>
        <item m="1" x="1387"/>
        <item m="1" x="1386"/>
        <item m="1" x="1385"/>
        <item x="32"/>
        <item m="1" x="1435"/>
        <item m="1" x="1434"/>
        <item m="1" x="1315"/>
        <item x="262"/>
        <item x="263"/>
        <item x="260"/>
        <item x="258"/>
        <item m="1" x="1439"/>
        <item m="1" x="1433"/>
        <item m="1" x="1404"/>
        <item m="1" x="1403"/>
        <item m="1" x="1406"/>
        <item m="1" x="1405"/>
        <item m="1" x="1178"/>
        <item m="1" x="1342"/>
        <item m="1" x="1438"/>
        <item m="1" x="1329"/>
        <item m="1" x="1189"/>
        <item m="1" x="1014"/>
        <item m="1" x="1423"/>
        <item m="1" x="1381"/>
        <item m="1" x="1341"/>
        <item m="1" x="1380"/>
        <item m="1" x="1367"/>
        <item m="1" x="1348"/>
        <item m="1" x="1013"/>
        <item m="1" x="1351"/>
        <item m="1" x="1358"/>
        <item m="1" x="1350"/>
        <item m="1" x="1368"/>
        <item m="1" x="1201"/>
        <item m="1" x="1202"/>
        <item m="1" x="927"/>
        <item m="1" x="1424"/>
        <item m="1" x="1432"/>
        <item m="1" x="1444"/>
        <item m="1" x="1389"/>
        <item m="1" x="1214"/>
        <item m="1" x="1215"/>
        <item m="1" x="1038"/>
        <item m="1" x="1041"/>
        <item m="1" x="1042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8"/>
        <item x="24"/>
        <item m="1" x="1057"/>
        <item m="1" x="975"/>
        <item m="1" x="1249"/>
        <item m="1" x="985"/>
        <item m="1" x="1116"/>
        <item m="1" x="1250"/>
        <item m="1" x="1253"/>
        <item m="1" x="1064"/>
        <item m="1" x="1063"/>
        <item m="1" x="1254"/>
        <item m="1" x="1255"/>
        <item m="1" x="1256"/>
        <item m="1" x="1257"/>
        <item m="1" x="1258"/>
        <item m="1" x="1259"/>
        <item m="1" x="1260"/>
        <item m="1" x="1261"/>
        <item m="1" x="1062"/>
        <item m="1" x="1262"/>
        <item m="1" x="1058"/>
        <item m="1" x="1263"/>
        <item m="1" x="1059"/>
        <item m="1" x="1265"/>
        <item m="1" x="1266"/>
        <item m="1" x="1267"/>
        <item m="1" x="1268"/>
        <item m="1" x="1060"/>
        <item m="1" x="1061"/>
        <item m="1" x="1269"/>
        <item x="77"/>
        <item x="82"/>
        <item x="80"/>
        <item m="1" x="976"/>
        <item x="86"/>
        <item m="1" x="1272"/>
        <item m="1" x="1096"/>
        <item m="1" x="1097"/>
        <item m="1" x="1093"/>
        <item m="1" x="1098"/>
        <item m="1" x="1275"/>
        <item m="1" x="1011"/>
        <item m="1" x="1010"/>
        <item m="1" x="1279"/>
        <item m="1" x="1100"/>
        <item x="128"/>
        <item m="1" x="1101"/>
        <item m="1" x="1099"/>
        <item m="1" x="1107"/>
        <item m="1" x="1108"/>
        <item m="1" x="1109"/>
        <item x="168"/>
        <item m="1" x="1288"/>
        <item m="1" x="1289"/>
        <item m="1" x="1118"/>
        <item m="1" x="1119"/>
        <item m="1" x="1292"/>
        <item m="1" x="1122"/>
        <item m="1" x="1123"/>
        <item m="1" x="1124"/>
        <item m="1" x="1125"/>
        <item m="1" x="1130"/>
        <item m="1" x="1133"/>
        <item m="1" x="1134"/>
        <item m="1" x="1135"/>
        <item m="1" x="1136"/>
        <item m="1" x="1131"/>
        <item m="1" x="1137"/>
        <item m="1" x="1138"/>
        <item m="1" x="1142"/>
        <item m="1" x="788"/>
        <item m="1" x="1299"/>
        <item m="1" x="1300"/>
        <item m="1" x="1308"/>
        <item m="1" x="1309"/>
        <item m="1" x="1311"/>
        <item m="1" x="1312"/>
        <item m="1" x="1154"/>
        <item x="215"/>
        <item m="1" x="1317"/>
        <item m="1" x="1318"/>
        <item m="1" x="1321"/>
        <item m="1" x="1322"/>
        <item m="1" x="1323"/>
        <item m="1" x="1324"/>
        <item m="1" x="1325"/>
        <item m="1" x="1169"/>
        <item x="340"/>
        <item x="359"/>
        <item x="370"/>
        <item m="1" x="1326"/>
        <item x="371"/>
        <item m="1" x="1327"/>
        <item m="1" x="1328"/>
        <item m="1" x="1330"/>
        <item m="1" x="1188"/>
        <item m="1" x="1331"/>
        <item m="1" x="1332"/>
        <item m="1" x="1333"/>
        <item m="1" x="1334"/>
        <item m="1" x="1340"/>
        <item m="1" x="1007"/>
        <item m="1" x="1344"/>
        <item m="1" x="1191"/>
        <item m="1" x="1345"/>
        <item m="1" x="1349"/>
        <item m="1" x="1197"/>
        <item m="1" x="1196"/>
        <item m="1" x="1352"/>
        <item m="1" x="811"/>
        <item m="1" x="1353"/>
        <item m="1" x="1354"/>
        <item m="1" x="1355"/>
        <item m="1" x="1356"/>
        <item m="1" x="1357"/>
        <item m="1" x="1359"/>
        <item m="1" x="1200"/>
        <item m="1" x="1360"/>
        <item m="1" x="1361"/>
        <item m="1" x="1364"/>
        <item m="1" x="1365"/>
        <item m="1" x="1366"/>
        <item m="1" x="1212"/>
        <item m="1" x="1211"/>
        <item m="1" x="996"/>
        <item m="1" x="1036"/>
        <item m="1" x="1037"/>
        <item x="6"/>
        <item m="1" x="450"/>
        <item m="1" x="1039"/>
        <item m="1" x="1040"/>
        <item m="1" x="617"/>
        <item m="1" x="1018"/>
        <item m="1" x="1045"/>
        <item m="1" x="1046"/>
        <item m="1" x="1047"/>
        <item m="1" x="823"/>
        <item m="1" x="1048"/>
        <item x="289"/>
        <item x="338"/>
        <item m="1" x="1050"/>
        <item m="1" x="994"/>
        <item m="1" x="1051"/>
        <item m="1" x="1052"/>
        <item m="1" x="1053"/>
        <item m="1" x="993"/>
        <item m="1" x="1055"/>
        <item x="304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735"/>
        <item m="1" x="1079"/>
        <item m="1" x="514"/>
        <item m="1" x="1081"/>
        <item m="1" x="1083"/>
        <item m="1" x="1032"/>
        <item m="1" x="1084"/>
        <item m="1" x="1085"/>
        <item m="1" x="1009"/>
        <item m="1" x="1008"/>
        <item m="1" x="1088"/>
        <item m="1" x="1089"/>
        <item m="1" x="1091"/>
        <item m="1" x="1092"/>
        <item m="1" x="987"/>
        <item m="1" x="1095"/>
        <item m="1" x="1006"/>
        <item m="1" x="1003"/>
        <item m="1" x="1102"/>
        <item m="1" x="1103"/>
        <item m="1" x="1104"/>
        <item m="1" x="991"/>
        <item m="1" x="1105"/>
        <item m="1" x="1106"/>
        <item x="115"/>
        <item m="1" x="1110"/>
        <item m="1" x="992"/>
        <item x="113"/>
        <item m="1" x="1112"/>
        <item x="148"/>
        <item m="1" x="1114"/>
        <item x="174"/>
        <item x="188"/>
        <item m="1" x="1002"/>
        <item m="1" x="1017"/>
        <item x="216"/>
        <item m="1" x="1121"/>
        <item m="1" x="1126"/>
        <item m="1" x="1127"/>
        <item m="1" x="785"/>
        <item m="1" x="1128"/>
        <item m="1" x="1129"/>
        <item x="376"/>
        <item m="1" x="601"/>
        <item m="1" x="1139"/>
        <item m="1" x="1141"/>
        <item m="1" x="1146"/>
        <item x="241"/>
        <item m="1" x="1149"/>
        <item m="1" x="792"/>
        <item m="1" x="1153"/>
        <item m="1" x="1155"/>
        <item m="1" x="1156"/>
        <item m="1" x="556"/>
        <item m="1" x="1157"/>
        <item m="1" x="805"/>
        <item m="1" x="1159"/>
        <item m="1" x="1160"/>
        <item m="1" x="1161"/>
        <item m="1" x="1162"/>
        <item m="1" x="1012"/>
        <item m="1" x="905"/>
        <item m="1" x="1163"/>
        <item x="345"/>
        <item m="1" x="1165"/>
        <item m="1" x="1166"/>
        <item m="1" x="1167"/>
        <item m="1" x="1168"/>
        <item m="1" x="1170"/>
        <item m="1" x="1171"/>
        <item m="1" x="1172"/>
        <item m="1" x="1173"/>
        <item m="1" x="1174"/>
        <item m="1" x="1175"/>
        <item m="1" x="1176"/>
        <item m="1" x="1177"/>
        <item x="364"/>
        <item m="1" x="900"/>
        <item m="1" x="1179"/>
        <item m="1" x="1180"/>
        <item m="1" x="1181"/>
        <item x="363"/>
        <item m="1" x="1182"/>
        <item m="1" x="1183"/>
        <item m="1" x="1184"/>
        <item m="1" x="806"/>
        <item m="1" x="807"/>
        <item m="1" x="736"/>
        <item m="1" x="995"/>
        <item x="392"/>
        <item m="1" x="1192"/>
        <item m="1" x="1193"/>
        <item m="1" x="1194"/>
        <item m="1" x="587"/>
        <item m="1" x="1195"/>
        <item m="1" x="1203"/>
        <item m="1" x="924"/>
        <item m="1" x="1001"/>
        <item m="1" x="1000"/>
        <item m="1" x="1204"/>
        <item m="1" x="1205"/>
        <item m="1" x="1206"/>
        <item x="435"/>
        <item m="1" x="738"/>
        <item m="1" x="737"/>
        <item m="1" x="1208"/>
        <item m="1" x="1209"/>
        <item m="1" x="1210"/>
        <item m="1" x="448"/>
        <item m="1" x="960"/>
        <item m="1" x="963"/>
        <item m="1" x="962"/>
        <item m="1" x="942"/>
        <item m="1" x="943"/>
        <item x="14"/>
        <item x="23"/>
        <item m="1" x="972"/>
        <item m="1" x="1005"/>
        <item m="1" x="959"/>
        <item m="1" x="965"/>
        <item m="1" x="955"/>
        <item m="1" x="986"/>
        <item m="1" x="957"/>
        <item m="1" x="956"/>
        <item m="1" x="958"/>
        <item m="1" x="947"/>
        <item m="1" x="949"/>
        <item m="1" x="990"/>
        <item x="39"/>
        <item m="1" x="970"/>
        <item m="1" x="846"/>
        <item m="1" x="847"/>
        <item m="1" x="966"/>
        <item m="1" x="945"/>
        <item m="1" x="843"/>
        <item m="1" x="948"/>
        <item m="1" x="952"/>
        <item m="1" x="951"/>
        <item x="84"/>
        <item m="1" x="1004"/>
        <item x="295"/>
        <item m="1" x="860"/>
        <item m="1" x="989"/>
        <item m="1" x="864"/>
        <item m="1" x="869"/>
        <item m="1" x="870"/>
        <item x="140"/>
        <item x="130"/>
        <item x="131"/>
        <item x="135"/>
        <item m="1" x="953"/>
        <item m="1" x="865"/>
        <item m="1" x="866"/>
        <item x="119"/>
        <item m="1" x="984"/>
        <item m="1" x="874"/>
        <item x="164"/>
        <item m="1" x="982"/>
        <item m="1" x="971"/>
        <item m="1" x="954"/>
        <item m="1" x="978"/>
        <item m="1" x="946"/>
        <item x="210"/>
        <item m="1" x="980"/>
        <item m="1" x="979"/>
        <item m="1" x="969"/>
        <item x="317"/>
        <item m="1" x="988"/>
        <item m="1" x="733"/>
        <item x="219"/>
        <item x="220"/>
        <item x="221"/>
        <item x="222"/>
        <item m="1" x="950"/>
        <item m="1" x="883"/>
        <item m="1" x="881"/>
        <item m="1" x="882"/>
        <item m="1" x="880"/>
        <item m="1" x="887"/>
        <item m="1" x="888"/>
        <item x="242"/>
        <item m="1" x="731"/>
        <item m="1" x="977"/>
        <item m="1" x="1033"/>
        <item m="1" x="940"/>
        <item m="1" x="894"/>
        <item m="1" x="896"/>
        <item x="296"/>
        <item m="1" x="983"/>
        <item m="1" x="961"/>
        <item x="354"/>
        <item m="1" x="964"/>
        <item m="1" x="798"/>
        <item m="1" x="907"/>
        <item m="1" x="906"/>
        <item m="1" x="997"/>
        <item x="344"/>
        <item m="1" x="944"/>
        <item m="1" x="732"/>
        <item x="383"/>
        <item x="387"/>
        <item m="1" x="872"/>
        <item x="393"/>
        <item m="1" x="914"/>
        <item m="1" x="916"/>
        <item m="1" x="917"/>
        <item m="1" x="920"/>
        <item m="1" x="921"/>
        <item m="1" x="922"/>
        <item x="406"/>
        <item m="1" x="734"/>
        <item m="1" x="602"/>
        <item m="1" x="603"/>
        <item m="1" x="941"/>
        <item m="1" x="999"/>
        <item m="1" x="998"/>
        <item m="1" x="932"/>
        <item m="1" x="933"/>
        <item m="1" x="968"/>
        <item m="1" x="967"/>
        <item m="1" x="981"/>
        <item m="1" x="935"/>
        <item m="1" x="937"/>
        <item m="1" x="938"/>
        <item m="1" x="813"/>
        <item m="1" x="936"/>
        <item m="1" x="447"/>
        <item m="1" x="814"/>
        <item m="1" x="741"/>
        <item m="1" x="815"/>
        <item m="1" x="816"/>
        <item m="1" x="817"/>
        <item m="1" x="818"/>
        <item m="1" x="819"/>
        <item m="1" x="820"/>
        <item x="25"/>
        <item m="1" x="821"/>
        <item m="1" x="822"/>
        <item m="1" x="824"/>
        <item m="1" x="825"/>
        <item m="1" x="826"/>
        <item m="1" x="827"/>
        <item m="1" x="828"/>
        <item m="1" x="758"/>
        <item m="1" x="829"/>
        <item m="1" x="759"/>
        <item m="1" x="830"/>
        <item m="1" x="831"/>
        <item m="1" x="832"/>
        <item m="1" x="833"/>
        <item m="1" x="464"/>
        <item x="41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x="40"/>
        <item m="1" x="844"/>
        <item m="1" x="845"/>
        <item m="1" x="848"/>
        <item m="1" x="849"/>
        <item m="1" x="755"/>
        <item m="1" x="850"/>
        <item m="1" x="851"/>
        <item x="42"/>
        <item m="1" x="852"/>
        <item m="1" x="853"/>
        <item m="1" x="854"/>
        <item m="1" x="855"/>
        <item m="1" x="856"/>
        <item m="1" x="857"/>
        <item m="1" x="858"/>
        <item x="87"/>
        <item m="1" x="859"/>
        <item m="1" x="861"/>
        <item m="1" x="862"/>
        <item m="1" x="863"/>
        <item x="141"/>
        <item x="139"/>
        <item m="1" x="778"/>
        <item m="1" x="779"/>
        <item m="1" x="867"/>
        <item m="1" x="868"/>
        <item m="1" x="781"/>
        <item m="1" x="871"/>
        <item m="1" x="873"/>
        <item x="160"/>
        <item x="161"/>
        <item x="159"/>
        <item m="1" x="533"/>
        <item m="1" x="875"/>
        <item m="1" x="727"/>
        <item m="1" x="876"/>
        <item x="186"/>
        <item x="190"/>
        <item m="1" x="728"/>
        <item x="184"/>
        <item m="1" x="878"/>
        <item m="1" x="879"/>
        <item m="1" x="784"/>
        <item m="1" x="884"/>
        <item m="1" x="787"/>
        <item m="1" x="885"/>
        <item m="1" x="886"/>
        <item m="1" x="539"/>
        <item m="1" x="889"/>
        <item m="1" x="890"/>
        <item m="1" x="891"/>
        <item m="1" x="791"/>
        <item m="1" x="892"/>
        <item m="1" x="893"/>
        <item m="1" x="895"/>
        <item m="1" x="794"/>
        <item x="297"/>
        <item m="1" x="897"/>
        <item m="1" x="898"/>
        <item m="1" x="899"/>
        <item m="1" x="901"/>
        <item x="316"/>
        <item m="1" x="730"/>
        <item x="313"/>
        <item x="314"/>
        <item x="315"/>
        <item m="1" x="902"/>
        <item x="312"/>
        <item m="1" x="903"/>
        <item m="1" x="904"/>
        <item x="343"/>
        <item x="341"/>
        <item x="342"/>
        <item m="1" x="908"/>
        <item m="1" x="909"/>
        <item m="1" x="910"/>
        <item x="361"/>
        <item m="1" x="911"/>
        <item m="1" x="802"/>
        <item m="1" x="912"/>
        <item m="1" x="729"/>
        <item x="381"/>
        <item m="1" x="913"/>
        <item x="394"/>
        <item m="1" x="915"/>
        <item m="1" x="809"/>
        <item m="1" x="918"/>
        <item m="1" x="810"/>
        <item x="200"/>
        <item m="1" x="919"/>
        <item x="203"/>
        <item m="1" x="923"/>
        <item x="418"/>
        <item m="1" x="934"/>
        <item m="1" x="726"/>
        <item x="436"/>
        <item x="442"/>
        <item x="443"/>
        <item m="1" x="939"/>
        <item m="1" x="739"/>
        <item m="1" x="740"/>
        <item m="1" x="743"/>
        <item x="382"/>
        <item m="1" x="453"/>
        <item x="29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x="45"/>
        <item x="44"/>
        <item m="1" x="753"/>
        <item m="1" x="754"/>
        <item m="1" x="756"/>
        <item m="1" x="757"/>
        <item x="43"/>
        <item m="1" x="760"/>
        <item m="1" x="761"/>
        <item m="1" x="762"/>
        <item m="1" x="763"/>
        <item m="1" x="764"/>
        <item m="1" x="765"/>
        <item m="1" x="766"/>
        <item m="1" x="463"/>
        <item m="1" x="767"/>
        <item m="1" x="768"/>
        <item m="1" x="769"/>
        <item x="331"/>
        <item m="1" x="770"/>
        <item x="74"/>
        <item m="1" x="499"/>
        <item x="83"/>
        <item m="1" x="508"/>
        <item x="199"/>
        <item m="1" x="772"/>
        <item m="1" x="773"/>
        <item m="1" x="774"/>
        <item x="167"/>
        <item m="1" x="775"/>
        <item m="1" x="776"/>
        <item m="1" x="777"/>
        <item x="137"/>
        <item x="138"/>
        <item m="1" x="780"/>
        <item x="125"/>
        <item x="126"/>
        <item m="1" x="515"/>
        <item x="415"/>
        <item m="1" x="522"/>
        <item m="1" x="520"/>
        <item m="1" x="523"/>
        <item m="1" x="524"/>
        <item m="1" x="525"/>
        <item x="166"/>
        <item m="1" x="782"/>
        <item x="191"/>
        <item x="192"/>
        <item m="1" x="783"/>
        <item m="1" x="711"/>
        <item m="1" x="786"/>
        <item x="229"/>
        <item x="230"/>
        <item x="237"/>
        <item m="1" x="719"/>
        <item m="1" x="789"/>
        <item m="1" x="790"/>
        <item m="1" x="716"/>
        <item m="1" x="714"/>
        <item m="1" x="713"/>
        <item m="1" x="723"/>
        <item m="1" x="715"/>
        <item m="1" x="718"/>
        <item m="1" x="717"/>
        <item m="1" x="722"/>
        <item m="1" x="721"/>
        <item m="1" x="550"/>
        <item m="1" x="551"/>
        <item m="1" x="793"/>
        <item m="1" x="557"/>
        <item m="1" x="559"/>
        <item m="1" x="795"/>
        <item m="1" x="796"/>
        <item m="1" x="710"/>
        <item x="321"/>
        <item m="1" x="797"/>
        <item m="1" x="724"/>
        <item x="353"/>
        <item m="1" x="570"/>
        <item m="1" x="799"/>
        <item m="1" x="800"/>
        <item m="1" x="801"/>
        <item x="369"/>
        <item x="368"/>
        <item m="1" x="803"/>
        <item m="1" x="804"/>
        <item x="378"/>
        <item x="377"/>
        <item m="1" x="808"/>
        <item m="1" x="589"/>
        <item m="1" x="590"/>
        <item m="1" x="591"/>
        <item m="1" x="594"/>
        <item m="1" x="595"/>
        <item m="1" x="712"/>
        <item m="1" x="725"/>
        <item x="417"/>
        <item x="416"/>
        <item m="1" x="812"/>
        <item m="1" x="606"/>
        <item x="434"/>
        <item m="1" x="616"/>
        <item m="1" x="615"/>
        <item m="1" x="609"/>
        <item m="1" x="610"/>
        <item x="194"/>
        <item m="1" x="611"/>
        <item x="445"/>
        <item m="1" x="647"/>
        <item m="1" x="636"/>
        <item m="1" x="690"/>
        <item m="1" x="458"/>
        <item m="1" x="457"/>
        <item m="1" x="621"/>
        <item m="1" x="454"/>
        <item m="1" x="455"/>
        <item m="1" x="456"/>
        <item m="1" x="452"/>
        <item m="1" x="703"/>
        <item m="1" x="630"/>
        <item m="1" x="698"/>
        <item m="1" x="635"/>
        <item m="1" x="461"/>
        <item m="1" x="648"/>
        <item x="20"/>
        <item m="1" x="709"/>
        <item m="1" x="473"/>
        <item m="1" x="634"/>
        <item m="1" x="633"/>
        <item m="1" x="632"/>
        <item m="1" x="631"/>
        <item m="1" x="624"/>
        <item m="1" x="474"/>
        <item m="1" x="620"/>
        <item m="1" x="619"/>
        <item m="1" x="618"/>
        <item m="1" x="475"/>
        <item m="1" x="472"/>
        <item m="1" x="471"/>
        <item m="1" x="641"/>
        <item m="1" x="659"/>
        <item m="1" x="662"/>
        <item m="1" x="671"/>
        <item m="1" x="468"/>
        <item m="1" x="668"/>
        <item m="1" x="470"/>
        <item m="1" x="469"/>
        <item m="1" x="681"/>
        <item m="1" x="680"/>
        <item m="1" x="679"/>
        <item m="1" x="678"/>
        <item m="1" x="677"/>
        <item m="1" x="676"/>
        <item m="1" x="702"/>
        <item m="1" x="704"/>
        <item m="1" x="465"/>
        <item m="1" x="708"/>
        <item m="1" x="707"/>
        <item m="1" x="706"/>
        <item m="1" x="466"/>
        <item m="1" x="691"/>
        <item m="1" x="688"/>
        <item m="1" x="687"/>
        <item m="1" x="467"/>
        <item m="1" x="686"/>
        <item m="1" x="669"/>
        <item m="1" x="670"/>
        <item m="1" x="661"/>
        <item m="1" x="660"/>
        <item m="1" x="664"/>
        <item m="1" x="510"/>
        <item m="1" x="500"/>
        <item m="1" x="505"/>
        <item x="88"/>
        <item m="1" x="509"/>
        <item m="1" x="640"/>
        <item x="107"/>
        <item x="108"/>
        <item m="1" x="675"/>
        <item x="209"/>
        <item m="1" x="697"/>
        <item m="1" x="516"/>
        <item m="1" x="628"/>
        <item m="1" x="518"/>
        <item x="132"/>
        <item x="142"/>
        <item m="1" x="656"/>
        <item m="1" x="532"/>
        <item m="1" x="530"/>
        <item m="1" x="531"/>
        <item m="1" x="637"/>
        <item x="187"/>
        <item m="1" x="639"/>
        <item m="1" x="693"/>
        <item m="1" x="692"/>
        <item m="1" x="626"/>
        <item m="1" x="625"/>
        <item m="1" x="701"/>
        <item m="1" x="695"/>
        <item m="1" x="651"/>
        <item m="1" x="684"/>
        <item x="224"/>
        <item m="1" x="696"/>
        <item m="1" x="537"/>
        <item m="1" x="538"/>
        <item m="1" x="644"/>
        <item m="1" x="540"/>
        <item m="1" x="542"/>
        <item x="235"/>
        <item m="1" x="643"/>
        <item m="1" x="642"/>
        <item m="1" x="560"/>
        <item m="1" x="645"/>
        <item m="1" x="649"/>
        <item m="1" x="650"/>
        <item m="1" x="689"/>
        <item m="1" x="657"/>
        <item m="1" x="548"/>
        <item m="1" x="699"/>
        <item m="1" x="658"/>
        <item x="251"/>
        <item m="1" x="552"/>
        <item m="1" x="553"/>
        <item m="1" x="555"/>
        <item m="1" x="558"/>
        <item x="306"/>
        <item x="305"/>
        <item m="1" x="563"/>
        <item m="1" x="629"/>
        <item x="334"/>
        <item m="1" x="673"/>
        <item m="1" x="667"/>
        <item m="1" x="694"/>
        <item x="335"/>
        <item x="325"/>
        <item x="326"/>
        <item x="328"/>
        <item x="329"/>
        <item x="330"/>
        <item m="1" x="568"/>
        <item x="352"/>
        <item m="1" x="705"/>
        <item x="351"/>
        <item x="356"/>
        <item m="1" x="682"/>
        <item x="355"/>
        <item m="1" x="655"/>
        <item x="384"/>
        <item m="1" x="672"/>
        <item m="1" x="576"/>
        <item m="1" x="638"/>
        <item x="362"/>
        <item x="366"/>
        <item m="1" x="580"/>
        <item m="1" x="545"/>
        <item m="1" x="581"/>
        <item m="1" x="674"/>
        <item m="1" x="582"/>
        <item m="1" x="583"/>
        <item m="1" x="627"/>
        <item m="1" x="666"/>
        <item m="1" x="665"/>
        <item m="1" x="652"/>
        <item m="1" x="622"/>
        <item m="1" x="593"/>
        <item m="1" x="586"/>
        <item m="1" x="588"/>
        <item m="1" x="683"/>
        <item x="405"/>
        <item m="1" x="599"/>
        <item m="1" x="596"/>
        <item m="1" x="685"/>
        <item m="1" x="623"/>
        <item x="411"/>
        <item m="1" x="654"/>
        <item m="1" x="653"/>
        <item m="1" x="613"/>
        <item m="1" x="607"/>
        <item m="1" x="614"/>
        <item m="1" x="700"/>
        <item m="1" x="608"/>
        <item m="1" x="663"/>
        <item m="1" x="449"/>
        <item x="1"/>
        <item x="7"/>
        <item m="1" x="451"/>
        <item m="1" x="459"/>
        <item x="26"/>
        <item x="27"/>
        <item x="28"/>
        <item m="1" x="460"/>
        <item x="21"/>
        <item x="327"/>
        <item m="1" x="462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501"/>
        <item m="1" x="502"/>
        <item x="78"/>
        <item x="85"/>
        <item m="1" x="503"/>
        <item m="1" x="504"/>
        <item x="98"/>
        <item x="89"/>
        <item m="1" x="506"/>
        <item x="408"/>
        <item m="1" x="507"/>
        <item m="1" x="511"/>
        <item m="1" x="512"/>
        <item m="1" x="513"/>
        <item x="123"/>
        <item x="133"/>
        <item m="1" x="517"/>
        <item m="1" x="519"/>
        <item x="121"/>
        <item x="127"/>
        <item x="124"/>
        <item x="116"/>
        <item m="1" x="521"/>
        <item x="112"/>
        <item x="156"/>
        <item x="157"/>
        <item x="158"/>
        <item x="96"/>
        <item m="1" x="526"/>
        <item m="1" x="527"/>
        <item x="162"/>
        <item x="163"/>
        <item m="1" x="528"/>
        <item m="1" x="529"/>
        <item x="165"/>
        <item x="173"/>
        <item x="177"/>
        <item x="176"/>
        <item x="175"/>
        <item x="178"/>
        <item x="179"/>
        <item x="180"/>
        <item x="185"/>
        <item x="183"/>
        <item x="182"/>
        <item x="181"/>
        <item x="189"/>
        <item x="197"/>
        <item x="198"/>
        <item x="201"/>
        <item x="202"/>
        <item x="193"/>
        <item x="195"/>
        <item x="196"/>
        <item x="208"/>
        <item m="1" x="534"/>
        <item m="1" x="535"/>
        <item m="1" x="536"/>
        <item m="1" x="541"/>
        <item x="236"/>
        <item m="1" x="543"/>
        <item m="1" x="544"/>
        <item m="1" x="546"/>
        <item m="1" x="549"/>
        <item x="252"/>
        <item x="253"/>
        <item x="250"/>
        <item x="287"/>
        <item x="288"/>
        <item m="1" x="554"/>
        <item x="300"/>
        <item m="1" x="561"/>
        <item m="1" x="562"/>
        <item x="308"/>
        <item x="307"/>
        <item m="1" x="564"/>
        <item m="1" x="565"/>
        <item m="1" x="566"/>
        <item m="1" x="567"/>
        <item m="1" x="569"/>
        <item m="1" x="571"/>
        <item x="339"/>
        <item m="1" x="572"/>
        <item m="1" x="573"/>
        <item m="1" x="574"/>
        <item m="1" x="575"/>
        <item x="320"/>
        <item x="318"/>
        <item x="319"/>
        <item m="1" x="577"/>
        <item m="1" x="578"/>
        <item x="358"/>
        <item x="357"/>
        <item m="1" x="579"/>
        <item x="380"/>
        <item x="379"/>
        <item x="389"/>
        <item x="390"/>
        <item x="391"/>
        <item m="1" x="584"/>
        <item m="1" x="585"/>
        <item x="395"/>
        <item m="1" x="592"/>
        <item m="1" x="597"/>
        <item m="1" x="598"/>
        <item m="1" x="600"/>
        <item x="409"/>
        <item x="413"/>
        <item x="412"/>
        <item x="410"/>
        <item x="414"/>
        <item m="1" x="604"/>
        <item x="431"/>
        <item m="1" x="605"/>
        <item m="1" x="612"/>
        <item x="0"/>
        <item x="2"/>
        <item x="3"/>
        <item x="4"/>
        <item x="5"/>
        <item x="8"/>
        <item x="9"/>
        <item x="10"/>
        <item x="11"/>
        <item x="12"/>
        <item x="16"/>
        <item x="17"/>
        <item x="18"/>
        <item x="19"/>
        <item x="22"/>
        <item x="30"/>
        <item x="31"/>
        <item x="33"/>
        <item x="34"/>
        <item x="35"/>
        <item x="36"/>
        <item x="37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6"/>
        <item x="81"/>
        <item x="90"/>
        <item x="91"/>
        <item x="92"/>
        <item x="93"/>
        <item x="94"/>
        <item x="95"/>
        <item x="97"/>
        <item x="99"/>
        <item x="100"/>
        <item x="101"/>
        <item x="102"/>
        <item x="103"/>
        <item x="104"/>
        <item x="105"/>
        <item x="106"/>
        <item x="114"/>
        <item x="117"/>
        <item x="118"/>
        <item x="120"/>
        <item x="122"/>
        <item x="134"/>
        <item x="143"/>
        <item x="144"/>
        <item x="147"/>
        <item x="151"/>
        <item x="152"/>
        <item x="153"/>
        <item x="154"/>
        <item x="155"/>
        <item x="169"/>
        <item x="170"/>
        <item x="171"/>
        <item x="204"/>
        <item x="205"/>
        <item x="206"/>
        <item x="207"/>
        <item x="211"/>
        <item x="212"/>
        <item x="213"/>
        <item x="223"/>
        <item x="225"/>
        <item x="226"/>
        <item x="227"/>
        <item x="228"/>
        <item x="231"/>
        <item x="232"/>
        <item x="233"/>
        <item x="234"/>
        <item x="240"/>
        <item x="243"/>
        <item x="244"/>
        <item x="245"/>
        <item x="246"/>
        <item x="247"/>
        <item x="248"/>
        <item x="249"/>
        <item x="293"/>
        <item x="294"/>
        <item x="298"/>
        <item x="299"/>
        <item x="301"/>
        <item x="302"/>
        <item x="322"/>
        <item x="323"/>
        <item x="324"/>
        <item x="332"/>
        <item x="333"/>
        <item x="336"/>
        <item x="337"/>
        <item x="346"/>
        <item x="347"/>
        <item x="348"/>
        <item x="349"/>
        <item x="350"/>
        <item x="365"/>
        <item x="372"/>
        <item x="375"/>
        <item x="385"/>
        <item x="386"/>
        <item x="388"/>
        <item x="396"/>
        <item x="397"/>
        <item x="400"/>
        <item x="404"/>
        <item x="421"/>
        <item x="422"/>
        <item x="423"/>
        <item x="424"/>
        <item x="425"/>
        <item x="426"/>
        <item x="427"/>
        <item x="428"/>
        <item x="429"/>
        <item x="430"/>
        <item x="432"/>
        <item x="433"/>
        <item x="437"/>
        <item x="438"/>
        <item x="439"/>
        <item x="440"/>
        <item x="441"/>
        <item x="4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9"/>
        <item x="40"/>
        <item m="1" x="910"/>
        <item m="1" x="2772"/>
        <item m="1" x="767"/>
        <item m="1" x="619"/>
        <item m="1" x="420"/>
        <item x="248"/>
        <item x="383"/>
        <item x="380"/>
        <item m="1" x="3156"/>
        <item x="251"/>
        <item x="75"/>
        <item m="1" x="2934"/>
        <item m="1" x="954"/>
        <item x="266"/>
        <item x="138"/>
        <item m="1" x="4016"/>
        <item x="77"/>
        <item m="1" x="1833"/>
        <item m="1" x="962"/>
        <item m="1" x="1552"/>
        <item m="1" x="1907"/>
        <item m="1" x="5771"/>
        <item m="1" x="1761"/>
        <item m="1" x="684"/>
        <item x="319"/>
        <item m="1" x="530"/>
        <item m="1" x="535"/>
        <item m="1" x="501"/>
        <item x="386"/>
        <item m="1" x="2037"/>
        <item m="1" x="1440"/>
        <item m="1" x="5989"/>
        <item x="374"/>
        <item m="1" x="2517"/>
        <item x="88"/>
        <item m="1" x="2491"/>
        <item x="418"/>
        <item x="260"/>
        <item m="1" x="4552"/>
        <item m="1" x="1233"/>
        <item m="1" x="3520"/>
        <item h="1" m="1" x="5408"/>
        <item m="1" x="534"/>
        <item m="1" x="575"/>
        <item m="1" x="1550"/>
        <item x="263"/>
        <item x="131"/>
        <item m="1" x="875"/>
        <item m="1" x="3798"/>
        <item m="1" x="2910"/>
        <item m="1" x="5756"/>
        <item m="1" x="2718"/>
        <item m="1" x="3038"/>
        <item m="1" x="1525"/>
        <item m="1" x="1530"/>
        <item m="1" x="1059"/>
        <item m="1" x="3184"/>
        <item m="1" x="3249"/>
        <item m="1" x="1338"/>
        <item m="1" x="4797"/>
        <item x="326"/>
        <item m="1" x="1537"/>
        <item x="358"/>
        <item x="384"/>
        <item m="1" x="7903"/>
        <item x="398"/>
        <item m="1" x="1674"/>
        <item x="212"/>
        <item x="20"/>
        <item m="1" x="596"/>
        <item x="21"/>
        <item m="1" x="2676"/>
        <item x="140"/>
        <item m="1" x="2937"/>
        <item x="376"/>
        <item m="1" x="3720"/>
        <item m="1" x="6576"/>
        <item m="1" x="7668"/>
        <item m="1" x="2542"/>
        <item m="1" x="1422"/>
        <item m="1" x="2796"/>
        <item x="96"/>
        <item m="1" x="2060"/>
        <item m="1" x="6598"/>
        <item h="1" m="1" x="3239"/>
        <item h="1" x="273"/>
        <item m="1" x="2288"/>
        <item h="1" m="1" x="925"/>
        <item h="1" x="109"/>
        <item h="1" m="1" x="845"/>
        <item h="1" x="239"/>
        <item h="1" m="1" x="2907"/>
        <item h="1" x="401"/>
        <item h="1" m="1" x="764"/>
        <item h="1" x="13"/>
        <item h="1" x="145"/>
        <item h="1" x="271"/>
        <item h="1" m="1" x="854"/>
        <item h="1" x="390"/>
        <item h="1" m="1" x="2566"/>
        <item h="1" m="1" x="2426"/>
        <item h="1" m="1" x="1555"/>
        <item h="1" m="1" x="3039"/>
        <item h="1" m="1" x="7155"/>
        <item h="1" m="1" x="2921"/>
        <item h="1" x="22"/>
        <item h="1" m="1" x="2164"/>
        <item h="1" x="265"/>
        <item h="1" m="1" x="4130"/>
        <item h="1" m="1" x="507"/>
        <item h="1" m="1" x="921"/>
        <item h="1" m="1" x="2049"/>
        <item h="1" x="73"/>
        <item h="1" m="1" x="1948"/>
        <item h="1" m="1" x="2773"/>
        <item h="1" m="1" x="2795"/>
        <item h="1" x="128"/>
        <item h="1" m="1" x="1678"/>
        <item h="1" x="349"/>
        <item h="1" m="1" x="3878"/>
        <item h="1" m="1" x="508"/>
        <item h="1" x="224"/>
        <item h="1" m="1" x="3099"/>
        <item h="1" m="1" x="1349"/>
        <item h="1" x="222"/>
        <item h="1" x="142"/>
        <item h="1" m="1" x="1598"/>
        <item h="1" m="1" x="2429"/>
        <item h="1" m="1" x="2806"/>
        <item h="1" m="1" x="7104"/>
        <item h="1" m="1" x="3306"/>
        <item h="1" m="1" x="2941"/>
        <item h="1" x="348"/>
        <item h="1" x="328"/>
        <item h="1" m="1" x="6126"/>
        <item h="1" x="200"/>
        <item h="1" m="1" x="755"/>
        <item h="1" x="45"/>
        <item h="1" m="1" x="5926"/>
        <item h="1" m="1" x="2960"/>
        <item h="1" m="1" x="2872"/>
        <item h="1" m="1" x="5490"/>
        <item h="1" m="1" x="945"/>
        <item h="1" m="1" x="793"/>
        <item h="1" m="1" x="983"/>
        <item h="1" m="1" x="2208"/>
        <item h="1" m="1" x="2034"/>
        <item h="1" m="1" x="3012"/>
        <item h="1" m="1" x="2046"/>
        <item h="1" x="136"/>
        <item h="1" m="1" x="613"/>
        <item h="1" m="1" x="7547"/>
        <item h="1" m="1" x="4512"/>
        <item h="1" m="1" x="3167"/>
        <item h="1" x="396"/>
        <item h="1" m="1" x="2540"/>
        <item h="1" m="1" x="2379"/>
        <item h="1" m="1" x="6329"/>
        <item h="1" m="1" x="5866"/>
        <item h="1" m="1" x="4180"/>
        <item h="1" m="1" x="2579"/>
        <item h="1" m="1" x="6991"/>
        <item h="1" x="220"/>
        <item h="1" m="1" x="1662"/>
        <item h="1" m="1" x="1234"/>
        <item h="1" m="1" x="2799"/>
        <item h="1" m="1" x="1536"/>
        <item h="1" m="1" x="6561"/>
        <item h="1" m="1" x="3797"/>
        <item h="1" m="1" x="7102"/>
        <item h="1" m="1" x="2453"/>
        <item h="1" x="247"/>
        <item h="1" m="1" x="5384"/>
        <item h="1" m="1" x="7467"/>
        <item h="1" x="257"/>
        <item h="1" x="82"/>
        <item h="1" x="344"/>
        <item h="1" m="1" x="2865"/>
        <item h="1" m="1" x="6822"/>
        <item h="1" x="269"/>
        <item h="1" m="1" x="4497"/>
        <item h="1" m="1" x="3160"/>
        <item h="1" m="1" x="1346"/>
        <item h="1" m="1" x="2578"/>
        <item h="1" m="1" x="6057"/>
        <item h="1" x="392"/>
        <item h="1" m="1" x="3474"/>
        <item h="1" m="1" x="5356"/>
        <item h="1" m="1" x="700"/>
        <item h="1" m="1" x="2431"/>
        <item h="1" m="1" x="7046"/>
        <item h="1" m="1" x="5695"/>
        <item h="1" m="1" x="6982"/>
        <item h="1" m="1" x="2492"/>
        <item h="1" m="1" x="5219"/>
        <item h="1" m="1" x="751"/>
        <item h="1" m="1" x="4481"/>
        <item h="1" x="7"/>
        <item h="1" m="1" x="5336"/>
        <item h="1" m="1" x="1193"/>
        <item h="1" m="1" x="475"/>
        <item h="1" m="1" x="4309"/>
        <item h="1" m="1" x="5189"/>
        <item h="1" x="333"/>
        <item h="1" m="1" x="7679"/>
        <item h="1" m="1" x="2388"/>
        <item h="1" m="1" x="574"/>
        <item h="1" m="1" x="1463"/>
        <item h="1" m="1" x="629"/>
        <item h="1" m="1" x="1162"/>
        <item h="1" m="1" x="4940"/>
        <item h="1" m="1" x="2012"/>
        <item h="1" m="1" x="2586"/>
        <item h="1" m="1" x="7798"/>
        <item h="1" m="1" x="3014"/>
        <item h="1" m="1" x="6567"/>
        <item h="1" x="298"/>
        <item h="1" m="1" x="3100"/>
        <item h="1" m="1" x="532"/>
        <item h="1" m="1" x="3470"/>
        <item h="1" m="1" x="5850"/>
        <item h="1" m="1" x="2762"/>
        <item h="1" m="1" x="5983"/>
        <item h="1" m="1" x="7028"/>
        <item h="1" m="1" x="4358"/>
        <item h="1" m="1" x="2881"/>
        <item h="1" m="1" x="2243"/>
        <item h="1" m="1" x="5282"/>
        <item h="1" m="1" x="7260"/>
        <item h="1" m="1" x="5460"/>
        <item h="1" m="1" x="1665"/>
        <item h="1" m="1" x="956"/>
        <item h="1" m="1" x="5951"/>
        <item h="1" m="1" x="5995"/>
        <item h="1" m="1" x="2575"/>
        <item h="1" m="1" x="5670"/>
        <item h="1" m="1" x="939"/>
        <item h="1" m="1" x="4895"/>
        <item h="1" m="1" x="2506"/>
        <item h="1" m="1" x="1748"/>
        <item h="1" m="1" x="5459"/>
        <item h="1" m="1" x="733"/>
        <item h="1" m="1" x="7671"/>
        <item h="1" m="1" x="5138"/>
        <item h="1" m="1" x="2923"/>
        <item h="1" x="394"/>
        <item h="1" m="1" x="2377"/>
        <item h="1" m="1" x="3847"/>
        <item h="1" m="1" x="4176"/>
        <item h="1" m="1" x="2931"/>
        <item h="1" x="299"/>
        <item h="1" m="1" x="6381"/>
        <item h="1" m="1" x="2753"/>
        <item h="1" m="1" x="5875"/>
        <item h="1" x="373"/>
        <item h="1" m="1" x="3415"/>
        <item h="1" m="1" x="2136"/>
        <item h="1" m="1" x="5525"/>
        <item h="1" x="225"/>
        <item h="1" m="1" x="5932"/>
        <item h="1" x="274"/>
        <item h="1" m="1" x="1201"/>
        <item h="1" m="1" x="3488"/>
        <item h="1" m="1" x="7564"/>
        <item h="1" m="1" x="4491"/>
        <item h="1" m="1" x="4793"/>
        <item h="1" m="1" x="3273"/>
        <item h="1" m="1" x="4964"/>
        <item h="1" x="175"/>
        <item h="1" m="1" x="6395"/>
        <item h="1" m="1" x="6168"/>
        <item h="1" m="1" x="5657"/>
        <item h="1" m="1" x="6557"/>
        <item h="1" x="354"/>
        <item h="1" m="1" x="7334"/>
        <item h="1" m="1" x="6796"/>
        <item h="1" m="1" x="4239"/>
        <item h="1" m="1" x="3110"/>
        <item h="1" m="1" x="959"/>
        <item h="1" m="1" x="3533"/>
        <item h="1" m="1" x="1517"/>
        <item h="1" x="237"/>
        <item h="1" m="1" x="7814"/>
        <item h="1" m="1" x="7813"/>
        <item h="1" m="1" x="6892"/>
        <item h="1" m="1" x="5696"/>
        <item h="1" m="1" x="2766"/>
        <item h="1" m="1" x="6107"/>
        <item h="1" m="1" x="3471"/>
        <item h="1" m="1" x="7292"/>
        <item h="1" m="1" x="2859"/>
        <item h="1" m="1" x="5635"/>
        <item h="1" m="1" x="2228"/>
        <item h="1" m="1" x="2985"/>
        <item h="1" m="1" x="7004"/>
        <item h="1" m="1" x="6569"/>
        <item h="1" m="1" x="3010"/>
        <item h="1" m="1" x="2557"/>
        <item h="1" m="1" x="5688"/>
        <item h="1" m="1" x="2918"/>
        <item h="1" m="1" x="6291"/>
        <item h="1" m="1" x="4751"/>
        <item h="1" m="1" x="5393"/>
        <item h="1" m="1" x="3399"/>
        <item h="1" m="1" x="807"/>
        <item h="1" m="1" x="3016"/>
        <item h="1" m="1" x="2707"/>
        <item h="1" m="1" x="5128"/>
        <item h="1" m="1" x="694"/>
        <item h="1" m="1" x="2954"/>
        <item h="1" m="1" x="5743"/>
        <item h="1" m="1" x="2287"/>
        <item h="1" x="303"/>
        <item h="1" m="1" x="7817"/>
        <item h="1" m="1" x="7818"/>
        <item h="1" m="1" x="7816"/>
        <item h="1" m="1" x="7815"/>
        <item h="1" m="1" x="7825"/>
        <item h="1" m="1" x="7822"/>
        <item h="1" m="1" x="1065"/>
        <item h="1" m="1" x="4902"/>
        <item h="1" x="289"/>
        <item h="1" m="1" x="936"/>
        <item h="1" m="1" x="2950"/>
        <item h="1" m="1" x="5829"/>
        <item h="1" m="1" x="4244"/>
        <item h="1" x="370"/>
        <item h="1" m="1" x="7823"/>
        <item h="1" m="1" x="7819"/>
        <item h="1" m="1" x="7820"/>
        <item h="1" m="1" x="7821"/>
        <item h="1" m="1" x="4181"/>
        <item h="1" m="1" x="5137"/>
        <item h="1" m="1" x="6326"/>
        <item h="1" m="1" x="1098"/>
        <item h="1" m="1" x="2513"/>
        <item h="1" m="1" x="7566"/>
        <item h="1" m="1" x="6998"/>
        <item h="1" m="1" x="5259"/>
        <item h="1" m="1" x="7824"/>
        <item h="1" m="1" x="7836"/>
        <item h="1" m="1" x="7832"/>
        <item h="1" m="1" x="7834"/>
        <item h="1" m="1" x="7833"/>
        <item h="1" m="1" x="7835"/>
        <item h="1" m="1" x="7829"/>
        <item h="1" m="1" x="7838"/>
        <item h="1" m="1" x="7830"/>
        <item h="1" m="1" x="7831"/>
        <item h="1" m="1" x="7799"/>
        <item h="1" m="1" x="7841"/>
        <item h="1" m="1" x="7837"/>
        <item h="1" m="1" x="7827"/>
        <item h="1" m="1" x="7826"/>
        <item h="1" m="1" x="7828"/>
        <item h="1" m="1" x="7839"/>
        <item h="1" m="1" x="7840"/>
        <item h="1" m="1" x="7842"/>
        <item h="1" m="1" x="5266"/>
        <item h="1" m="1" x="7692"/>
        <item h="1" m="1" x="7255"/>
        <item h="1" m="1" x="7178"/>
        <item h="1" m="1" x="2756"/>
        <item h="1" m="1" x="4845"/>
        <item h="1" m="1" x="5999"/>
        <item h="1" m="1" x="2767"/>
        <item h="1" m="1" x="7523"/>
        <item h="1" m="1" x="7332"/>
        <item h="1" m="1" x="7378"/>
        <item h="1" m="1" x="1403"/>
        <item h="1" m="1" x="7567"/>
        <item h="1" m="1" x="7339"/>
        <item h="1" m="1" x="6139"/>
        <item h="1" m="1" x="6054"/>
        <item h="1" m="1" x="5563"/>
        <item h="1" m="1" x="7938"/>
        <item h="1" m="1" x="6636"/>
        <item h="1" m="1" x="7906"/>
        <item h="1" m="1" x="7657"/>
        <item h="1" m="1" x="6781"/>
        <item h="1" m="1" x="7017"/>
        <item h="1" m="1" x="7340"/>
        <item h="1" m="1" x="6584"/>
        <item h="1" m="1" x="5927"/>
        <item h="1" m="1" x="7958"/>
        <item h="1" m="1" x="7843"/>
        <item h="1" m="1" x="7336"/>
        <item h="1" m="1" x="6173"/>
        <item h="1" m="1" x="2732"/>
        <item h="1" m="1" x="3300"/>
        <item h="1" m="1" x="7241"/>
        <item h="1" m="1" x="6030"/>
        <item h="1" m="1" x="5744"/>
        <item h="1" m="1" x="1265"/>
        <item h="1" m="1" x="837"/>
        <item h="1" m="1" x="1056"/>
        <item h="1" m="1" x="5449"/>
        <item h="1" m="1" x="2939"/>
        <item h="1" m="1" x="2362"/>
        <item h="1" m="1" x="1270"/>
        <item h="1" m="1" x="2382"/>
        <item h="1" m="1" x="4669"/>
        <item h="1" m="1" x="7569"/>
        <item h="1" m="1" x="3065"/>
        <item h="1" m="1" x="2151"/>
        <item h="1" m="1" x="3177"/>
        <item h="1" m="1" x="2565"/>
        <item h="1" m="1" x="7997"/>
        <item h="1" m="1" x="4268"/>
        <item h="1" x="359"/>
        <item h="1" x="93"/>
        <item h="1" x="134"/>
        <item h="1" m="1" x="820"/>
        <item h="1" m="1" x="482"/>
        <item h="1" m="1" x="6515"/>
        <item h="1" m="1" x="2145"/>
        <item h="1" m="1" x="1060"/>
        <item h="1" m="1" x="7740"/>
        <item h="1" m="1" x="5015"/>
        <item h="1" m="1" x="7305"/>
        <item h="1" m="1" x="510"/>
        <item h="1" m="1" x="5131"/>
        <item h="1" m="1" x="7644"/>
        <item h="1" m="1" x="520"/>
        <item h="1" m="1" x="7796"/>
        <item h="1" m="1" x="7576"/>
        <item h="1" m="1" x="7373"/>
        <item h="1" m="1" x="963"/>
        <item h="1" m="1" x="471"/>
        <item h="1" m="1" x="3182"/>
        <item h="1" m="1" x="1187"/>
        <item h="1" m="1" x="7571"/>
        <item h="1" m="1" x="5129"/>
        <item h="1" m="1" x="5998"/>
        <item h="1" m="1" x="6114"/>
        <item h="1" m="1" x="6120"/>
        <item h="1" m="1" x="744"/>
        <item h="1" m="1" x="2913"/>
        <item h="1" m="1" x="5124"/>
        <item h="1" m="1" x="509"/>
        <item h="1" m="1" x="4789"/>
        <item h="1" m="1" x="4397"/>
        <item h="1" m="1" x="5837"/>
        <item h="1" m="1" x="3301"/>
        <item h="1" m="1" x="6553"/>
        <item h="1" m="1" x="1396"/>
        <item h="1" m="1" x="4265"/>
        <item h="1" m="1" x="4173"/>
        <item h="1" m="1" x="473"/>
        <item h="1" m="1" x="481"/>
        <item h="1" m="1" x="7012"/>
        <item h="1" m="1" x="4078"/>
        <item h="1" m="1" x="3190"/>
        <item h="1" m="1" x="2026"/>
        <item h="1" m="1" x="7475"/>
        <item h="1" m="1" x="7313"/>
        <item h="1" m="1" x="4975"/>
        <item h="1" m="1" x="5426"/>
        <item h="1" m="1" x="3078"/>
        <item h="1" m="1" x="4823"/>
        <item h="1" m="1" x="7464"/>
        <item h="1" m="1" x="5265"/>
        <item h="1" m="1" x="4422"/>
        <item h="1" m="1" x="6276"/>
        <item h="1" m="1" x="7187"/>
        <item h="1" m="1" x="7565"/>
        <item h="1" m="1" x="5272"/>
        <item h="1" m="1" x="6337"/>
        <item h="1" m="1" x="2027"/>
        <item h="1" m="1" x="2374"/>
        <item h="1" m="1" x="1063"/>
        <item h="1" m="1" x="5669"/>
        <item h="1" m="1" x="7885"/>
        <item h="1" m="1" x="3003"/>
        <item h="1" m="1" x="5360"/>
        <item h="1" m="1" x="6058"/>
        <item h="1" m="1" x="3108"/>
        <item h="1" m="1" x="5700"/>
        <item h="1" x="87"/>
        <item h="1" m="1" x="7573"/>
        <item h="1" x="91"/>
        <item h="1" m="1" x="4556"/>
        <item h="1" m="1" x="7157"/>
        <item h="1" m="1" x="5628"/>
        <item h="1" m="1" x="812"/>
        <item h="1" m="1" x="7511"/>
        <item h="1" m="1" x="4953"/>
        <item h="1" m="1" x="4862"/>
        <item h="1" m="1" x="5065"/>
        <item h="1" m="1" x="7561"/>
        <item h="1" m="1" x="6318"/>
        <item h="1" m="1" x="4710"/>
        <item h="1" m="1" x="7960"/>
        <item h="1" m="1" x="2870"/>
        <item h="1" x="137"/>
        <item h="1" m="1" x="4104"/>
        <item h="1" m="1" x="7897"/>
        <item h="1" m="1" x="6303"/>
        <item h="1" m="1" x="4545"/>
        <item h="1" x="92"/>
        <item h="1" m="1" x="3849"/>
        <item h="1" m="1" x="5939"/>
        <item h="1" m="1" x="3994"/>
        <item h="1" m="1" x="2152"/>
        <item h="1" m="1" x="4189"/>
        <item h="1" m="1" x="7513"/>
        <item h="1" x="342"/>
        <item h="1" m="1" x="4461"/>
        <item h="1" m="1" x="4456"/>
        <item h="1" m="1" x="2524"/>
        <item h="1" m="1" x="7794"/>
        <item h="1" m="1" x="1607"/>
        <item h="1" m="1" x="1534"/>
        <item h="1" m="1" x="5795"/>
        <item h="1" m="1" x="7316"/>
        <item h="1" x="108"/>
        <item h="1" m="1" x="5804"/>
        <item h="1" m="1" x="3927"/>
        <item h="1" m="1" x="7372"/>
        <item h="1" m="1" x="2916"/>
        <item h="1" m="1" x="1400"/>
        <item h="1" m="1" x="3324"/>
        <item h="1" m="1" x="5765"/>
        <item h="1" m="1" x="2956"/>
        <item h="1" m="1" x="3929"/>
        <item h="1" m="1" x="1773"/>
        <item h="1" m="1" x="775"/>
        <item h="1" m="1" x="4367"/>
        <item h="1" m="1" x="6104"/>
        <item h="1" m="1" x="5258"/>
        <item h="1" m="1" x="4603"/>
        <item h="1" m="1" x="7650"/>
        <item h="1" m="1" x="4399"/>
        <item h="1" m="1" x="1062"/>
        <item h="1" m="1" x="4068"/>
        <item h="1" m="1" x="1121"/>
        <item h="1" m="1" x="7092"/>
        <item h="1" m="1" x="7427"/>
        <item h="1" m="1" x="7856"/>
        <item h="1" m="1" x="7409"/>
        <item h="1" m="1" x="5366"/>
        <item h="1" m="1" x="5086"/>
        <item h="1" m="1" x="4812"/>
        <item h="1" m="1" x="7860"/>
        <item h="1" m="1" x="6864"/>
        <item h="1" m="1" x="7849"/>
        <item h="1" m="1" x="3824"/>
        <item h="1" m="1" x="7399"/>
        <item h="1" m="1" x="7448"/>
        <item h="1" m="1" x="2882"/>
        <item h="1" m="1" x="1532"/>
        <item h="1" m="1" x="1225"/>
        <item h="1" m="1" x="7470"/>
        <item h="1" m="1" x="7937"/>
        <item h="1" m="1" x="5533"/>
        <item h="1" m="1" x="2493"/>
        <item h="1" m="1" x="5241"/>
        <item h="1" m="1" x="7848"/>
        <item h="1" m="1" x="7412"/>
        <item h="1" m="1" x="7413"/>
        <item h="1" m="1" x="7414"/>
        <item h="1" m="1" x="7847"/>
        <item h="1" m="1" x="7812"/>
        <item h="1" m="1" x="7417"/>
        <item h="1" m="1" x="7932"/>
        <item h="1" m="1" x="4440"/>
        <item h="1" m="1" x="4441"/>
        <item h="1" m="1" x="3855"/>
        <item h="1" m="1" x="5589"/>
        <item h="1" m="1" x="3398"/>
        <item h="1" m="1" x="4538"/>
        <item h="1" m="1" x="966"/>
        <item h="1" m="1" x="6174"/>
        <item h="1" m="1" x="2721"/>
        <item h="1" m="1" x="7278"/>
        <item h="1" m="1" x="4018"/>
        <item h="1" m="1" x="7743"/>
        <item h="1" m="1" x="4400"/>
        <item h="1" m="1" x="7927"/>
        <item h="1" m="1" x="1585"/>
        <item h="1" m="1" x="7768"/>
        <item h="1" m="1" x="6913"/>
        <item h="1" m="1" x="2947"/>
        <item h="1" m="1" x="5365"/>
        <item h="1" m="1" x="2381"/>
        <item h="1" m="1" x="3803"/>
        <item h="1" m="1" x="5156"/>
        <item h="1" m="1" x="5277"/>
        <item h="1" m="1" x="5055"/>
        <item h="1" m="1" x="6206"/>
        <item h="1" m="1" x="5302"/>
        <item h="1" m="1" x="5054"/>
        <item h="1" m="1" x="2869"/>
        <item h="1" m="1" x="5262"/>
        <item h="1" m="1" x="6175"/>
        <item h="1" m="1" x="6858"/>
        <item h="1" m="1" x="5436"/>
        <item h="1" m="1" x="7532"/>
        <item h="1" m="1" x="4827"/>
        <item h="1" m="1" x="4178"/>
        <item h="1" m="1" x="5312"/>
        <item h="1" m="1" x="3487"/>
        <item h="1" m="1" x="2691"/>
        <item h="1" m="1" x="2559"/>
        <item h="1" m="1" x="6459"/>
        <item h="1" m="1" x="4950"/>
        <item h="1" m="1" x="2523"/>
        <item h="1" m="1" x="7338"/>
        <item h="1" m="1" x="3159"/>
        <item h="1" m="1" x="1029"/>
        <item h="1" m="1" x="3376"/>
        <item h="1" m="1" x="604"/>
        <item h="1" m="1" x="5814"/>
        <item h="1" m="1" x="5222"/>
        <item h="1" m="1" x="3210"/>
        <item h="1" m="1" x="3223"/>
        <item h="1" m="1" x="7439"/>
        <item h="1" m="1" x="3212"/>
        <item h="1" m="1" x="5774"/>
        <item h="1" m="1" x="6112"/>
        <item h="1" m="1" x="2981"/>
        <item h="1" m="1" x="4119"/>
        <item h="1" x="165"/>
        <item h="1" m="1" x="5289"/>
        <item h="1" m="1" x="7945"/>
        <item h="1" m="1" x="3764"/>
        <item h="1" m="1" x="4772"/>
        <item h="1" m="1" x="3307"/>
        <item h="1" m="1" x="6380"/>
        <item h="1" m="1" x="3666"/>
        <item h="1" m="1" x="5510"/>
        <item h="1" m="1" x="7124"/>
        <item h="1" m="1" x="7845"/>
        <item h="1" m="1" x="4977"/>
        <item h="1" m="1" x="5478"/>
        <item h="1" m="1" x="6738"/>
        <item h="1" m="1" x="7855"/>
        <item h="1" m="1" x="3832"/>
        <item h="1" m="1" x="3827"/>
        <item h="1" m="1" x="7520"/>
        <item h="1" m="1" x="5047"/>
        <item h="1" m="1" x="2768"/>
        <item h="1" m="1" x="7401"/>
        <item h="1" m="1" x="7402"/>
        <item h="1" m="1" x="1587"/>
        <item h="1" m="1" x="7939"/>
        <item h="1" m="1" x="7572"/>
        <item h="1" m="1" x="1933"/>
        <item h="1" m="1" x="5760"/>
        <item h="1" m="1" x="6207"/>
        <item h="1" m="1" x="2654"/>
        <item h="1" m="1" x="7308"/>
        <item h="1" m="1" x="7307"/>
        <item h="1" m="1" x="6296"/>
        <item h="1" m="1" x="533"/>
        <item h="1" m="1" x="7482"/>
        <item h="1" m="1" x="4391"/>
        <item h="1" m="1" x="4388"/>
        <item h="1" m="1" x="3762"/>
        <item h="1" m="1" x="5834"/>
        <item h="1" m="1" x="5860"/>
        <item h="1" m="1" x="1663"/>
        <item h="1" m="1" x="2044"/>
        <item h="1" m="1" x="7141"/>
        <item h="1" m="1" x="7751"/>
        <item h="1" m="1" x="1249"/>
        <item h="1" m="1" x="7026"/>
        <item h="1" m="1" x="1027"/>
        <item h="1" m="1" x="6186"/>
        <item h="1" m="1" x="6654"/>
        <item h="1" m="1" x="4822"/>
        <item h="1" m="1" x="7422"/>
        <item h="1" m="1" x="3339"/>
        <item h="1" m="1" x="5925"/>
        <item h="1" m="1" x="2712"/>
        <item h="1" m="1" x="7887"/>
        <item h="1" m="1" x="4885"/>
        <item h="1" m="1" x="7664"/>
        <item h="1" m="1" x="6304"/>
        <item h="1" m="1" x="1399"/>
        <item h="1" m="1" x="5276"/>
        <item h="1" m="1" x="7563"/>
        <item h="1" m="1" x="6647"/>
        <item h="1" m="1" x="3114"/>
        <item h="1" m="1" x="5232"/>
        <item h="1" m="1" x="6201"/>
        <item h="1" m="1" x="3178"/>
        <item h="1" m="1" x="7237"/>
        <item h="1" m="1" x="1028"/>
        <item h="1" m="1" x="7766"/>
        <item h="1" m="1" x="6941"/>
        <item h="1" m="1" x="4708"/>
        <item h="1" m="1" x="3469"/>
        <item h="1" m="1" x="7103"/>
        <item h="1" m="1" x="5870"/>
        <item h="1" m="1" x="3179"/>
        <item h="1" m="1" x="7850"/>
        <item h="1" m="1" x="7811"/>
        <item h="1" m="1" x="4828"/>
        <item h="1" m="1" x="1031"/>
        <item h="1" m="1" x="5270"/>
        <item h="1" m="1" x="7940"/>
        <item h="1" m="1" x="7949"/>
        <item h="1" m="1" x="7941"/>
        <item h="1" m="1" x="6309"/>
        <item h="1" m="1" x="5852"/>
        <item h="1" m="1" x="7008"/>
        <item h="1" m="1" x="5487"/>
        <item h="1" m="1" x="7942"/>
        <item h="1" m="1" x="3653"/>
        <item h="1" x="26"/>
        <item h="1" m="1" x="2302"/>
        <item h="1" m="1" x="7508"/>
        <item h="1" m="1" x="7574"/>
        <item h="1" m="1" x="6433"/>
        <item h="1" m="1" x="7947"/>
        <item h="1" m="1" x="7179"/>
        <item h="1" m="1" x="7630"/>
        <item h="1" m="1" x="4670"/>
        <item h="1" m="1" x="6125"/>
        <item h="1" m="1" x="4260"/>
        <item h="1" x="25"/>
        <item h="1" m="1" x="2101"/>
        <item h="1" m="1" x="3953"/>
        <item h="1" m="1" x="7854"/>
        <item h="1" m="1" x="7853"/>
        <item h="1" m="1" x="7859"/>
        <item h="1" m="1" x="7857"/>
        <item h="1" m="1" x="7846"/>
        <item h="1" m="1" x="7662"/>
        <item h="1" m="1" x="7749"/>
        <item h="1" m="1" x="7629"/>
        <item h="1" m="1" x="7950"/>
        <item h="1" m="1" x="7944"/>
        <item h="1" m="1" x="7063"/>
        <item h="1" m="1" x="7851"/>
        <item h="1" m="1" x="7948"/>
        <item h="1" m="1" x="7943"/>
        <item h="1" m="1" x="7963"/>
        <item h="1" m="1" x="967"/>
        <item h="1" m="1" x="7590"/>
        <item h="1" m="1" x="7146"/>
        <item h="1" m="1" x="7752"/>
        <item h="1" m="1" x="6563"/>
        <item h="1" m="1" x="4883"/>
        <item h="1" m="1" x="4212"/>
        <item h="1" m="1" x="7239"/>
        <item h="1" m="1" x="7867"/>
        <item h="1" m="1" x="6693"/>
        <item h="1" m="1" x="7844"/>
        <item h="1" m="1" x="6749"/>
        <item h="1" m="1" x="6624"/>
        <item h="1" m="1" x="7583"/>
        <item h="1" m="1" x="7584"/>
        <item h="1" m="1" x="6331"/>
        <item h="1" m="1" x="6635"/>
        <item h="1" m="1" x="4859"/>
        <item h="1" m="1" x="7954"/>
        <item h="1" m="1" x="7678"/>
        <item h="1" m="1" x="7871"/>
        <item h="1" m="1" x="7872"/>
        <item h="1" m="1" x="7852"/>
        <item h="1" m="1" x="1080"/>
        <item h="1" m="1" x="7750"/>
        <item h="1" m="1" x="6732"/>
        <item h="1" m="1" x="7093"/>
        <item h="1" m="1" x="7537"/>
        <item h="1" m="1" x="7959"/>
        <item h="1" m="1" x="7869"/>
        <item h="1" m="1" x="2028"/>
        <item h="1" m="1" x="7386"/>
        <item h="1" m="1" x="7152"/>
        <item h="1" m="1" x="7387"/>
        <item h="1" m="1" x="6727"/>
        <item h="1" m="1" x="5859"/>
        <item h="1" m="1" x="6865"/>
        <item h="1" m="1" x="7659"/>
        <item h="1" m="1" x="7660"/>
        <item h="1" m="1" x="7661"/>
        <item h="1" m="1" x="7432"/>
        <item h="1" m="1" x="7666"/>
        <item h="1" m="1" x="7663"/>
        <item h="1" m="1" x="7446"/>
        <item h="1" m="1" x="7447"/>
        <item h="1" m="1" x="7449"/>
        <item h="1" m="1" x="7440"/>
        <item h="1" m="1" x="7480"/>
        <item h="1" m="1" x="7863"/>
        <item h="1" m="1" x="5134"/>
        <item h="1" m="1" x="7497"/>
        <item h="1" x="143"/>
        <item h="1" m="1" x="6966"/>
        <item h="1" m="1" x="7753"/>
        <item h="1" m="1" x="7623"/>
        <item h="1" m="1" x="7521"/>
        <item h="1" m="1" x="7624"/>
        <item h="1" m="1" x="7742"/>
        <item h="1" m="1" x="7625"/>
        <item h="1" m="1" x="7693"/>
        <item h="1" m="1" x="7694"/>
        <item h="1" m="1" x="6745"/>
        <item h="1" m="1" x="7744"/>
        <item h="1" m="1" x="7581"/>
        <item h="1" m="1" x="6632"/>
        <item h="1" m="1" x="7193"/>
        <item h="1" m="1" x="5096"/>
        <item h="1" m="1" x="6703"/>
        <item h="1" m="1" x="6731"/>
        <item h="1" m="1" x="7858"/>
        <item h="1" m="1" x="6099"/>
        <item h="1" m="1" x="6628"/>
        <item h="1" m="1" x="7665"/>
        <item h="1" m="1" x="7870"/>
        <item h="1" m="1" x="7864"/>
        <item h="1" m="1" x="7542"/>
        <item h="1" m="1" x="7952"/>
        <item h="1" m="1" x="7613"/>
        <item h="1" m="1" x="6750"/>
        <item h="1" m="1" x="7450"/>
        <item h="1" m="1" x="7221"/>
        <item h="1" m="1" x="7962"/>
        <item h="1" m="1" x="7754"/>
        <item h="1" m="1" x="7755"/>
        <item h="1" m="1" x="7436"/>
        <item h="1" m="1" x="7437"/>
        <item h="1" m="1" x="7957"/>
        <item h="1" m="1" x="7865"/>
        <item h="1" m="1" x="7953"/>
        <item h="1" m="1" x="5649"/>
        <item h="1" m="1" x="7956"/>
        <item h="1" m="1" x="7866"/>
        <item h="1" m="1" x="7961"/>
        <item h="1" m="1" x="7868"/>
        <item h="1" m="1" x="7861"/>
        <item h="1" m="1" x="7951"/>
        <item h="1" m="1" x="7757"/>
        <item h="1" m="1" x="7536"/>
        <item h="1" m="1" x="7756"/>
        <item h="1" m="1" x="7612"/>
        <item h="1" x="368"/>
        <item h="1" m="1" x="7461"/>
        <item h="1" m="1" x="7955"/>
        <item h="1" m="1" x="7462"/>
        <item h="1" m="1" x="7463"/>
        <item h="1" m="1" x="7389"/>
        <item h="1" m="1" x="7477"/>
        <item h="1" m="1" x="7862"/>
        <item h="1" m="1" x="7764"/>
        <item h="1" m="1" x="7499"/>
        <item h="1" m="1" x="7391"/>
        <item h="1" m="1" x="479"/>
        <item h="1" m="1" x="2364"/>
        <item h="1" m="1" x="5035"/>
        <item h="1" m="1" x="1717"/>
        <item h="1" m="1" x="7509"/>
        <item h="1" m="1" x="7510"/>
        <item h="1" m="1" x="7611"/>
        <item h="1" m="1" x="6681"/>
        <item h="1" m="1" x="7479"/>
        <item h="1" m="1" x="7238"/>
        <item h="1" m="1" x="7667"/>
        <item h="1" m="1" x="7394"/>
        <item h="1" m="1" x="7303"/>
        <item h="1" m="1" x="7700"/>
        <item h="1" m="1" x="7701"/>
        <item h="1" m="1" x="7747"/>
        <item h="1" m="1" x="7748"/>
        <item h="1" m="1" x="7745"/>
        <item h="1" m="1" x="7746"/>
        <item h="1" m="1" x="7946"/>
        <item h="1" m="1" x="7735"/>
        <item h="1" m="1" x="6683"/>
        <item h="1" m="1" x="7710"/>
        <item h="1" m="1" x="7964"/>
        <item h="1" m="1" x="7965"/>
        <item h="1" m="1" x="7873"/>
        <item h="1" m="1" x="7874"/>
        <item h="1" m="1" x="7429"/>
        <item h="1" x="169"/>
        <item h="1" m="1" x="7498"/>
        <item h="1" m="1" x="7158"/>
        <item h="1" m="1" x="7159"/>
        <item h="1" m="1" x="7160"/>
        <item h="1" m="1" x="826"/>
        <item h="1" m="1" x="7966"/>
        <item h="1" m="1" x="7967"/>
        <item h="1" m="1" x="7968"/>
        <item h="1" m="1" x="7758"/>
        <item h="1" m="1" x="7969"/>
        <item h="1" m="1" x="7970"/>
        <item h="1" m="1" x="7971"/>
        <item h="1" m="1" x="7972"/>
        <item h="1" m="1" x="7973"/>
        <item h="1" m="1" x="7974"/>
        <item h="1" m="1" x="7975"/>
        <item h="1" m="1" x="7976"/>
        <item h="1" m="1" x="7977"/>
        <item h="1" m="1" x="7978"/>
        <item h="1" m="1" x="7979"/>
        <item h="1" m="1" x="7980"/>
        <item h="1" m="1" x="7981"/>
        <item h="1" m="1" x="7982"/>
        <item h="1" m="1" x="7983"/>
        <item h="1" m="1" x="7984"/>
        <item h="1" m="1" x="7985"/>
        <item h="1" m="1" x="7880"/>
        <item h="1" m="1" x="7882"/>
        <item h="1" m="1" x="7883"/>
        <item h="1" m="1" x="7881"/>
        <item h="1" m="1" x="7896"/>
        <item h="1" m="1" x="7899"/>
        <item h="1" m="1" x="7900"/>
        <item h="1" m="1" x="7472"/>
        <item h="1" m="1" x="7898"/>
        <item h="1" m="1" x="7893"/>
        <item h="1" m="1" x="7476"/>
        <item h="1" m="1" x="7220"/>
        <item h="1" m="1" x="7986"/>
        <item h="1" m="1" x="7987"/>
        <item h="1" m="1" x="7988"/>
        <item h="1" m="1" x="7989"/>
        <item h="1" m="1" x="5469"/>
        <item h="1" m="1" x="7990"/>
        <item h="1" m="1" x="7610"/>
        <item h="1" m="1" x="7608"/>
        <item h="1" m="1" x="7614"/>
        <item h="1" m="1" x="7609"/>
        <item h="1" m="1" x="7633"/>
        <item h="1" m="1" x="7991"/>
        <item h="1" m="1" x="7992"/>
        <item h="1" m="1" x="7993"/>
        <item h="1" m="1" x="7994"/>
        <item h="1" m="1" x="4976"/>
        <item h="1" m="1" x="7995"/>
        <item h="1" m="1" x="7996"/>
        <item h="1" m="1" x="7907"/>
        <item h="1" m="1" x="7909"/>
        <item h="1" m="1" x="7998"/>
        <item h="1" m="1" x="7999"/>
        <item h="1" x="366"/>
        <item h="1" m="1" x="7913"/>
        <item h="1" m="1" x="7759"/>
        <item h="1" m="1" x="6651"/>
        <item h="1" m="1" x="4952"/>
        <item h="1" m="1" x="7914"/>
        <item h="1" m="1" x="7763"/>
        <item h="1" m="1" x="1120"/>
        <item h="1" m="1" x="6774"/>
        <item h="1" m="1" x="6589"/>
        <item h="1" m="1" x="3294"/>
        <item h="1" m="1" x="484"/>
        <item h="1" m="1" x="7218"/>
        <item h="1" m="1" x="6663"/>
        <item h="1" m="1" x="7216"/>
        <item h="1" m="1" x="7217"/>
        <item h="1" m="1" x="7296"/>
        <item h="1" m="1" x="7138"/>
        <item h="1" m="1" x="7765"/>
        <item h="1" m="1" x="7767"/>
        <item h="1" m="1" x="7875"/>
        <item h="1" m="1" x="7419"/>
        <item h="1" m="1" x="7420"/>
        <item h="1" m="1" x="7876"/>
        <item h="1" m="1" x="7877"/>
        <item h="1" m="1" x="7878"/>
        <item h="1" m="1" x="7879"/>
        <item h="1" m="1" x="7774"/>
        <item h="1" m="1" x="7884"/>
        <item h="1" m="1" x="7886"/>
        <item h="1" m="1" x="7888"/>
        <item h="1" m="1" x="7889"/>
        <item h="1" m="1" x="7890"/>
        <item h="1" m="1" x="7891"/>
        <item h="1" m="1" x="5685"/>
        <item h="1" m="1" x="7892"/>
        <item h="1" m="1" x="7894"/>
        <item h="1" m="1" x="7895"/>
        <item h="1" m="1" x="7901"/>
        <item h="1" m="1" x="7902"/>
        <item h="1" m="1" x="620"/>
        <item h="1" m="1" x="2834"/>
        <item h="1" m="1" x="7904"/>
        <item h="1" m="1" x="7514"/>
        <item h="1" m="1" x="7384"/>
        <item h="1" m="1" x="7626"/>
        <item h="1" m="1" x="7280"/>
        <item h="1" m="1" x="7905"/>
        <item h="1" m="1" x="1072"/>
        <item h="1" m="1" x="7908"/>
        <item h="1" m="1" x="3434"/>
        <item h="1" m="1" x="7910"/>
        <item h="1" m="1" x="7113"/>
        <item h="1" m="1" x="6658"/>
        <item h="1" m="1" x="639"/>
        <item h="1" m="1" x="7728"/>
        <item h="1" m="1" x="7760"/>
        <item h="1" m="1" x="7761"/>
        <item h="1" m="1" x="7911"/>
        <item h="1" m="1" x="7912"/>
        <item h="1" m="1" x="6807"/>
        <item h="1" m="1" x="446"/>
        <item h="1" m="1" x="6671"/>
        <item h="1" m="1" x="7762"/>
        <item h="1" m="1" x="6670"/>
        <item h="1" m="1" x="6675"/>
        <item h="1" m="1" x="6679"/>
        <item h="1" m="1" x="7915"/>
        <item h="1" m="1" x="7916"/>
        <item h="1" m="1" x="976"/>
        <item h="1" m="1" x="7917"/>
        <item h="1" m="1" x="7918"/>
        <item h="1" m="1" x="7919"/>
        <item h="1" m="1" x="7920"/>
        <item h="1" m="1" x="7921"/>
        <item h="1" m="1" x="5803"/>
        <item h="1" m="1" x="7922"/>
        <item h="1" m="1" x="5942"/>
        <item h="1" m="1" x="3868"/>
        <item h="1" m="1" x="7923"/>
        <item h="1" m="1" x="7491"/>
        <item h="1" m="1" x="7492"/>
        <item h="1" m="1" x="7769"/>
        <item h="1" m="1" x="7924"/>
        <item h="1" m="1" x="7444"/>
        <item h="1" m="1" x="7925"/>
        <item h="1" m="1" x="7926"/>
        <item h="1" m="1" x="7627"/>
        <item h="1" m="1" x="7741"/>
        <item h="1" m="1" x="7688"/>
        <item h="1" m="1" x="7928"/>
        <item h="1" m="1" x="7929"/>
        <item h="1" m="1" x="1889"/>
        <item h="1" m="1" x="6643"/>
        <item h="1" m="1" x="2695"/>
        <item h="1" m="1" x="7930"/>
        <item h="1" m="1" x="6673"/>
        <item h="1" m="1" x="6676"/>
        <item h="1" m="1" x="6677"/>
        <item h="1" m="1" x="6707"/>
        <item h="1" m="1" x="7931"/>
        <item h="1" m="1" x="4385"/>
        <item h="1" m="1" x="6694"/>
        <item h="1" m="1" x="7789"/>
        <item h="1" m="1" x="6726"/>
        <item h="1" m="1" x="7792"/>
        <item h="1" m="1" x="7933"/>
        <item h="1" m="1" x="7934"/>
        <item h="1" m="1" x="7935"/>
        <item h="1" m="1" x="6748"/>
        <item h="1" m="1" x="7936"/>
        <item h="1" m="1" x="7349"/>
        <item h="1" m="1" x="7428"/>
        <item h="1" m="1" x="6900"/>
        <item h="1" m="1" x="7398"/>
        <item h="1" m="1" x="6574"/>
        <item h="1" m="1" x="7494"/>
        <item h="1" m="1" x="7495"/>
        <item h="1" m="1" x="7770"/>
        <item h="1" m="1" x="7771"/>
        <item h="1" m="1" x="7032"/>
        <item h="1" m="1" x="7772"/>
        <item h="1" m="1" x="7773"/>
        <item h="1" m="1" x="7194"/>
        <item h="1" m="1" x="7775"/>
        <item h="1" m="1" x="7776"/>
        <item h="1" m="1" x="7458"/>
        <item h="1" m="1" x="7459"/>
        <item h="1" m="1" x="7460"/>
        <item h="1" m="1" x="7453"/>
        <item h="1" m="1" x="7454"/>
        <item h="1" m="1" x="7455"/>
        <item h="1" m="1" x="7456"/>
        <item h="1" m="1" x="7457"/>
        <item h="1" m="1" x="7587"/>
        <item h="1" m="1" x="7056"/>
        <item h="1" m="1" x="7040"/>
        <item h="1" m="1" x="7469"/>
        <item h="1" m="1" x="7311"/>
        <item h="1" m="1" x="7312"/>
        <item h="1" m="1" x="7588"/>
        <item h="1" m="1" x="6818"/>
        <item h="1" m="1" x="7310"/>
        <item h="1" m="1" x="7481"/>
        <item h="1" m="1" x="7478"/>
        <item h="1" m="1" x="7777"/>
        <item h="1" x="118"/>
        <item h="1" m="1" x="7375"/>
        <item h="1" m="1" x="7778"/>
        <item h="1" m="1" x="7149"/>
        <item h="1" m="1" x="7383"/>
        <item h="1" m="1" x="7150"/>
        <item h="1" m="1" x="7385"/>
        <item h="1" m="1" x="7522"/>
        <item h="1" m="1" x="7512"/>
        <item h="1" m="1" x="7631"/>
        <item h="1" m="1" x="7628"/>
        <item h="1" m="1" x="7779"/>
        <item h="1" m="1" x="7690"/>
        <item h="1" m="1" x="7689"/>
        <item h="1" m="1" x="7535"/>
        <item h="1" m="1" x="7780"/>
        <item h="1" m="1" x="7672"/>
        <item h="1" m="1" x="6644"/>
        <item h="1" m="1" x="7726"/>
        <item h="1" m="1" x="6646"/>
        <item h="1" m="1" x="6649"/>
        <item h="1" m="1" x="6682"/>
        <item h="1" m="1" x="7019"/>
        <item h="1" m="1" x="7781"/>
        <item h="1" m="1" x="3706"/>
        <item h="1" m="1" x="7782"/>
        <item h="1" m="1" x="7783"/>
        <item h="1" m="1" x="7784"/>
        <item h="1" m="1" x="7785"/>
        <item h="1" m="1" x="6710"/>
        <item h="1" m="1" x="6819"/>
        <item h="1" m="1" x="7675"/>
        <item h="1" m="1" x="7579"/>
        <item h="1" m="1" x="6714"/>
        <item h="1" m="1" x="6664"/>
        <item h="1" m="1" x="7786"/>
        <item h="1" m="1" x="7787"/>
        <item h="1" m="1" x="7788"/>
        <item h="1" m="1" x="7790"/>
        <item h="1" m="1" x="7791"/>
        <item h="1" m="1" x="6721"/>
        <item h="1" m="1" x="6734"/>
        <item h="1" m="1" x="6740"/>
        <item h="1" m="1" x="6742"/>
        <item h="1" m="1" x="7793"/>
        <item h="1" m="1" x="7645"/>
        <item h="1" m="1" x="7795"/>
        <item h="1" m="1" x="7647"/>
        <item h="1" m="1" x="7719"/>
        <item h="1" m="1" x="7722"/>
        <item h="1" m="1" x="7720"/>
        <item h="1" m="1" x="7718"/>
        <item h="1" m="1" x="7717"/>
        <item h="1" m="1" x="7359"/>
        <item h="1" m="1" x="7024"/>
        <item h="1" m="1" x="7797"/>
        <item h="1" m="1" x="7496"/>
        <item h="1" m="1" x="3869"/>
        <item h="1" m="1" x="477"/>
        <item h="1" m="1" x="7452"/>
        <item h="1" m="1" x="7087"/>
        <item h="1" m="1" x="7683"/>
        <item h="1" m="1" x="6633"/>
        <item h="1" m="1" x="7800"/>
        <item h="1" m="1" x="7641"/>
        <item h="1" m="1" x="7705"/>
        <item h="1" m="1" x="790"/>
        <item h="1" m="1" x="7699"/>
        <item h="1" m="1" x="7801"/>
        <item h="1" m="1" x="7802"/>
        <item h="1" m="1" x="7803"/>
        <item h="1" m="1" x="7804"/>
        <item h="1" m="1" x="7805"/>
        <item h="1" m="1" x="7806"/>
        <item h="1" m="1" x="7697"/>
        <item h="1" m="1" x="7698"/>
        <item h="1" m="1" x="7807"/>
        <item h="1" m="1" x="7808"/>
        <item h="1" m="1" x="7721"/>
        <item h="1" m="1" x="7809"/>
        <item h="1" m="1" x="7810"/>
        <item h="1" m="1" x="7337"/>
        <item h="1" m="1" x="4344"/>
        <item h="1" m="1" x="7702"/>
        <item h="1" m="1" x="7703"/>
        <item h="1" m="1" x="7704"/>
        <item h="1" m="1" x="7539"/>
        <item h="1" m="1" x="7706"/>
        <item h="1" m="1" x="7707"/>
        <item h="1" m="1" x="7106"/>
        <item h="1" m="1" x="6963"/>
        <item h="1" m="1" x="6655"/>
        <item h="1" m="1" x="7543"/>
        <item h="1" m="1" x="7708"/>
        <item h="1" m="1" x="6972"/>
        <item h="1" m="1" x="7709"/>
        <item h="1" m="1" x="7711"/>
        <item h="1" m="1" x="7712"/>
        <item h="1" m="1" x="7713"/>
        <item h="1" m="1" x="7714"/>
        <item h="1" m="1" x="7715"/>
        <item h="1" m="1" x="7716"/>
        <item h="1" m="1" x="7723"/>
        <item h="1" m="1" x="7724"/>
        <item h="1" m="1" x="7557"/>
        <item h="1" m="1" x="7725"/>
        <item h="1" m="1" x="6984"/>
        <item h="1" m="1" x="6981"/>
        <item h="1" m="1" x="7137"/>
        <item h="1" m="1" x="6985"/>
        <item h="1" m="1" x="7560"/>
        <item h="1" m="1" x="7374"/>
        <item h="1" m="1" x="7156"/>
        <item h="1" m="1" x="7376"/>
        <item h="1" m="1" x="6744"/>
        <item h="1" m="1" x="7388"/>
        <item h="1" m="1" x="7562"/>
        <item h="1" m="1" x="7727"/>
        <item h="1" m="1" x="7397"/>
        <item h="1" m="1" x="7568"/>
        <item h="1" m="1" x="7393"/>
        <item h="1" m="1" x="7570"/>
        <item h="1" m="1" x="1402"/>
        <item h="1" m="1" x="7575"/>
        <item h="1" m="1" x="7580"/>
        <item h="1" m="1" x="7411"/>
        <item h="1" m="1" x="7403"/>
        <item h="1" m="1" x="7404"/>
        <item h="1" m="1" x="7418"/>
        <item h="1" m="1" x="7729"/>
        <item h="1" m="1" x="7730"/>
        <item h="1" m="1" x="7731"/>
        <item h="1" m="1" x="7288"/>
        <item h="1" m="1" x="7732"/>
        <item h="1" m="1" x="7733"/>
        <item h="1" m="1" x="7734"/>
        <item h="1" m="1" x="7287"/>
        <item h="1" m="1" x="7291"/>
        <item h="1" m="1" x="7658"/>
        <item h="1" m="1" x="7423"/>
        <item h="1" m="1" x="5429"/>
        <item h="1" m="1" x="7434"/>
        <item h="1" m="1" x="7585"/>
        <item h="1" m="1" x="6454"/>
        <item h="1" m="1" x="7736"/>
        <item h="1" m="1" x="7737"/>
        <item h="1" m="1" x="7198"/>
        <item h="1" m="1" x="7203"/>
        <item h="1" m="1" x="7451"/>
        <item h="1" m="1" x="7442"/>
        <item h="1" m="1" x="4592"/>
        <item h="1" m="1" x="7474"/>
        <item h="1" m="1" x="7062"/>
        <item h="1" m="1" x="6605"/>
        <item h="1" m="1" x="7483"/>
        <item h="1" m="1" x="6737"/>
        <item h="1" m="1" x="7738"/>
        <item h="1" m="1" x="7486"/>
        <item h="1" m="1" x="7739"/>
        <item h="1" m="1" x="7605"/>
        <item h="1" m="1" x="6672"/>
        <item h="1" m="1" x="7489"/>
        <item h="1" m="1" x="6955"/>
        <item h="1" m="1" x="6854"/>
        <item h="1" m="1" x="7500"/>
        <item h="1" m="1" x="7515"/>
        <item h="1" m="1" x="7616"/>
        <item h="1" m="1" x="7615"/>
        <item h="1" m="1" x="7086"/>
        <item h="1" m="1" x="7528"/>
        <item h="1" m="1" x="7684"/>
        <item h="1" m="1" x="7685"/>
        <item h="1" m="1" x="7686"/>
        <item h="1" m="1" x="7687"/>
        <item h="1" m="1" x="7534"/>
        <item h="1" m="1" x="2889"/>
        <item h="1" m="1" x="6829"/>
        <item h="1" m="1" x="7263"/>
        <item h="1" m="1" x="7094"/>
        <item h="1" m="1" x="7345"/>
        <item h="1" m="1" x="7346"/>
        <item h="1" m="1" x="4433"/>
        <item h="1" m="1" x="7642"/>
        <item h="1" m="1" x="6695"/>
        <item h="1" m="1" x="7351"/>
        <item h="1" m="1" x="7352"/>
        <item h="1" m="1" x="7353"/>
        <item h="1" m="1" x="7115"/>
        <item h="1" m="1" x="7550"/>
        <item h="1" m="1" x="7643"/>
        <item h="1" m="1" x="7350"/>
        <item h="1" m="1" x="7354"/>
        <item h="1" m="1" x="6665"/>
        <item h="1" m="1" x="6666"/>
        <item h="1" m="1" x="6639"/>
        <item h="1" m="1" x="6657"/>
        <item h="1" m="1" x="6967"/>
        <item h="1" m="1" x="7552"/>
        <item h="1" m="1" x="7646"/>
        <item h="1" m="1" x="7648"/>
        <item h="1" m="1" x="7649"/>
        <item h="1" m="1" x="7651"/>
        <item h="1" m="1" x="5914"/>
        <item h="1" m="1" x="6926"/>
        <item h="1" m="1" x="6927"/>
        <item h="1" m="1" x="7140"/>
        <item h="1" m="1" x="7652"/>
        <item h="1" m="1" x="7368"/>
        <item h="1" m="1" x="7283"/>
        <item h="1" m="1" x="7153"/>
        <item h="1" m="1" x="7381"/>
        <item h="1" m="1" x="7382"/>
        <item h="1" m="1" x="7001"/>
        <item h="1" m="1" x="1681"/>
        <item h="1" m="1" x="2480"/>
        <item h="1" m="1" x="7162"/>
        <item h="1" m="1" x="7174"/>
        <item h="1" m="1" x="7653"/>
        <item h="1" m="1" x="7654"/>
        <item h="1" m="1" x="7655"/>
        <item h="1" m="1" x="7656"/>
        <item h="1" m="1" x="1267"/>
        <item h="1" m="1" x="7582"/>
        <item h="1" m="1" x="6652"/>
        <item h="1" m="1" x="6653"/>
        <item h="1" m="1" x="5826"/>
        <item h="1" x="350"/>
        <item h="1" m="1" x="5945"/>
        <item h="1" m="1" x="7669"/>
        <item h="1" m="1" x="7670"/>
        <item h="1" m="1" x="7299"/>
        <item h="1" m="1" x="7435"/>
        <item h="1" m="1" x="6711"/>
        <item h="1" m="1" x="6715"/>
        <item h="1" m="1" x="6716"/>
        <item h="1" m="1" x="6717"/>
        <item h="1" m="1" x="7197"/>
        <item h="1" m="1" x="7443"/>
        <item h="1" m="1" x="7445"/>
        <item h="1" m="1" x="4044"/>
        <item h="1" m="1" x="7206"/>
        <item h="1" m="1" x="5613"/>
        <item h="1" m="1" x="7315"/>
        <item h="1" m="1" x="7041"/>
        <item h="1" m="1" x="7042"/>
        <item h="1" m="1" x="7314"/>
        <item h="1" m="1" x="6954"/>
        <item h="1" m="1" x="7219"/>
        <item h="1" m="1" x="7072"/>
        <item h="1" m="1" x="7601"/>
        <item h="1" m="1" x="7071"/>
        <item h="1" m="1" x="7602"/>
        <item h="1" m="1" x="6669"/>
        <item h="1" m="1" x="6713"/>
        <item h="1" m="1" x="7591"/>
        <item h="1" m="1" x="6678"/>
        <item h="1" m="1" x="7673"/>
        <item h="1" m="1" x="7674"/>
        <item h="1" m="1" x="7594"/>
        <item h="1" m="1" x="7595"/>
        <item h="1" m="1" x="5103"/>
        <item h="1" m="1" x="7676"/>
        <item h="1" m="1" x="7677"/>
        <item h="1" m="1" x="7680"/>
        <item h="1" m="1" x="7681"/>
        <item h="1" m="1" x="7682"/>
        <item h="1" m="1" x="7606"/>
        <item h="1" m="1" x="7507"/>
        <item h="1" m="1" x="7607"/>
        <item h="1" m="1" x="7632"/>
        <item h="1" m="1" x="7619"/>
        <item h="1" m="1" x="7524"/>
        <item h="1" m="1" x="7620"/>
        <item h="1" m="1" x="7621"/>
        <item h="1" m="1" x="7622"/>
        <item h="1" m="1" x="6914"/>
        <item h="1" m="1" x="7691"/>
        <item h="1" m="1" x="7695"/>
        <item h="1" m="1" x="7696"/>
        <item h="1" m="1" x="7095"/>
        <item h="1" m="1" x="7538"/>
        <item h="1" m="1" x="7540"/>
        <item h="1" m="1" x="7344"/>
        <item h="1" m="1" x="7541"/>
        <item h="1" m="1" x="7544"/>
        <item h="1" m="1" x="7545"/>
        <item h="1" m="1" x="7546"/>
        <item h="1" m="1" x="1991"/>
        <item h="1" m="1" x="7548"/>
        <item h="1" m="1" x="7549"/>
        <item h="1" m="1" x="7348"/>
        <item h="1" m="1" x="7551"/>
        <item h="1" m="1" x="6965"/>
        <item h="1" x="54"/>
        <item h="1" m="1" x="7553"/>
        <item h="1" m="1" x="7554"/>
        <item h="1" m="1" x="7555"/>
        <item h="1" m="1" x="7556"/>
        <item h="1" m="1" x="6925"/>
        <item h="1" m="1" x="7181"/>
        <item h="1" m="1" x="6986"/>
        <item h="1" m="1" x="5323"/>
        <item h="1" m="1" x="6027"/>
        <item h="1" m="1" x="7558"/>
        <item h="1" m="1" x="7559"/>
        <item h="1" m="1" x="6776"/>
        <item h="1" m="1" x="3763"/>
        <item h="1" m="1" x="7380"/>
        <item h="1" m="1" x="7154"/>
        <item h="1" m="1" x="7377"/>
        <item h="1" m="1" x="7379"/>
        <item h="1" m="1" x="5722"/>
        <item h="1" m="1" x="7168"/>
        <item h="1" m="1" x="7577"/>
        <item h="1" m="1" x="7578"/>
        <item h="1" m="1" x="7018"/>
        <item h="1" m="1" x="7415"/>
        <item h="1" m="1" x="7416"/>
        <item h="1" m="1" x="7405"/>
        <item h="1" m="1" x="7406"/>
        <item h="1" m="1" x="7407"/>
        <item h="1" m="1" x="7408"/>
        <item h="1" m="1" x="7421"/>
        <item h="1" m="1" x="7293"/>
        <item h="1" m="1" x="7302"/>
        <item h="1" m="1" x="7033"/>
        <item h="1" m="1" x="6708"/>
        <item h="1" m="1" x="6641"/>
        <item h="1" m="1" x="6953"/>
        <item h="1" m="1" x="5573"/>
        <item h="1" m="1" x="6952"/>
        <item h="1" m="1" x="7586"/>
        <item h="1" m="1" x="7441"/>
        <item h="1" m="1" x="7036"/>
        <item h="1" m="1" x="7037"/>
        <item h="1" m="1" x="7471"/>
        <item h="1" m="1" x="7473"/>
        <item h="1" m="1" x="7589"/>
        <item h="1" m="1" x="7592"/>
        <item h="1" m="1" x="7593"/>
        <item h="1" m="1" x="7596"/>
        <item h="1" m="1" x="7597"/>
        <item h="1" m="1" x="7598"/>
        <item h="1" m="1" x="7599"/>
        <item h="1" m="1" x="7328"/>
        <item h="1" m="1" x="7600"/>
        <item h="1" m="1" x="7603"/>
        <item h="1" m="1" x="6153"/>
        <item h="1" m="1" x="6208"/>
        <item h="1" m="1" x="7070"/>
        <item h="1" m="1" x="6668"/>
        <item h="1" m="1" x="7604"/>
        <item h="1" m="1" x="6720"/>
        <item h="1" m="1" x="7493"/>
        <item h="1" m="1" x="7501"/>
        <item h="1" m="1" x="7502"/>
        <item h="1" m="1" x="7240"/>
        <item h="1" m="1" x="7505"/>
        <item h="1" m="1" x="7503"/>
        <item h="1" m="1" x="7504"/>
        <item h="1" m="1" x="7244"/>
        <item h="1" m="1" x="2023"/>
        <item h="1" m="1" x="7506"/>
        <item h="1" m="1" x="7617"/>
        <item h="1" m="1" x="7618"/>
        <item h="1" m="1" x="7634"/>
        <item h="1" m="1" x="7529"/>
        <item h="1" m="1" x="7635"/>
        <item h="1" m="1" x="7636"/>
        <item h="1" m="1" x="7637"/>
        <item h="1" m="1" x="7638"/>
        <item h="1" m="1" x="7639"/>
        <item h="1" m="1" x="7640"/>
        <item h="1" m="1" x="7101"/>
        <item h="1" m="1" x="7100"/>
        <item h="1" m="1" x="7097"/>
        <item h="1" m="1" x="7098"/>
        <item h="1" m="1" x="7099"/>
        <item h="1" m="1" x="7096"/>
        <item h="1" m="1" x="7265"/>
        <item h="1" m="1" x="616"/>
        <item h="1" m="1" x="7341"/>
        <item h="1" m="1" x="5042"/>
        <item h="1" m="1" x="876"/>
        <item h="1" m="1" x="7342"/>
        <item h="1" m="1" x="6637"/>
        <item h="1" m="1" x="7343"/>
        <item h="1" m="1" x="7347"/>
        <item h="1" m="1" x="7355"/>
        <item h="1" m="1" x="6790"/>
        <item h="1" m="1" x="7112"/>
        <item h="1" m="1" x="5359"/>
        <item h="1" m="1" x="7356"/>
        <item h="1" m="1" x="5288"/>
        <item h="1" m="1" x="7269"/>
        <item h="1" m="1" x="7271"/>
        <item h="1" m="1" x="7272"/>
        <item h="1" m="1" x="7270"/>
        <item h="1" m="1" x="7357"/>
        <item h="1" m="1" x="7358"/>
        <item h="1" m="1" x="7360"/>
        <item h="1" m="1" x="7361"/>
        <item h="1" m="1" x="7362"/>
        <item h="1" m="1" x="7363"/>
        <item h="1" m="1" x="7364"/>
        <item h="1" m="1" x="7365"/>
        <item h="1" m="1" x="6980"/>
        <item h="1" m="1" x="7366"/>
        <item h="1" m="1" x="7367"/>
        <item h="1" m="1" x="6928"/>
        <item h="1" m="1" x="6779"/>
        <item h="1" m="1" x="7369"/>
        <item h="1" m="1" x="7370"/>
        <item h="1" m="1" x="7371"/>
        <item h="1" m="1" x="7390"/>
        <item h="1" m="1" x="7392"/>
        <item h="1" m="1" x="7161"/>
        <item h="1" m="1" x="7165"/>
        <item h="1" m="1" x="7395"/>
        <item h="1" m="1" x="7396"/>
        <item h="1" m="1" x="7400"/>
        <item h="1" m="1" x="7180"/>
        <item h="1" m="1" x="7410"/>
        <item h="1" m="1" x="6685"/>
        <item h="1" m="1" x="7424"/>
        <item h="1" m="1" x="7425"/>
        <item h="1" m="1" x="7426"/>
        <item h="1" m="1" x="7430"/>
        <item h="1" m="1" x="7431"/>
        <item h="1" m="1" x="7433"/>
        <item h="1" m="1" x="7301"/>
        <item h="1" m="1" x="7294"/>
        <item h="1" m="1" x="7438"/>
        <item h="1" m="1" x="6718"/>
        <item h="1" m="1" x="6951"/>
        <item h="1" m="1" x="7465"/>
        <item h="1" m="1" x="7466"/>
        <item h="1" m="1" x="7309"/>
        <item h="1" m="1" x="7058"/>
        <item h="1" m="1" x="7468"/>
        <item h="1" m="1" x="7059"/>
        <item h="1" m="1" x="7060"/>
        <item h="1" m="1" x="7061"/>
        <item h="1" m="1" x="6570"/>
        <item h="1" m="1" x="7057"/>
        <item h="1" m="1" x="7208"/>
        <item h="1" m="1" x="7054"/>
        <item h="1" m="1" x="7053"/>
        <item h="1" m="1" x="7064"/>
        <item h="1" m="1" x="7484"/>
        <item h="1" m="1" x="3723"/>
        <item h="1" m="1" x="7485"/>
        <item h="1" m="1" x="7209"/>
        <item h="1" m="1" x="4340"/>
        <item h="1" m="1" x="7487"/>
        <item h="1" m="1" x="7488"/>
        <item h="1" m="1" x="7323"/>
        <item h="1" m="1" x="7232"/>
        <item h="1" m="1" x="7074"/>
        <item h="1" m="1" x="6827"/>
        <item h="1" m="1" x="7490"/>
        <item h="1" m="1" x="7516"/>
        <item h="1" m="1" x="7517"/>
        <item h="1" m="1" x="7518"/>
        <item h="1" m="1" x="7519"/>
        <item h="1" m="1" x="7525"/>
        <item h="1" m="1" x="7526"/>
        <item h="1" m="1" x="7527"/>
        <item h="1" m="1" x="7530"/>
        <item h="1" m="1" x="7531"/>
        <item h="1" m="1" x="7533"/>
        <item h="1" m="1" x="7243"/>
        <item h="1" m="1" x="7266"/>
        <item h="1" m="1" x="7267"/>
        <item h="1" m="1" x="6769"/>
        <item h="1" m="1" x="6697"/>
        <item h="1" m="1" x="6770"/>
        <item h="1" m="1" x="6771"/>
        <item h="1" m="1" x="7114"/>
        <item h="1" m="1" x="7268"/>
        <item h="1" x="106"/>
        <item h="1" m="1" x="7119"/>
        <item h="1" m="1" x="7120"/>
        <item h="1" m="1" x="7273"/>
        <item h="1" m="1" x="7274"/>
        <item h="1" m="1" x="7107"/>
        <item h="1" m="1" x="7275"/>
        <item h="1" m="1" x="7111"/>
        <item h="1" m="1" x="6964"/>
        <item h="1" m="1" x="7123"/>
        <item h="1" m="1" x="7276"/>
        <item h="1" m="1" x="7277"/>
        <item h="1" m="1" x="7279"/>
        <item h="1" m="1" x="7129"/>
        <item h="1" m="1" x="6983"/>
        <item h="1" m="1" x="6029"/>
        <item h="1" m="1" x="7281"/>
        <item h="1" m="1" x="7145"/>
        <item h="1" m="1" x="7282"/>
        <item h="1" m="1" x="6572"/>
        <item h="1" m="1" x="6995"/>
        <item h="1" m="1" x="6996"/>
        <item h="1" m="1" x="6851"/>
        <item h="1" m="1" x="7151"/>
        <item h="1" m="1" x="7147"/>
        <item h="1" m="1" x="5913"/>
        <item h="1" m="1" x="7284"/>
        <item h="1" m="1" x="6311"/>
        <item h="1" m="1" x="7177"/>
        <item h="1" m="1" x="7285"/>
        <item h="1" m="1" x="7304"/>
        <item h="1" m="1" x="6724"/>
        <item h="1" m="1" x="7286"/>
        <item h="1" m="1" x="4436"/>
        <item h="1" m="1" x="6687"/>
        <item h="1" m="1" x="6686"/>
        <item h="1" m="1" x="6947"/>
        <item h="1" m="1" x="7289"/>
        <item h="1" m="1" x="7290"/>
        <item h="1" m="1" x="6948"/>
        <item h="1" m="1" x="2423"/>
        <item h="1" m="1" x="6618"/>
        <item h="1" m="1" x="7295"/>
        <item h="1" m="1" x="7297"/>
        <item h="1" m="1" x="7298"/>
        <item h="1" m="1" x="7300"/>
        <item h="1" m="1" x="7021"/>
        <item h="1" m="1" x="6733"/>
        <item h="1" m="1" x="7321"/>
        <item h="1" m="1" x="6759"/>
        <item h="1" m="1" x="6640"/>
        <item h="1" m="1" x="7031"/>
        <item h="1" m="1" x="7306"/>
        <item h="1" m="1" x="7199"/>
        <item h="1" m="1" x="7200"/>
        <item h="1" m="1" x="7201"/>
        <item h="1" m="1" x="7039"/>
        <item h="1" m="1" x="7052"/>
        <item h="1" m="1" x="6728"/>
        <item h="1" m="1" x="7317"/>
        <item h="1" m="1" x="7318"/>
        <item h="1" m="1" x="7212"/>
        <item h="1" m="1" x="7319"/>
        <item h="1" m="1" x="7211"/>
        <item h="1" m="1" x="7210"/>
        <item h="1" m="1" x="7320"/>
        <item h="1" m="1" x="7322"/>
        <item h="1" m="1" x="5358"/>
        <item h="1" m="1" x="7324"/>
        <item h="1" m="1" x="6124"/>
        <item h="1" m="1" x="5916"/>
        <item h="1" m="1" x="7223"/>
        <item h="1" m="1" x="7325"/>
        <item h="1" m="1" x="7326"/>
        <item h="1" m="1" x="2141"/>
        <item h="1" m="1" x="7331"/>
        <item h="1" m="1" x="7225"/>
        <item h="1" m="1" x="7234"/>
        <item h="1" m="1" x="7236"/>
        <item h="1" m="1" x="5387"/>
        <item h="1" m="1" x="7327"/>
        <item h="1" m="1" x="7248"/>
        <item h="1" m="1" x="7247"/>
        <item h="1" m="1" x="7329"/>
        <item h="1" m="1" x="7330"/>
        <item h="1" m="1" x="6602"/>
        <item h="1" m="1" x="7333"/>
        <item h="1" m="1" x="6606"/>
        <item h="1" m="1" x="7335"/>
        <item h="1" m="1" x="7264"/>
        <item h="1" m="1" x="3872"/>
        <item h="1" m="1" x="6772"/>
        <item h="1" m="1" x="7105"/>
        <item h="1" m="1" x="5213"/>
        <item h="1" m="1" x="7108"/>
        <item h="1" m="1" x="7109"/>
        <item h="1" m="1" x="7110"/>
        <item h="1" m="1" x="7116"/>
        <item h="1" m="1" x="6971"/>
        <item h="1" m="1" x="6970"/>
        <item h="1" m="1" x="7117"/>
        <item h="1" m="1" x="7118"/>
        <item h="1" m="1" x="7121"/>
        <item h="1" m="1" x="7122"/>
        <item h="1" m="1" x="6794"/>
        <item h="1" m="1" x="7125"/>
        <item h="1" m="1" x="7258"/>
        <item h="1" m="1" x="7126"/>
        <item h="1" m="1" x="7127"/>
        <item h="1" m="1" x="7128"/>
        <item h="1" m="1" x="7130"/>
        <item h="1" m="1" x="7131"/>
        <item h="1" m="1" x="7132"/>
        <item h="1" m="1" x="7133"/>
        <item h="1" m="1" x="7134"/>
        <item h="1" m="1" x="6345"/>
        <item h="1" m="1" x="7135"/>
        <item h="1" m="1" x="7136"/>
        <item h="1" m="1" x="7139"/>
        <item h="1" m="1" x="6990"/>
        <item h="1" m="1" x="7142"/>
        <item h="1" m="1" x="7143"/>
        <item h="1" m="1" x="7144"/>
        <item h="1" m="1" x="6999"/>
        <item h="1" m="1" x="7000"/>
        <item h="1" m="1" x="6992"/>
        <item h="1" m="1" x="6994"/>
        <item h="1" m="1" x="7148"/>
        <item h="1" m="1" x="7259"/>
        <item h="1" m="1" x="7163"/>
        <item h="1" m="1" x="7164"/>
        <item h="1" m="1" x="7166"/>
        <item h="1" m="1" x="7167"/>
        <item h="1" m="1" x="7169"/>
        <item h="1" m="1" x="7170"/>
        <item h="1" m="1" x="7171"/>
        <item h="1" m="1" x="7172"/>
        <item h="1" m="1" x="7173"/>
        <item h="1" m="1" x="7175"/>
        <item h="1" m="1" x="7176"/>
        <item h="1" m="1" x="6195"/>
        <item h="1" m="1" x="7182"/>
        <item h="1" m="1" x="7183"/>
        <item h="1" m="1" x="7184"/>
        <item h="1" m="1" x="7185"/>
        <item h="1" m="1" x="7186"/>
        <item h="1" m="1" x="7188"/>
        <item h="1" m="1" x="7189"/>
        <item h="1" m="1" x="6642"/>
        <item h="1" m="1" x="6766"/>
        <item h="1" m="1" x="6756"/>
        <item h="1" m="1" x="6754"/>
        <item h="1" m="1" x="7190"/>
        <item h="1" m="1" x="2961"/>
        <item h="1" m="1" x="7191"/>
        <item h="1" m="1" x="7192"/>
        <item h="1" m="1" x="7023"/>
        <item h="1" m="1" x="6700"/>
        <item h="1" m="1" x="7027"/>
        <item h="1" m="1" x="7262"/>
        <item h="1" m="1" x="7195"/>
        <item h="1" m="1" x="7196"/>
        <item h="1" m="1" x="7202"/>
        <item h="1" m="1" x="429"/>
        <item h="1" m="1" x="7204"/>
        <item h="1" m="1" x="7205"/>
        <item h="1" m="1" x="7038"/>
        <item h="1" m="1" x="5723"/>
        <item h="1" m="1" x="3007"/>
        <item h="1" m="1" x="7207"/>
        <item h="1" m="1" x="7213"/>
        <item h="1" m="1" x="7214"/>
        <item h="1" m="1" x="7215"/>
        <item h="1" m="1" x="7222"/>
        <item h="1" m="1" x="7224"/>
        <item h="1" m="1" x="7069"/>
        <item h="1" m="1" x="7226"/>
        <item h="1" m="1" x="7227"/>
        <item h="1" m="1" x="7228"/>
        <item h="1" m="1" x="7229"/>
        <item h="1" m="1" x="7230"/>
        <item h="1" m="1" x="7231"/>
        <item h="1" m="1" x="7235"/>
        <item h="1" m="1" x="6723"/>
        <item h="1" m="1" x="7233"/>
        <item h="1" m="1" x="2955"/>
        <item h="1" m="1" x="7242"/>
        <item h="1" m="1" x="7245"/>
        <item h="1" m="1" x="7246"/>
        <item h="1" m="1" x="7249"/>
        <item h="1" m="1" x="7250"/>
        <item h="1" m="1" x="7251"/>
        <item h="1" m="1" x="7252"/>
        <item h="1" m="1" x="7253"/>
        <item h="1" m="1" x="7254"/>
        <item h="1" m="1" x="7256"/>
        <item h="1" m="1" x="7257"/>
        <item h="1" m="1" x="6593"/>
        <item h="1" m="1" x="6443"/>
        <item h="1" m="1" x="6594"/>
        <item h="1" m="1" x="7261"/>
        <item h="1" m="1" x="6775"/>
        <item h="1" m="1" x="4177"/>
        <item h="1" m="1" x="6956"/>
        <item h="1" m="1" x="4918"/>
        <item h="1" m="1" x="3401"/>
        <item h="1" m="1" x="1206"/>
        <item h="1" m="1" x="6919"/>
        <item h="1" m="1" x="6957"/>
        <item h="1" m="1" x="6958"/>
        <item h="1" m="1" x="6959"/>
        <item h="1" m="1" x="6960"/>
        <item h="1" m="1" x="5915"/>
        <item h="1" m="1" x="6961"/>
        <item h="1" m="1" x="6962"/>
        <item h="1" m="1" x="4373"/>
        <item h="1" m="1" x="6968"/>
        <item h="1" m="1" x="6969"/>
        <item h="1" m="1" x="1543"/>
        <item h="1" m="1" x="654"/>
        <item h="1" x="218"/>
        <item h="1" m="1" x="4597"/>
        <item h="1" m="1" x="6973"/>
        <item h="1" m="1" x="6924"/>
        <item h="1" m="1" x="6974"/>
        <item h="1" m="1" x="6975"/>
        <item h="1" m="1" x="6976"/>
        <item h="1" m="1" x="6977"/>
        <item h="1" m="1" x="6838"/>
        <item h="1" m="1" x="6978"/>
        <item h="1" m="1" x="6979"/>
        <item h="1" m="1" x="6843"/>
        <item h="1" m="1" x="6987"/>
        <item h="1" m="1" x="6988"/>
        <item h="1" m="1" x="6989"/>
        <item h="1" m="1" x="6747"/>
        <item h="1" m="1" x="6650"/>
        <item h="1" m="1" x="6804"/>
        <item h="1" m="1" x="6993"/>
        <item h="1" m="1" x="3477"/>
        <item h="1" m="1" x="6935"/>
        <item h="1" m="1" x="6997"/>
        <item h="1" m="1" x="7002"/>
        <item h="1" m="1" x="6722"/>
        <item h="1" m="1" x="7003"/>
        <item h="1" m="1" x="810"/>
        <item h="1" m="1" x="7005"/>
        <item h="1" m="1" x="6539"/>
        <item h="1" m="1" x="5851"/>
        <item h="1" m="1" x="7006"/>
        <item h="1" m="1" x="7007"/>
        <item h="1" m="1" x="6661"/>
        <item h="1" m="1" x="6937"/>
        <item h="1" m="1" x="6938"/>
        <item h="1" m="1" x="6939"/>
        <item h="1" m="1" x="7009"/>
        <item h="1" m="1" x="4942"/>
        <item h="1" m="1" x="7010"/>
        <item h="1" m="1" x="7011"/>
        <item h="1" m="1" x="7013"/>
        <item h="1" m="1" x="7014"/>
        <item h="1" m="1" x="7015"/>
        <item h="1" m="1" x="7016"/>
        <item h="1" m="1" x="5362"/>
        <item h="1" m="1" x="5363"/>
        <item h="1" m="1" x="5361"/>
        <item h="1" m="1" x="5582"/>
        <item h="1" m="1" x="7020"/>
        <item h="1" m="1" x="6531"/>
        <item h="1" m="1" x="6870"/>
        <item h="1" m="1" x="6871"/>
        <item h="1" m="1" x="7022"/>
        <item h="1" m="1" x="6741"/>
        <item h="1" m="1" x="6705"/>
        <item h="1" m="1" x="6706"/>
        <item h="1" m="1" x="7025"/>
        <item h="1" m="1" x="7029"/>
        <item h="1" m="1" x="7030"/>
        <item h="1" m="1" x="7034"/>
        <item h="1" m="1" x="7035"/>
        <item h="1" m="1" x="7043"/>
        <item h="1" m="1" x="7044"/>
        <item h="1" m="1" x="7045"/>
        <item h="1" m="1" x="2509"/>
        <item h="1" m="1" x="7047"/>
        <item h="1" m="1" x="7048"/>
        <item h="1" m="1" x="7049"/>
        <item h="1" m="1" x="7050"/>
        <item h="1" m="1" x="7051"/>
        <item h="1" m="1" x="7055"/>
        <item h="1" m="1" x="7065"/>
        <item h="1" m="1" x="6582"/>
        <item h="1" m="1" x="7066"/>
        <item h="1" m="1" x="7067"/>
        <item h="1" m="1" x="6609"/>
        <item h="1" m="1" x="6821"/>
        <item h="1" m="1" x="7068"/>
        <item h="1" m="1" x="7073"/>
        <item h="1" m="1" x="7075"/>
        <item h="1" m="1" x="7076"/>
        <item h="1" m="1" x="7077"/>
        <item h="1" m="1" x="7078"/>
        <item h="1" m="1" x="7079"/>
        <item h="1" m="1" x="7080"/>
        <item h="1" m="1" x="7081"/>
        <item h="1" m="1" x="7082"/>
        <item h="1" m="1" x="7083"/>
        <item h="1" m="1" x="7084"/>
        <item h="1" m="1" x="7085"/>
        <item h="1" m="1" x="6729"/>
        <item h="1" m="1" x="6730"/>
        <item h="1" m="1" x="7088"/>
        <item h="1" m="1" x="7089"/>
        <item h="1" m="1" x="7090"/>
        <item h="1" m="1" x="7091"/>
        <item h="1" m="1" x="6595"/>
        <item h="1" m="1" x="6596"/>
        <item h="1" m="1" x="6704"/>
        <item h="1" m="1" x="6656"/>
        <item h="1" m="1" x="6920"/>
        <item h="1" m="1" x="6752"/>
        <item h="1" m="1" x="6751"/>
        <item h="1" m="1" x="6921"/>
        <item h="1" m="1" x="5735"/>
        <item h="1" m="1" x="4372"/>
        <item h="1" m="1" x="6922"/>
        <item h="1" m="1" x="6923"/>
        <item h="1" m="1" x="6839"/>
        <item h="1" m="1" x="6841"/>
        <item h="1" m="1" x="6929"/>
        <item h="1" m="1" x="6930"/>
        <item h="1" m="1" x="6931"/>
        <item h="1" m="1" x="6844"/>
        <item h="1" m="1" x="6932"/>
        <item h="1" m="1" x="6933"/>
        <item h="1" m="1" x="6934"/>
        <item h="1" m="1" x="6848"/>
        <item h="1" m="1" x="743"/>
        <item h="1" m="1" x="6233"/>
        <item h="1" m="1" x="6234"/>
        <item h="1" m="1" x="6232"/>
        <item h="1" m="1" x="6855"/>
        <item h="1" m="1" x="6852"/>
        <item h="1" m="1" x="6936"/>
        <item h="1" m="1" x="1679"/>
        <item h="1" m="1" x="6859"/>
        <item h="1" m="1" x="6062"/>
        <item h="1" m="1" x="6866"/>
        <item h="1" m="1" x="6867"/>
        <item h="1" m="1" x="6940"/>
        <item h="1" m="1" x="6942"/>
        <item h="1" m="1" x="6943"/>
        <item h="1" m="1" x="6808"/>
        <item h="1" m="1" x="6944"/>
        <item h="1" m="1" x="6945"/>
        <item h="1" m="1" x="6946"/>
        <item h="1" m="1" x="6194"/>
        <item h="1" m="1" x="6869"/>
        <item h="1" m="1" x="6780"/>
        <item h="1" m="1" x="6753"/>
        <item h="1" m="1" x="6872"/>
        <item h="1" m="1" x="6873"/>
        <item h="1" m="1" x="6949"/>
        <item h="1" m="1" x="6876"/>
        <item h="1" m="1" x="6950"/>
        <item h="1" m="1" x="6882"/>
        <item h="1" m="1" x="6881"/>
        <item h="1" m="1" x="6565"/>
        <item h="1" m="1" x="6571"/>
        <item h="1" m="1" x="6607"/>
        <item h="1" m="1" x="6887"/>
        <item h="1" x="223"/>
        <item h="1" m="1" x="6889"/>
        <item h="1" m="1" x="6743"/>
        <item h="1" m="1" x="6894"/>
        <item h="1" m="1" x="6897"/>
        <item h="1" m="1" x="6898"/>
        <item h="1" m="1" x="6901"/>
        <item h="1" m="1" x="6906"/>
        <item h="1" m="1" x="6907"/>
        <item h="1" m="1" x="6909"/>
        <item h="1" m="1" x="6915"/>
        <item h="1" m="1" x="6910"/>
        <item h="1" m="1" x="6911"/>
        <item h="1" m="1" x="6588"/>
        <item h="1" m="1" x="6912"/>
        <item h="1" m="1" x="6916"/>
        <item h="1" m="1" x="6917"/>
        <item h="1" m="1" x="6830"/>
        <item h="1" m="1" x="6831"/>
        <item h="1" m="1" x="6767"/>
        <item h="1" m="1" x="6832"/>
        <item h="1" m="1" x="6684"/>
        <item h="1" m="1" x="6736"/>
        <item h="1" m="1" x="6109"/>
        <item h="1" m="1" x="6833"/>
        <item h="1" m="1" x="6834"/>
        <item h="1" m="1" x="6835"/>
        <item h="1" m="1" x="6836"/>
        <item h="1" m="1" x="2936"/>
        <item h="1" m="1" x="6837"/>
        <item h="1" m="1" x="6610"/>
        <item h="1" m="1" x="6611"/>
        <item h="1" m="1" x="6659"/>
        <item h="1" m="1" x="6840"/>
        <item h="1" m="1" x="6842"/>
        <item h="1" m="1" x="5917"/>
        <item h="1" m="1" x="6548"/>
        <item h="1" m="1" x="6845"/>
        <item h="1" m="1" x="6846"/>
        <item h="1" m="1" x="6847"/>
        <item h="1" m="1" x="4583"/>
        <item h="1" m="1" x="6849"/>
        <item h="1" m="1" x="6850"/>
        <item h="1" m="1" x="6237"/>
        <item h="1" m="1" x="6573"/>
        <item h="1" m="1" x="6853"/>
        <item h="1" m="1" x="6856"/>
        <item h="1" m="1" x="6857"/>
        <item h="1" m="1" x="6860"/>
        <item h="1" m="1" x="6861"/>
        <item h="1" m="1" x="6862"/>
        <item h="1" m="1" x="6863"/>
        <item h="1" m="1" x="6136"/>
        <item h="1" m="1" x="6585"/>
        <item h="1" m="1" x="5364"/>
        <item h="1" m="1" x="6868"/>
        <item h="1" m="1" x="6547"/>
        <item h="1" m="1" x="6817"/>
        <item h="1" m="1" x="6691"/>
        <item h="1" m="1" x="6692"/>
        <item h="1" m="1" x="6690"/>
        <item h="1" m="1" x="6874"/>
        <item h="1" m="1" x="6875"/>
        <item h="1" m="1" x="4881"/>
        <item h="1" m="1" x="6533"/>
        <item h="1" m="1" x="6532"/>
        <item h="1" m="1" x="6128"/>
        <item h="1" m="1" x="6719"/>
        <item h="1" m="1" x="6877"/>
        <item h="1" m="1" x="6878"/>
        <item h="1" m="1" x="6879"/>
        <item h="1" m="1" x="3174"/>
        <item h="1" m="1" x="6880"/>
        <item h="1" m="1" x="6883"/>
        <item h="1" m="1" x="6056"/>
        <item h="1" m="1" x="5357"/>
        <item h="1" m="1" x="6217"/>
        <item h="1" m="1" x="6218"/>
        <item h="1" m="1" x="6884"/>
        <item h="1" m="1" x="5922"/>
        <item h="1" m="1" x="6885"/>
        <item h="1" m="1" x="6220"/>
        <item h="1" m="1" x="6886"/>
        <item h="1" x="267"/>
        <item h="1" m="1" x="6888"/>
        <item h="1" m="1" x="6438"/>
        <item h="1" m="1" x="6890"/>
        <item h="1" m="1" x="6891"/>
        <item h="1" m="1" x="4194"/>
        <item h="1" m="1" x="6689"/>
        <item h="1" m="1" x="6893"/>
        <item h="1" m="1" x="6895"/>
        <item h="1" m="1" x="6896"/>
        <item h="1" m="1" x="6899"/>
        <item h="1" m="1" x="6902"/>
        <item h="1" m="1" x="6903"/>
        <item h="1" m="1" x="6904"/>
        <item h="1" m="1" x="6905"/>
        <item h="1" m="1" x="6908"/>
        <item h="1" m="1" x="5724"/>
        <item h="1" m="1" x="5727"/>
        <item h="1" m="1" x="6757"/>
        <item h="1" m="1" x="6739"/>
        <item h="1" m="1" x="6758"/>
        <item h="1" m="1" x="6918"/>
        <item h="1" m="1" x="6784"/>
        <item h="1" m="1" x="6699"/>
        <item h="1" m="1" x="6768"/>
        <item h="1" m="1" x="6785"/>
        <item h="1" m="1" x="6786"/>
        <item h="1" m="1" x="6787"/>
        <item h="1" m="1" x="6788"/>
        <item h="1" m="1" x="6630"/>
        <item h="1" m="1" x="6789"/>
        <item h="1" m="1" x="6629"/>
        <item h="1" m="1" x="6625"/>
        <item h="1" x="72"/>
        <item h="1" m="1" x="6612"/>
        <item h="1" m="1" x="6791"/>
        <item h="1" m="1" x="6792"/>
        <item h="1" m="1" x="6793"/>
        <item h="1" m="1" x="6033"/>
        <item h="1" m="1" x="6034"/>
        <item h="1" m="1" x="6035"/>
        <item h="1" m="1" x="6795"/>
        <item h="1" m="1" x="6797"/>
        <item h="1" m="1" x="6765"/>
        <item h="1" m="1" x="6648"/>
        <item h="1" m="1" x="6746"/>
        <item h="1" m="1" x="6549"/>
        <item h="1" m="1" x="6798"/>
        <item h="1" m="1" x="6799"/>
        <item h="1" m="1" x="6800"/>
        <item h="1" m="1" x="5955"/>
        <item h="1" m="1" x="6801"/>
        <item h="1" m="1" x="6802"/>
        <item h="1" m="1" x="6231"/>
        <item h="1" m="1" x="6803"/>
        <item h="1" m="1" x="6240"/>
        <item h="1" m="1" x="6239"/>
        <item h="1" m="1" x="6551"/>
        <item h="1" m="1" x="6032"/>
        <item h="1" m="1" x="6805"/>
        <item h="1" m="1" x="6806"/>
        <item h="1" m="1" x="6540"/>
        <item h="1" m="1" x="6541"/>
        <item h="1" m="1" x="6537"/>
        <item h="1" m="1" x="6702"/>
        <item h="1" m="1" x="4396"/>
        <item h="1" m="1" x="6701"/>
        <item h="1" m="1" x="6735"/>
        <item h="1" m="1" x="6809"/>
        <item h="1" m="1" x="6810"/>
        <item h="1" m="1" x="6811"/>
        <item h="1" m="1" x="6812"/>
        <item h="1" m="1" x="6813"/>
        <item h="1" m="1" x="6814"/>
        <item h="1" m="1" x="6815"/>
        <item h="1" m="1" x="6816"/>
        <item h="1" m="1" x="6680"/>
        <item h="1" m="1" x="6530"/>
        <item h="1" m="1" x="6631"/>
        <item h="1" m="1" x="6616"/>
        <item h="1" m="1" x="6615"/>
        <item h="1" m="1" x="6528"/>
        <item h="1" m="1" x="4365"/>
        <item h="1" m="1" x="6709"/>
        <item h="1" m="1" x="6299"/>
        <item h="1" m="1" x="6566"/>
        <item h="1" m="1" x="6568"/>
        <item h="1" m="1" x="6820"/>
        <item h="1" m="1" x="6674"/>
        <item h="1" m="1" x="6760"/>
        <item h="1" m="1" x="6560"/>
        <item h="1" m="1" x="5817"/>
        <item h="1" m="1" x="5818"/>
        <item h="1" m="1" x="6712"/>
        <item h="1" m="1" x="4738"/>
        <item h="1" m="1" x="6823"/>
        <item h="1" m="1" x="6824"/>
        <item h="1" m="1" x="6825"/>
        <item h="1" m="1" x="6826"/>
        <item h="1" m="1" x="6534"/>
        <item h="1" m="1" x="6580"/>
        <item h="1" m="1" x="6579"/>
        <item h="1" m="1" x="6578"/>
        <item h="1" m="1" x="6600"/>
        <item h="1" m="1" x="6828"/>
        <item h="1" m="1" x="6592"/>
        <item h="1" m="1" x="6725"/>
        <item h="1" m="1" x="6529"/>
        <item h="1" m="1" x="6172"/>
        <item h="1" m="1" x="6535"/>
        <item h="1" m="1" x="6536"/>
        <item h="1" m="1" x="6538"/>
        <item h="1" m="1" x="6542"/>
        <item h="1" m="1" x="6543"/>
        <item h="1" m="1" x="6544"/>
        <item h="1" m="1" x="6545"/>
        <item h="1" m="1" x="6546"/>
        <item h="1" m="1" x="6550"/>
        <item h="1" m="1" x="6552"/>
        <item h="1" m="1" x="6554"/>
        <item h="1" m="1" x="6555"/>
        <item h="1" m="1" x="6323"/>
        <item h="1" m="1" x="6556"/>
        <item h="1" m="1" x="6558"/>
        <item h="1" m="1" x="6559"/>
        <item h="1" m="1" x="5816"/>
        <item h="1" m="1" x="2474"/>
        <item h="1" m="1" x="6127"/>
        <item h="1" m="1" x="6562"/>
        <item h="1" m="1" x="6564"/>
        <item h="1" m="1" x="6219"/>
        <item h="1" m="1" x="5923"/>
        <item h="1" m="1" x="5725"/>
        <item h="1" m="1" x="5824"/>
        <item h="1" m="1" x="732"/>
        <item h="1" m="1" x="6238"/>
        <item h="1" m="1" x="6575"/>
        <item h="1" m="1" x="6577"/>
        <item h="1" m="1" x="6581"/>
        <item h="1" m="1" x="6583"/>
        <item h="1" m="1" x="6586"/>
        <item h="1" m="1" x="5924"/>
        <item h="1" m="1" x="6587"/>
        <item h="1" m="1" x="6254"/>
        <item h="1" m="1" x="6590"/>
        <item h="1" m="1" x="6591"/>
        <item h="1" m="1" x="6597"/>
        <item h="1" m="1" x="6599"/>
        <item h="1" m="1" x="6601"/>
        <item h="1" m="1" x="6031"/>
        <item h="1" m="1" x="6603"/>
        <item h="1" m="1" x="6604"/>
        <item h="1" m="1" x="6608"/>
        <item h="1" m="1" x="6613"/>
        <item h="1" m="1" x="6614"/>
        <item h="1" m="1" x="6146"/>
        <item h="1" m="1" x="6617"/>
        <item h="1" m="1" x="6619"/>
        <item h="1" m="1" x="6620"/>
        <item h="1" m="1" x="6621"/>
        <item h="1" m="1" x="6622"/>
        <item h="1" m="1" x="6623"/>
        <item h="1" m="1" x="6148"/>
        <item h="1" m="1" x="6626"/>
        <item h="1" m="1" x="6627"/>
        <item h="1" m="1" x="6634"/>
        <item h="1" m="1" x="6638"/>
        <item h="1" m="1" x="6645"/>
        <item h="1" m="1" x="6660"/>
        <item h="1" m="1" x="6662"/>
        <item h="1" m="1" x="6667"/>
        <item h="1" m="1" x="6688"/>
        <item h="1" m="1" x="6696"/>
        <item h="1" m="1" x="6698"/>
        <item h="1" m="1" x="6288"/>
        <item h="1" m="1" x="6755"/>
        <item h="1" m="1" x="6761"/>
        <item h="1" m="1" x="6762"/>
        <item h="1" m="1" x="6468"/>
        <item h="1" m="1" x="6372"/>
        <item h="1" m="1" x="6763"/>
        <item h="1" m="1" x="6764"/>
        <item h="1" m="1" x="6773"/>
        <item h="1" m="1" x="6777"/>
        <item h="1" m="1" x="4713"/>
        <item h="1" m="1" x="3719"/>
        <item h="1" m="1" x="6778"/>
        <item h="1" m="1" x="5912"/>
        <item h="1" m="1" x="5911"/>
        <item h="1" m="1" x="6302"/>
        <item h="1" m="1" x="6782"/>
        <item h="1" m="1" x="6783"/>
        <item h="1" m="1" x="5929"/>
        <item h="1" m="1" x="6432"/>
        <item h="1" m="1" x="6036"/>
        <item h="1" m="1" x="6305"/>
        <item h="1" m="1" x="6178"/>
        <item h="1" m="1" x="6179"/>
        <item h="1" m="1" x="6434"/>
        <item h="1" m="1" x="6316"/>
        <item h="1" m="1" x="6435"/>
        <item h="1" m="1" x="6308"/>
        <item h="1" m="1" x="6310"/>
        <item h="1" m="1" x="6312"/>
        <item h="1" m="1" x="6313"/>
        <item h="1" m="1" x="6436"/>
        <item h="1" m="1" x="6437"/>
        <item h="1" m="1" x="6197"/>
        <item h="1" m="1" x="5919"/>
        <item h="1" m="1" x="6115"/>
        <item h="1" m="1" x="6116"/>
        <item h="1" m="1" x="5918"/>
        <item h="1" m="1" x="1348"/>
        <item h="1" m="1" x="6320"/>
        <item h="1" m="1" x="5872"/>
        <item h="1" m="1" x="5928"/>
        <item h="1" m="1" x="5920"/>
        <item h="1" m="1" x="6118"/>
        <item h="1" m="1" x="5921"/>
        <item h="1" m="1" x="6202"/>
        <item h="1" m="1" x="6119"/>
        <item h="1" m="1" x="6439"/>
        <item h="1" m="1" x="6440"/>
        <item h="1" m="1" x="6210"/>
        <item h="1" m="1" x="6211"/>
        <item h="1" m="1" x="6212"/>
        <item h="1" m="1" x="6216"/>
        <item h="1" m="1" x="6328"/>
        <item h="1" m="1" x="5726"/>
        <item h="1" m="1" x="6222"/>
        <item h="1" m="1" x="6230"/>
        <item h="1" m="1" x="6441"/>
        <item h="1" m="1" x="4702"/>
        <item h="1" m="1" x="6442"/>
        <item h="1" m="1" x="6252"/>
        <item h="1" m="1" x="5936"/>
        <item h="1" m="1" x="6444"/>
        <item h="1" m="1" x="6256"/>
        <item h="1" m="1" x="2925"/>
        <item h="1" m="1" x="6340"/>
        <item h="1" m="1" x="6445"/>
        <item h="1" m="1" x="6141"/>
        <item h="1" m="1" x="6446"/>
        <item h="1" m="1" x="6143"/>
        <item h="1" m="1" x="6144"/>
        <item h="1" m="1" x="6447"/>
        <item h="1" m="1" x="6448"/>
        <item h="1" m="1" x="6449"/>
        <item h="1" m="1" x="6450"/>
        <item h="1" m="1" x="6451"/>
        <item h="1" m="1" x="6452"/>
        <item h="1" m="1" x="6453"/>
        <item h="1" m="1" x="6350"/>
        <item h="1" m="1" x="6349"/>
        <item h="1" m="1" x="5112"/>
        <item h="1" m="1" x="6348"/>
        <item h="1" m="1" x="6455"/>
        <item h="1" m="1" x="1231"/>
        <item h="1" m="1" x="6456"/>
        <item h="1" m="1" x="6457"/>
        <item h="1" m="1" x="6458"/>
        <item h="1" m="1" x="4341"/>
        <item h="1" m="1" x="4413"/>
        <item h="1" m="1" x="6460"/>
        <item h="1" m="1" x="6461"/>
        <item h="1" m="1" x="6462"/>
        <item h="1" m="1" x="5819"/>
        <item h="1" m="1" x="4375"/>
        <item h="1" m="1" x="6287"/>
        <item h="1" m="1" x="5581"/>
        <item h="1" m="1" x="6463"/>
        <item h="1" m="1" x="5820"/>
        <item h="1" m="1" x="6464"/>
        <item h="1" m="1" x="4390"/>
        <item h="1" m="1" x="6465"/>
        <item h="1" m="1" x="4392"/>
        <item h="1" m="1" x="6366"/>
        <item h="1" m="1" x="6367"/>
        <item h="1" m="1" x="6466"/>
        <item h="1" m="1" x="6467"/>
        <item h="1" m="1" x="5369"/>
        <item h="1" m="1" x="4423"/>
        <item h="1" m="1" x="5941"/>
        <item h="1" m="1" x="6469"/>
        <item h="1" m="1" x="6470"/>
        <item h="1" m="1" x="6471"/>
        <item h="1" m="1" x="6472"/>
        <item h="1" m="1" x="6473"/>
        <item h="1" m="1" x="6474"/>
        <item h="1" m="1" x="6475"/>
        <item h="1" m="1" x="6476"/>
        <item h="1" m="1" x="6415"/>
        <item h="1" m="1" x="6416"/>
        <item h="1" m="1" x="6417"/>
        <item h="1" m="1" x="6477"/>
        <item h="1" m="1" x="6478"/>
        <item h="1" m="1" x="6479"/>
        <item h="1" m="1" x="6480"/>
        <item h="1" m="1" x="6397"/>
        <item h="1" m="1" x="6398"/>
        <item h="1" m="1" x="6481"/>
        <item h="1" m="1" x="6482"/>
        <item h="1" m="1" x="6483"/>
        <item h="1" m="1" x="6484"/>
        <item h="1" m="1" x="6485"/>
        <item h="1" m="1" x="6486"/>
        <item h="1" m="1" x="6487"/>
        <item h="1" m="1" x="6420"/>
        <item h="1" m="1" x="6488"/>
        <item h="1" m="1" x="4919"/>
        <item h="1" m="1" x="6489"/>
        <item h="1" m="1" x="6490"/>
        <item h="1" m="1" x="6491"/>
        <item h="1" m="1" x="6492"/>
        <item h="1" m="1" x="6407"/>
        <item h="1" m="1" x="6493"/>
        <item h="1" m="1" x="6494"/>
        <item h="1" m="1" x="6495"/>
        <item h="1" m="1" x="6496"/>
        <item h="1" m="1" x="6497"/>
        <item h="1" m="1" x="6498"/>
        <item h="1" m="1" x="6499"/>
        <item h="1" m="1" x="6500"/>
        <item h="1" m="1" x="6418"/>
        <item h="1" m="1" x="6426"/>
        <item h="1" m="1" x="6501"/>
        <item h="1" m="1" x="6404"/>
        <item h="1" m="1" x="6406"/>
        <item h="1" m="1" x="6502"/>
        <item h="1" m="1" x="6408"/>
        <item h="1" m="1" x="6414"/>
        <item h="1" m="1" x="6503"/>
        <item h="1" m="1" x="6428"/>
        <item h="1" m="1" x="6379"/>
        <item h="1" m="1" x="6382"/>
        <item h="1" m="1" x="6383"/>
        <item h="1" m="1" x="6504"/>
        <item h="1" m="1" x="5089"/>
        <item h="1" m="1" x="6402"/>
        <item h="1" m="1" x="6403"/>
        <item h="1" m="1" x="6411"/>
        <item h="1" m="1" x="6405"/>
        <item h="1" m="1" x="6401"/>
        <item h="1" m="1" x="6505"/>
        <item h="1" m="1" x="6506"/>
        <item h="1" m="1" x="6507"/>
        <item h="1" m="1" x="6419"/>
        <item h="1" m="1" x="6508"/>
        <item h="1" m="1" x="6509"/>
        <item h="1" m="1" x="6399"/>
        <item h="1" m="1" x="6400"/>
        <item h="1" m="1" x="6396"/>
        <item h="1" m="1" x="6510"/>
        <item h="1" m="1" x="6511"/>
        <item h="1" m="1" x="6512"/>
        <item h="1" m="1" x="6513"/>
        <item h="1" m="1" x="5790"/>
        <item h="1" m="1" x="6514"/>
        <item h="1" m="1" x="6384"/>
        <item h="1" m="1" x="6386"/>
        <item h="1" m="1" x="6390"/>
        <item h="1" m="1" x="6389"/>
        <item h="1" m="1" x="6388"/>
        <item h="1" m="1" x="6387"/>
        <item h="1" m="1" x="6394"/>
        <item h="1" m="1" x="6425"/>
        <item h="1" m="1" x="5799"/>
        <item h="1" m="1" x="6516"/>
        <item h="1" m="1" x="6517"/>
        <item h="1" m="1" x="6518"/>
        <item h="1" m="1" x="6519"/>
        <item h="1" m="1" x="6520"/>
        <item h="1" m="1" x="6393"/>
        <item h="1" m="1" x="6421"/>
        <item h="1" m="1" x="6422"/>
        <item h="1" m="1" x="6423"/>
        <item h="1" m="1" x="6424"/>
        <item h="1" m="1" x="6410"/>
        <item h="1" m="1" x="6412"/>
        <item h="1" m="1" x="6413"/>
        <item h="1" m="1" x="6521"/>
        <item h="1" m="1" x="6522"/>
        <item h="1" m="1" x="6523"/>
        <item h="1" m="1" x="6524"/>
        <item h="1" m="1" x="6525"/>
        <item h="1" m="1" x="6526"/>
        <item h="1" m="1" x="6427"/>
        <item h="1" m="1" x="6409"/>
        <item h="1" m="1" x="6391"/>
        <item h="1" m="1" x="6385"/>
        <item h="1" m="1" x="6392"/>
        <item h="1" m="1" x="4455"/>
        <item h="1" m="1" x="6527"/>
        <item h="1" m="1" x="5672"/>
        <item h="1" m="1" x="6430"/>
        <item h="1" m="1" x="1726"/>
        <item h="1" m="1" x="6169"/>
        <item h="1" m="1" x="5461"/>
        <item h="1" m="1" x="6176"/>
        <item h="1" m="1" x="6037"/>
        <item h="1" m="1" x="6171"/>
        <item h="1" m="1" x="5930"/>
        <item h="1" m="1" x="6181"/>
        <item h="1" m="1" x="5728"/>
        <item h="1" m="1" x="6306"/>
        <item h="1" m="1" x="6307"/>
        <item h="1" m="1" x="6314"/>
        <item h="1" m="1" x="6315"/>
        <item h="1" m="1" x="6190"/>
        <item h="1" m="1" x="6187"/>
        <item h="1" m="1" x="6188"/>
        <item h="1" m="1" x="6189"/>
        <item h="1" m="1" x="6184"/>
        <item h="1" m="1" x="6193"/>
        <item h="1" m="1" x="5964"/>
        <item h="1" m="1" x="6317"/>
        <item h="1" m="1" x="6196"/>
        <item h="1" m="1" x="5045"/>
        <item h="1" m="1" x="6319"/>
        <item h="1" m="1" x="6198"/>
        <item h="1" m="1" x="6321"/>
        <item h="1" m="1" x="6322"/>
        <item h="1" m="1" x="3220"/>
        <item h="1" m="1" x="5933"/>
        <item h="1" m="1" x="6204"/>
        <item h="1" m="1" x="6038"/>
        <item h="1" m="1" x="6205"/>
        <item h="1" m="1" x="6122"/>
        <item h="1" m="1" x="6324"/>
        <item h="1" m="1" x="6235"/>
        <item h="1" m="1" x="6236"/>
        <item h="1" m="1" x="6130"/>
        <item h="1" m="1" x="6325"/>
        <item h="1" m="1" x="6327"/>
        <item h="1" m="1" x="6330"/>
        <item h="1" m="1" x="5821"/>
        <item h="1" m="1" x="6224"/>
        <item h="1" m="1" x="6225"/>
        <item h="1" m="1" x="6227"/>
        <item h="1" m="1" x="6228"/>
        <item h="1" m="1" x="6229"/>
        <item h="1" m="1" x="5935"/>
        <item h="1" m="1" x="6209"/>
        <item h="1" m="1" x="6242"/>
        <item h="1" m="1" x="6332"/>
        <item h="1" m="1" x="6333"/>
        <item h="1" m="1" x="6334"/>
        <item h="1" m="1" x="5584"/>
        <item h="1" m="1" x="6335"/>
        <item h="1" m="1" x="6243"/>
        <item h="1" m="1" x="6336"/>
        <item h="1" m="1" x="6244"/>
        <item h="1" m="1" x="6137"/>
        <item h="1" m="1" x="6253"/>
        <item h="1" m="1" x="4506"/>
        <item h="1" m="1" x="6338"/>
        <item h="1" m="1" x="6245"/>
        <item h="1" m="1" x="6339"/>
        <item h="1" m="1" x="6259"/>
        <item h="1" m="1" x="6258"/>
        <item h="1" m="1" x="6257"/>
        <item h="1" m="1" x="6341"/>
        <item h="1" m="1" x="6342"/>
        <item h="1" m="1" x="4324"/>
        <item h="1" m="1" x="6039"/>
        <item h="1" m="1" x="6343"/>
        <item h="1" m="1" x="6344"/>
        <item h="1" m="1" x="6142"/>
        <item h="1" m="1" x="5733"/>
        <item h="1" m="1" x="6145"/>
        <item h="1" m="1" x="6264"/>
        <item h="1" m="1" x="6265"/>
        <item h="1" m="1" x="6266"/>
        <item h="1" m="1" x="5937"/>
        <item h="1" m="1" x="6346"/>
        <item h="1" m="1" x="6347"/>
        <item h="1" m="1" x="6273"/>
        <item h="1" m="1" x="6272"/>
        <item h="1" m="1" x="4999"/>
        <item h="1" m="1" x="4921"/>
        <item h="1" m="1" x="6351"/>
        <item h="1" m="1" x="4346"/>
        <item h="1" m="1" x="4345"/>
        <item h="1" m="1" x="4343"/>
        <item h="1" m="1" x="5822"/>
        <item h="1" m="1" x="6352"/>
        <item h="1" m="1" x="6353"/>
        <item h="1" m="1" x="6354"/>
        <item h="1" m="1" x="6040"/>
        <item h="1" m="1" x="5586"/>
        <item h="1" m="1" x="6282"/>
        <item h="1" m="1" x="6355"/>
        <item h="1" m="1" x="6356"/>
        <item h="1" m="1" x="5940"/>
        <item h="1" m="1" x="6357"/>
        <item h="1" m="1" x="6358"/>
        <item h="1" m="1" x="4380"/>
        <item h="1" m="1" x="6043"/>
        <item h="1" m="1" x="6044"/>
        <item h="1" m="1" x="6161"/>
        <item h="1" m="1" x="5368"/>
        <item h="1" m="1" x="4360"/>
        <item h="1" m="1" x="4356"/>
        <item h="1" m="1" x="4357"/>
        <item h="1" m="1" x="6041"/>
        <item h="1" m="1" x="5587"/>
        <item h="1" m="1" x="5585"/>
        <item h="1" m="1" x="6359"/>
        <item h="1" m="1" x="6152"/>
        <item h="1" m="1" x="6360"/>
        <item h="1" m="1" x="6042"/>
        <item h="1" m="1" x="5588"/>
        <item h="1" m="1" x="6361"/>
        <item h="1" m="1" x="6362"/>
        <item h="1" m="1" x="6363"/>
        <item h="1" x="69"/>
        <item h="1" m="1" x="4394"/>
        <item h="1" m="1" x="4401"/>
        <item h="1" m="1" x="4370"/>
        <item h="1" m="1" x="6364"/>
        <item h="1" m="1" x="6365"/>
        <item h="1" m="1" x="4729"/>
        <item h="1" m="1" x="6368"/>
        <item h="1" m="1" x="4428"/>
        <item h="1" m="1" x="4427"/>
        <item h="1" m="1" x="4431"/>
        <item h="1" m="1" x="6369"/>
        <item h="1" m="1" x="6370"/>
        <item h="1" m="1" x="2922"/>
        <item h="1" m="1" x="6371"/>
        <item h="1" m="1" x="6373"/>
        <item h="1" m="1" x="6374"/>
        <item h="1" m="1" x="6375"/>
        <item h="1" m="1" x="6376"/>
        <item h="1" m="1" x="6377"/>
        <item h="1" m="1" x="6378"/>
        <item h="1" m="1" x="4923"/>
        <item h="1" m="1" x="6297"/>
        <item h="1" m="1" x="6429"/>
        <item h="1" m="1" x="6300"/>
        <item h="1" m="1" x="6301"/>
        <item h="1" m="1" x="6045"/>
        <item h="1" m="1" x="6431"/>
        <item h="1" m="1" x="6170"/>
        <item h="1" m="1" x="5470"/>
        <item h="1" m="1" x="6177"/>
        <item h="1" m="1" x="6180"/>
        <item h="1" m="1" x="6182"/>
        <item h="1" m="1" x="6183"/>
        <item h="1" m="1" x="6185"/>
        <item h="1" m="1" x="5729"/>
        <item h="1" m="1" x="6191"/>
        <item h="1" m="1" x="6113"/>
        <item h="1" m="1" x="6192"/>
        <item h="1" m="1" x="5931"/>
        <item h="1" m="1" x="6047"/>
        <item h="1" m="1" x="6199"/>
        <item h="1" m="1" x="5831"/>
        <item h="1" m="1" x="6200"/>
        <item h="1" m="1" x="6203"/>
        <item h="1" m="1" x="6123"/>
        <item h="1" m="1" x="6131"/>
        <item h="1" m="1" x="6213"/>
        <item h="1" m="1" x="6214"/>
        <item h="1" m="1" x="6215"/>
        <item h="1" m="1" x="5367"/>
        <item h="1" m="1" x="5731"/>
        <item h="1" m="1" x="6221"/>
        <item h="1" m="1" x="5934"/>
        <item h="1" m="1" x="6223"/>
        <item h="1" m="1" x="5730"/>
        <item h="1" m="1" x="6226"/>
        <item h="1" m="1" x="6241"/>
        <item h="1" x="241"/>
        <item h="1" m="1" x="6246"/>
        <item h="1" m="1" x="6247"/>
        <item h="1" m="1" x="6248"/>
        <item h="1" m="1" x="6249"/>
        <item h="1" m="1" x="6250"/>
        <item h="1" m="1" x="6251"/>
        <item h="1" x="132"/>
        <item h="1" m="1" x="5732"/>
        <item h="1" m="1" x="6255"/>
        <item h="1" m="1" x="6260"/>
        <item h="1" m="1" x="6261"/>
        <item h="1" m="1" x="5975"/>
        <item h="1" m="1" x="6262"/>
        <item h="1" m="1" x="6263"/>
        <item h="1" m="1" x="5938"/>
        <item h="1" m="1" x="6267"/>
        <item h="1" m="1" x="6268"/>
        <item h="1" m="1" x="6269"/>
        <item h="1" m="1" x="6270"/>
        <item h="1" m="1" x="5000"/>
        <item h="1" m="1" x="6271"/>
        <item h="1" m="1" x="6147"/>
        <item h="1" m="1" x="6149"/>
        <item h="1" m="1" x="4920"/>
        <item h="1" m="1" x="6274"/>
        <item h="1" m="1" x="6275"/>
        <item h="1" m="1" x="1450"/>
        <item h="1" m="1" x="6277"/>
        <item h="1" m="1" x="5673"/>
        <item h="1" m="1" x="6278"/>
        <item h="1" m="1" x="6279"/>
        <item h="1" m="1" x="6280"/>
        <item h="1" m="1" x="6281"/>
        <item h="1" m="1" x="6077"/>
        <item h="1" m="1" x="4383"/>
        <item h="1" m="1" x="3073"/>
        <item h="1" m="1" x="6283"/>
        <item h="1" m="1" x="6284"/>
        <item h="1" m="1" x="6285"/>
        <item h="1" m="1" x="6286"/>
        <item h="1" m="1" x="6155"/>
        <item h="1" m="1" x="4416"/>
        <item h="1" m="1" x="4922"/>
        <item h="1" m="1" x="2716"/>
        <item h="1" m="1" x="5736"/>
        <item h="1" m="1" x="5370"/>
        <item h="1" m="1" x="6289"/>
        <item h="1" m="1" x="6290"/>
        <item h="1" m="1" x="5590"/>
        <item h="1" m="1" x="5737"/>
        <item h="1" m="1" x="6292"/>
        <item h="1" m="1" x="4446"/>
        <item h="1" m="1" x="6293"/>
        <item h="1" m="1" x="6294"/>
        <item h="1" m="1" x="6295"/>
        <item h="1" m="1" x="4925"/>
        <item h="1" m="1" x="4924"/>
        <item h="1" m="1" x="4926"/>
        <item h="1" m="1" x="6080"/>
        <item h="1" m="1" x="6298"/>
        <item h="1" m="1" x="6046"/>
        <item h="1" m="1" x="6108"/>
        <item h="1" m="1" x="6110"/>
        <item h="1" m="1" x="5768"/>
        <item h="1" m="1" x="6111"/>
        <item h="1" m="1" x="6117"/>
        <item h="1" m="1" x="5830"/>
        <item h="1" m="1" x="5956"/>
        <item h="1" m="1" x="6050"/>
        <item h="1" m="1" x="6121"/>
        <item h="1" m="1" x="4829"/>
        <item h="1" m="1" x="6129"/>
        <item h="1" m="1" x="6052"/>
        <item h="1" m="1" x="6053"/>
        <item h="1" m="1" x="6132"/>
        <item h="1" m="1" x="2987"/>
        <item h="1" m="1" x="6133"/>
        <item h="1" m="1" x="6134"/>
        <item h="1" m="1" x="4703"/>
        <item h="1" m="1" x="2283"/>
        <item h="1" m="1" x="5957"/>
        <item h="1" m="1" x="6135"/>
        <item h="1" m="1" x="6061"/>
        <item h="1" m="1" x="6066"/>
        <item h="1" m="1" x="5966"/>
        <item h="1" m="1" x="5322"/>
        <item h="1" m="1" x="5969"/>
        <item h="1" m="1" x="5840"/>
        <item h="1" m="1" x="5971"/>
        <item h="1" m="1" x="5972"/>
        <item h="1" m="1" x="5841"/>
        <item h="1" m="1" x="5839"/>
        <item h="1" m="1" x="6138"/>
        <item h="1" m="1" x="6067"/>
        <item h="1" m="1" x="6140"/>
        <item h="1" m="1" x="5002"/>
        <item h="1" m="1" x="5160"/>
        <item h="1" m="1" x="5675"/>
        <item h="1" m="1" x="5159"/>
        <item h="1" m="1" x="5161"/>
        <item h="1" m="1" x="6150"/>
        <item h="1" m="1" x="6151"/>
        <item h="1" m="1" x="5375"/>
        <item h="1" m="1" x="5379"/>
        <item h="1" m="1" x="6154"/>
        <item h="1" m="1" x="4379"/>
        <item h="1" m="1" x="4371"/>
        <item h="1" m="1" x="6156"/>
        <item h="1" m="1" x="6157"/>
        <item h="1" m="1" x="4730"/>
        <item h="1" m="1" x="6158"/>
        <item h="1" m="1" x="6159"/>
        <item h="1" m="1" x="6160"/>
        <item h="1" m="1" x="4403"/>
        <item h="1" m="1" x="4404"/>
        <item h="1" m="1" x="4402"/>
        <item h="1" m="1" x="6074"/>
        <item h="1" m="1" x="6076"/>
        <item h="1" m="1" x="6075"/>
        <item h="1" m="1" x="723"/>
        <item h="1" m="1" x="6162"/>
        <item h="1" m="1" x="4438"/>
        <item h="1" m="1" x="6163"/>
        <item h="1" m="1" x="6164"/>
        <item h="1" m="1" x="5382"/>
        <item h="1" m="1" x="5383"/>
        <item h="1" m="1" x="4447"/>
        <item h="1" m="1" x="6081"/>
        <item h="1" m="1" x="6165"/>
        <item h="1" m="1" x="6166"/>
        <item h="1" m="1" x="4458"/>
        <item h="1" m="1" x="6167"/>
        <item h="1" m="1" x="2520"/>
        <item h="1" m="1" x="4448"/>
        <item h="1" m="1" x="5943"/>
        <item h="1" m="1" x="5738"/>
        <item h="1" m="1" x="6048"/>
        <item h="1" m="1" x="6049"/>
        <item h="1" m="1" x="5952"/>
        <item h="1" m="1" x="6051"/>
        <item h="1" m="1" x="6055"/>
        <item h="1" m="1" x="5965"/>
        <item h="1" m="1" x="5959"/>
        <item h="1" m="1" x="5742"/>
        <item h="1" x="276"/>
        <item h="1" m="1" x="5961"/>
        <item h="1" m="1" x="5962"/>
        <item h="1" m="1" x="5963"/>
        <item h="1" m="1" x="6059"/>
        <item h="1" m="1" x="6060"/>
        <item h="1" m="1" x="6063"/>
        <item h="1" m="1" x="6064"/>
        <item h="1" m="1" x="6065"/>
        <item h="1" m="1" x="5842"/>
        <item h="1" m="1" x="6068"/>
        <item h="1" m="1" x="6069"/>
        <item h="1" m="1" x="6070"/>
        <item h="1" m="1" x="6071"/>
        <item h="1" m="1" x="6072"/>
        <item h="1" m="1" x="6073"/>
        <item h="1" m="1" x="5457"/>
        <item h="1" m="1" x="6078"/>
        <item h="1" m="1" x="5981"/>
        <item h="1" m="1" x="5982"/>
        <item h="1" m="1" x="3833"/>
        <item h="1" m="1" x="6079"/>
        <item h="1" m="1" x="6082"/>
        <item h="1" m="1" x="5123"/>
        <item h="1" m="1" x="6083"/>
        <item h="1" m="1" x="6084"/>
        <item h="1" m="1" x="5680"/>
        <item h="1" m="1" x="5948"/>
        <item h="1" m="1" x="5944"/>
        <item h="1" m="1" x="5946"/>
        <item h="1" m="1" x="5947"/>
        <item h="1" m="1" x="5832"/>
        <item h="1" m="1" x="6085"/>
        <item h="1" m="1" x="5827"/>
        <item h="1" m="1" x="6086"/>
        <item h="1" m="1" x="6087"/>
        <item h="1" m="1" x="5960"/>
        <item h="1" m="1" x="6088"/>
        <item h="1" m="1" x="6089"/>
        <item h="1" m="1" x="6090"/>
        <item h="1" m="1" x="5970"/>
        <item h="1" m="1" x="5968"/>
        <item h="1" m="1" x="5967"/>
        <item h="1" m="1" x="6091"/>
        <item h="1" m="1" x="6092"/>
        <item h="1" m="1" x="6093"/>
        <item h="1" m="1" x="5974"/>
        <item h="1" m="1" x="5001"/>
        <item h="1" m="1" x="6094"/>
        <item h="1" m="1" x="6095"/>
        <item h="1" m="1" x="6096"/>
        <item h="1" m="1" x="6097"/>
        <item h="1" m="1" x="6098"/>
        <item h="1" m="1" x="6100"/>
        <item h="1" m="1" x="6101"/>
        <item h="1" m="1" x="6102"/>
        <item h="1" m="1" x="6103"/>
        <item h="1" m="1" x="4366"/>
        <item h="1" m="1" x="4429"/>
        <item h="1" m="1" x="2906"/>
        <item h="1" m="1" x="4937"/>
        <item h="1" m="1" x="4938"/>
        <item h="1" m="1" x="6105"/>
        <item h="1" m="1" x="4454"/>
        <item h="1" m="1" x="6106"/>
        <item h="1" m="1" x="5828"/>
        <item h="1" m="1" x="5949"/>
        <item h="1" m="1" x="5950"/>
        <item h="1" m="1" x="5168"/>
        <item h="1" m="1" x="5953"/>
        <item h="1" m="1" x="5954"/>
        <item h="1" m="1" x="5958"/>
        <item h="1" m="1" x="5836"/>
        <item h="1" m="1" x="5750"/>
        <item h="1" m="1" x="5973"/>
        <item h="1" m="1" x="5976"/>
        <item h="1" m="1" x="5977"/>
        <item h="1" m="1" x="4418"/>
        <item h="1" m="1" x="5978"/>
        <item h="1" m="1" x="5979"/>
        <item h="1" m="1" x="5006"/>
        <item h="1" m="1" x="5980"/>
        <item h="1" m="1" x="5846"/>
        <item h="1" m="1" x="5984"/>
        <item h="1" m="1" x="5985"/>
        <item h="1" m="1" x="5986"/>
        <item h="1" m="1" x="5987"/>
        <item h="1" m="1" x="5988"/>
        <item h="1" m="1" x="5990"/>
        <item h="1" m="1" x="5823"/>
        <item h="1" m="1" x="5991"/>
        <item h="1" m="1" x="5992"/>
        <item h="1" m="1" x="5993"/>
        <item h="1" m="1" x="5994"/>
        <item h="1" m="1" x="3867"/>
        <item h="1" m="1" x="2380"/>
        <item h="1" m="1" x="5996"/>
        <item h="1" m="1" x="5997"/>
        <item h="1" m="1" x="6000"/>
        <item h="1" m="1" x="3443"/>
        <item h="1" m="1" x="6001"/>
        <item h="1" m="1" x="6002"/>
        <item h="1" m="1" x="6003"/>
        <item h="1" m="1" x="5746"/>
        <item h="1" m="1" x="5747"/>
        <item h="1" m="1" x="5835"/>
        <item h="1" m="1" x="6004"/>
        <item h="1" m="1" x="6005"/>
        <item h="1" m="1" x="6006"/>
        <item h="1" m="1" x="6007"/>
        <item h="1" m="1" x="6008"/>
        <item h="1" m="1" x="6009"/>
        <item h="1" m="1" x="6010"/>
        <item h="1" m="1" x="6011"/>
        <item h="1" m="1" x="6012"/>
        <item h="1" m="1" x="5843"/>
        <item h="1" m="1" x="6013"/>
        <item h="1" m="1" x="6014"/>
        <item h="1" m="1" x="6015"/>
        <item h="1" m="1" x="6016"/>
        <item h="1" m="1" x="6017"/>
        <item h="1" m="1" x="6018"/>
        <item h="1" m="1" x="6019"/>
        <item h="1" m="1" x="6020"/>
        <item h="1" m="1" x="6021"/>
        <item h="1" m="1" x="6022"/>
        <item h="1" m="1" x="5007"/>
        <item h="1" m="1" x="6023"/>
        <item h="1" m="1" x="6024"/>
        <item h="1" m="1" x="4939"/>
        <item h="1" m="1" x="6025"/>
        <item h="1" m="1" x="6026"/>
        <item h="1" m="1" x="6028"/>
        <item h="1" m="1" x="4224"/>
        <item h="1" m="1" x="5815"/>
        <item h="1" m="1" x="5734"/>
        <item h="1" m="1" x="5825"/>
        <item h="1" m="1" x="5833"/>
        <item h="1" m="1" x="5446"/>
        <item h="1" m="1" x="5740"/>
        <item h="1" m="1" x="5745"/>
        <item h="1" m="1" x="3522"/>
        <item h="1" m="1" x="5838"/>
        <item h="1" m="1" x="5004"/>
        <item h="1" m="1" x="5592"/>
        <item h="1" m="1" x="4347"/>
        <item h="1" m="1" x="4342"/>
        <item h="1" m="1" x="4348"/>
        <item h="1" m="1" x="4352"/>
        <item h="1" m="1" x="4405"/>
        <item h="1" m="1" x="4395"/>
        <item h="1" m="1" x="4393"/>
        <item h="1" m="1" x="4387"/>
        <item h="1" m="1" x="4386"/>
        <item h="1" m="1" x="5593"/>
        <item h="1" m="1" x="5455"/>
        <item h="1" m="1" x="4415"/>
        <item h="1" m="1" x="4412"/>
        <item h="1" m="1" x="5755"/>
        <item h="1" m="1" x="5595"/>
        <item h="1" m="1" x="4354"/>
        <item h="1" m="1" x="4363"/>
        <item h="1" m="1" x="4364"/>
        <item h="1" m="1" x="4382"/>
        <item h="1" m="1" x="4381"/>
        <item h="1" m="1" x="4368"/>
        <item h="1" m="1" x="5594"/>
        <item h="1" m="1" x="4384"/>
        <item h="1" m="1" x="4353"/>
        <item h="1" m="1" x="5376"/>
        <item h="1" m="1" x="5377"/>
        <item h="1" m="1" x="4355"/>
        <item h="1" m="1" x="4421"/>
        <item h="1" m="1" x="4426"/>
        <item h="1" m="1" x="3903"/>
        <item h="1" m="1" x="5380"/>
        <item h="1" m="1" x="4430"/>
        <item h="1" m="1" x="5844"/>
        <item h="1" m="1" x="5085"/>
        <item h="1" m="1" x="5845"/>
        <item h="1" m="1" x="5597"/>
        <item h="1" m="1" x="4439"/>
        <item h="1" m="1" x="4449"/>
        <item h="1" m="1" x="4457"/>
        <item h="1" m="1" x="5759"/>
        <item h="1" m="1" x="5763"/>
        <item h="1" m="1" x="5847"/>
        <item h="1" m="1" x="5848"/>
        <item h="1" m="1" x="5849"/>
        <item h="1" m="1" x="5853"/>
        <item h="1" m="1" x="5854"/>
        <item h="1" m="1" x="5855"/>
        <item h="1" m="1" x="5856"/>
        <item h="1" m="1" x="5857"/>
        <item h="1" m="1" x="5858"/>
        <item h="1" m="1" x="5739"/>
        <item h="1" m="1" x="5861"/>
        <item h="1" m="1" x="5862"/>
        <item h="1" m="1" x="5863"/>
        <item h="1" m="1" x="5864"/>
        <item h="1" m="1" x="5865"/>
        <item h="1" m="1" x="5867"/>
        <item h="1" m="1" x="5868"/>
        <item h="1" m="1" x="5869"/>
        <item h="1" m="1" x="5871"/>
        <item h="1" m="1" x="1134"/>
        <item h="1" m="1" x="5873"/>
        <item h="1" m="1" x="5874"/>
        <item h="1" m="1" x="5741"/>
        <item h="1" m="1" x="5876"/>
        <item h="1" m="1" x="852"/>
        <item h="1" m="1" x="5748"/>
        <item h="1" m="1" x="5877"/>
        <item h="1" m="1" x="5878"/>
        <item h="1" m="1" x="5749"/>
        <item h="1" m="1" x="5879"/>
        <item h="1" m="1" x="758"/>
        <item h="1" m="1" x="5880"/>
        <item h="1" m="1" x="5881"/>
        <item h="1" m="1" x="5882"/>
        <item h="1" m="1" x="5883"/>
        <item h="1" m="1" x="749"/>
        <item h="1" m="1" x="5884"/>
        <item h="1" m="1" x="5885"/>
        <item h="1" m="1" x="5886"/>
        <item h="1" m="1" x="5214"/>
        <item h="1" m="1" x="5752"/>
        <item h="1" m="1" x="5751"/>
        <item h="1" m="1" x="4927"/>
        <item h="1" m="1" x="5887"/>
        <item h="1" m="1" x="5888"/>
        <item h="1" m="1" x="5889"/>
        <item h="1" m="1" x="4369"/>
        <item h="1" m="1" x="4374"/>
        <item h="1" m="1" x="5890"/>
        <item h="1" m="1" x="5891"/>
        <item h="1" m="1" x="4361"/>
        <item h="1" m="1" x="4378"/>
        <item h="1" m="1" x="5892"/>
        <item h="1" m="1" x="5893"/>
        <item h="1" m="1" x="5596"/>
        <item h="1" m="1" x="4407"/>
        <item h="1" m="1" x="5215"/>
        <item h="1" m="1" x="5894"/>
        <item h="1" m="1" x="5895"/>
        <item h="1" m="1" x="5896"/>
        <item h="1" m="1" x="5753"/>
        <item h="1" m="1" x="5897"/>
        <item h="1" m="1" x="5898"/>
        <item h="1" m="1" x="5378"/>
        <item h="1" m="1" x="5899"/>
        <item h="1" m="1" x="4362"/>
        <item h="1" m="1" x="5900"/>
        <item h="1" m="1" x="5901"/>
        <item h="1" m="1" x="5902"/>
        <item h="1" m="1" x="5381"/>
        <item h="1" m="1" x="5903"/>
        <item h="1" m="1" x="5904"/>
        <item h="1" m="1" x="5905"/>
        <item h="1" m="1" x="5458"/>
        <item h="1" m="1" x="3143"/>
        <item h="1" m="1" x="5906"/>
        <item h="1" m="1" x="5907"/>
        <item h="1" m="1" x="2926"/>
        <item h="1" m="1" x="5757"/>
        <item h="1" m="1" x="5758"/>
        <item h="1" m="1" x="5908"/>
        <item h="1" m="1" x="2720"/>
        <item h="1" m="1" x="5909"/>
        <item h="1" m="1" x="5910"/>
        <item h="1" m="1" x="5761"/>
        <item h="1" m="1" x="5762"/>
        <item h="1" m="1" x="1488"/>
        <item h="1" m="1" x="4998"/>
        <item h="1" m="1" x="5157"/>
        <item h="1" m="1" x="5754"/>
        <item h="1" m="1" x="5764"/>
        <item h="1" m="1" x="5766"/>
        <item h="1" m="1" x="5767"/>
        <item h="1" m="1" x="2948"/>
        <item h="1" m="1" x="5769"/>
        <item h="1" m="1" x="5770"/>
        <item h="1" m="1" x="5772"/>
        <item h="1" m="1" x="5773"/>
        <item h="1" m="1" x="2301"/>
        <item h="1" m="1" x="5775"/>
        <item h="1" m="1" x="5776"/>
        <item h="1" m="1" x="5777"/>
        <item h="1" m="1" x="5778"/>
        <item h="1" m="1" x="5779"/>
        <item h="1" m="1" x="5780"/>
        <item h="1" m="1" x="5781"/>
        <item h="1" m="1" x="5374"/>
        <item h="1" m="1" x="5782"/>
        <item h="1" m="1" x="5783"/>
        <item h="1" m="1" x="5784"/>
        <item h="1" m="1" x="5785"/>
        <item h="1" m="1" x="5786"/>
        <item h="1" m="1" x="5787"/>
        <item h="1" m="1" x="5788"/>
        <item h="1" m="1" x="5789"/>
        <item h="1" m="1" x="5791"/>
        <item h="1" m="1" x="5650"/>
        <item h="1" m="1" x="5792"/>
        <item h="1" m="1" x="4932"/>
        <item h="1" m="1" x="5793"/>
        <item h="1" m="1" x="5794"/>
        <item h="1" m="1" x="5796"/>
        <item h="1" m="1" x="4398"/>
        <item h="1" m="1" x="5797"/>
        <item h="1" m="1" x="5798"/>
        <item h="1" m="1" x="5800"/>
        <item h="1" m="1" x="5676"/>
        <item h="1" m="1" x="5678"/>
        <item h="1" m="1" x="5801"/>
        <item h="1" m="1" x="5802"/>
        <item h="1" m="1" x="4432"/>
        <item h="1" m="1" x="4434"/>
        <item h="1" m="1" x="511"/>
        <item h="1" m="1" x="5805"/>
        <item h="1" m="1" x="5806"/>
        <item h="1" m="1" x="5807"/>
        <item h="1" m="1" x="5808"/>
        <item h="1" m="1" x="5809"/>
        <item h="1" m="1" x="4934"/>
        <item h="1" m="1" x="5810"/>
        <item h="1" m="1" x="5679"/>
        <item h="1" m="1" x="5811"/>
        <item h="1" m="1" x="5812"/>
        <item h="1" m="1" x="5813"/>
        <item h="1" m="1" x="5580"/>
        <item h="1" m="1" x="5671"/>
        <item h="1" m="1" x="5583"/>
        <item h="1" m="1" x="5674"/>
        <item h="1" m="1" x="4329"/>
        <item h="1" m="1" x="4328"/>
        <item h="1" m="1" x="4330"/>
        <item h="1" m="1" x="3728"/>
        <item h="1" m="1" x="4930"/>
        <item h="1" m="1" x="4414"/>
        <item h="1" m="1" x="5677"/>
        <item h="1" m="1" x="5598"/>
        <item h="1" m="1" x="5599"/>
        <item h="1" m="1" x="5600"/>
        <item h="1" m="1" x="5681"/>
        <item h="1" m="1" x="3883"/>
        <item h="1" m="1" x="5603"/>
        <item h="1" m="1" x="5604"/>
        <item h="1" m="1" x="5230"/>
        <item h="1" m="1" x="5466"/>
        <item h="1" m="1" x="5467"/>
        <item h="1" m="1" x="5468"/>
        <item h="1" m="1" x="5325"/>
        <item h="1" m="1" x="5682"/>
        <item h="1" m="1" x="5158"/>
        <item h="1" m="1" x="5441"/>
        <item h="1" m="1" x="5683"/>
        <item h="1" m="1" x="5442"/>
        <item h="1" m="1" x="5684"/>
        <item h="1" m="1" x="5372"/>
        <item h="1" m="1" x="5371"/>
        <item h="1" m="1" x="5476"/>
        <item h="1" m="1" x="5443"/>
        <item h="1" m="1" x="5591"/>
        <item h="1" m="1" x="5488"/>
        <item h="1" m="1" x="5686"/>
        <item h="1" m="1" x="5373"/>
        <item h="1" m="1" x="5687"/>
        <item h="1" m="1" x="5609"/>
        <item h="1" m="1" x="5614"/>
        <item h="1" m="1" x="5448"/>
        <item h="1" m="1" x="1217"/>
        <item h="1" m="1" x="5445"/>
        <item h="1" m="1" x="5444"/>
        <item h="1" m="1" x="5480"/>
        <item h="1" m="1" x="5450"/>
        <item h="1" m="1" x="1190"/>
        <item h="1" m="1" x="5447"/>
        <item h="1" m="1" x="5451"/>
        <item h="1" m="1" x="5689"/>
        <item h="1" m="1" x="5690"/>
        <item h="1" m="1" x="5452"/>
        <item h="1" m="1" x="5615"/>
        <item h="1" m="1" x="5616"/>
        <item h="1" m="1" x="5617"/>
        <item h="1" m="1" x="5502"/>
        <item h="1" m="1" x="5504"/>
        <item h="1" m="1" x="5691"/>
        <item h="1" m="1" x="5630"/>
        <item h="1" m="1" x="4020"/>
        <item h="1" m="1" x="5692"/>
        <item h="1" m="1" x="5693"/>
        <item h="1" m="1" x="5629"/>
        <item h="1" m="1" x="3914"/>
        <item h="1" m="1" x="5514"/>
        <item h="1" m="1" x="5519"/>
        <item h="1" m="1" x="5453"/>
        <item h="1" m="1" x="5522"/>
        <item h="1" m="1" x="5534"/>
        <item h="1" m="1" x="5535"/>
        <item h="1" m="1" x="5694"/>
        <item h="1" m="1" x="5454"/>
        <item h="1" m="1" x="5646"/>
        <item h="1" m="1" x="4740"/>
        <item h="1" m="1" x="5542"/>
        <item h="1" m="1" x="5697"/>
        <item h="1" m="1" x="5698"/>
        <item h="1" m="1" x="4322"/>
        <item h="1" m="1" x="4323"/>
        <item h="1" m="1" x="5699"/>
        <item h="1" m="1" x="5701"/>
        <item h="1" m="1" x="5702"/>
        <item h="1" m="1" x="5703"/>
        <item h="1" m="1" x="5704"/>
        <item h="1" m="1" x="1556"/>
        <item h="1" m="1" x="5705"/>
        <item h="1" m="1" x="5003"/>
        <item h="1" m="1" x="5005"/>
        <item h="1" m="1" x="4647"/>
        <item h="1" m="1" x="5706"/>
        <item h="1" m="1" x="5707"/>
        <item h="1" m="1" x="5708"/>
        <item h="1" m="1" x="5709"/>
        <item h="1" m="1" x="5659"/>
        <item h="1" m="1" x="5710"/>
        <item h="1" m="1" x="4928"/>
        <item h="1" m="1" x="5711"/>
        <item h="1" m="1" x="4931"/>
        <item h="1" m="1" x="4929"/>
        <item h="1" m="1" x="1811"/>
        <item h="1" m="1" x="5712"/>
        <item h="1" m="1" x="5713"/>
        <item h="1" m="1" x="5714"/>
        <item h="1" m="1" x="5715"/>
        <item h="1" m="1" x="5716"/>
        <item h="1" m="1" x="5717"/>
        <item h="1" m="1" x="5574"/>
        <item h="1" m="1" x="5575"/>
        <item h="1" m="1" x="4435"/>
        <item h="1" m="1" x="2035"/>
        <item h="1" m="1" x="5008"/>
        <item h="1" m="1" x="4941"/>
        <item h="1" m="1" x="4935"/>
        <item h="1" m="1" x="4936"/>
        <item h="1" m="1" x="5718"/>
        <item h="1" m="1" x="4933"/>
        <item h="1" m="1" x="5719"/>
        <item h="1" m="1" x="5720"/>
        <item h="1" m="1" x="5721"/>
        <item h="1" m="1" x="4467"/>
        <item h="1" m="1" x="5668"/>
        <item h="1" m="1" x="2514"/>
        <item h="1" m="1" x="4376"/>
        <item h="1" m="1" x="4377"/>
        <item h="1" m="1" x="5440"/>
        <item h="1" m="1" x="5456"/>
        <item h="1" m="1" x="5601"/>
        <item h="1" m="1" x="5602"/>
        <item h="1" m="1" x="5605"/>
        <item h="1" m="1" x="4482"/>
        <item h="1" m="1" x="5606"/>
        <item h="1" m="1" x="5607"/>
        <item h="1" m="1" x="5608"/>
        <item h="1" m="1" x="5390"/>
        <item h="1" m="1" x="5472"/>
        <item h="1" m="1" x="5473"/>
        <item h="1" m="1" x="5342"/>
        <item h="1" x="89"/>
        <item h="1" m="1" x="5610"/>
        <item h="1" m="1" x="5611"/>
        <item h="1" m="1" x="5612"/>
        <item h="1" m="1" x="4563"/>
        <item h="1" m="1" x="5489"/>
        <item h="1" m="1" x="5479"/>
        <item h="1" m="1" x="5486"/>
        <item h="1" m="1" x="4869"/>
        <item h="1" m="1" x="5491"/>
        <item h="1" m="1" x="5618"/>
        <item h="1" m="1" x="5619"/>
        <item h="1" m="1" x="5620"/>
        <item h="1" m="1" x="5621"/>
        <item h="1" m="1" x="5622"/>
        <item h="1" m="1" x="5623"/>
        <item h="1" m="1" x="5624"/>
        <item h="1" m="1" x="5625"/>
        <item h="1" m="1" x="5626"/>
        <item h="1" m="1" x="5505"/>
        <item h="1" m="1" x="5627"/>
        <item h="1" m="1" x="5503"/>
        <item h="1" m="1" x="5631"/>
        <item h="1" m="1" x="5509"/>
        <item h="1" m="1" x="5632"/>
        <item h="1" m="1" x="4596"/>
        <item h="1" m="1" x="5633"/>
        <item h="1" m="1" x="5515"/>
        <item h="1" m="1" x="5405"/>
        <item h="1" m="1" x="5634"/>
        <item h="1" m="1" x="5520"/>
        <item h="1" m="1" x="5521"/>
        <item h="1" m="1" x="5523"/>
        <item h="1" m="1" x="5524"/>
        <item h="1" m="1" x="5536"/>
        <item h="1" m="1" x="5636"/>
        <item h="1" m="1" x="5637"/>
        <item h="1" m="1" x="5638"/>
        <item h="1" m="1" x="5639"/>
        <item h="1" m="1" x="5640"/>
        <item h="1" m="1" x="5641"/>
        <item h="1" m="1" x="5642"/>
        <item h="1" m="1" x="5643"/>
        <item h="1" x="393"/>
        <item h="1" m="1" x="5644"/>
        <item h="1" m="1" x="2930"/>
        <item h="1" m="1" x="5645"/>
        <item h="1" m="1" x="5647"/>
        <item h="1" m="1" x="5648"/>
        <item h="1" m="1" x="5540"/>
        <item h="1" m="1" x="5541"/>
        <item h="1" m="1" x="5543"/>
        <item h="1" m="1" x="5544"/>
        <item h="1" m="1" x="5545"/>
        <item h="1" m="1" x="5546"/>
        <item h="1" m="1" x="5547"/>
        <item h="1" m="1" x="5552"/>
        <item h="1" m="1" x="5550"/>
        <item h="1" m="1" x="5239"/>
        <item h="1" m="1" x="1708"/>
        <item h="1" m="1" x="1720"/>
        <item h="1" m="1" x="4646"/>
        <item h="1" m="1" x="5558"/>
        <item h="1" m="1" x="1061"/>
        <item h="1" m="1" x="1778"/>
        <item h="1" m="1" x="1777"/>
        <item h="1" m="1" x="1776"/>
        <item h="1" m="1" x="5651"/>
        <item h="1" m="1" x="5652"/>
        <item h="1" m="1" x="5653"/>
        <item h="1" m="1" x="5654"/>
        <item h="1" m="1" x="5655"/>
        <item h="1" m="1" x="5656"/>
        <item h="1" m="1" x="5658"/>
        <item h="1" m="1" x="4462"/>
        <item h="1" m="1" x="5660"/>
        <item h="1" m="1" x="5661"/>
        <item h="1" m="1" x="5662"/>
        <item h="1" m="1" x="5663"/>
        <item h="1" m="1" x="5664"/>
        <item h="1" m="1" x="5665"/>
        <item h="1" m="1" x="5250"/>
        <item h="1" m="1" x="5666"/>
        <item h="1" m="1" x="5256"/>
        <item h="1" m="1" x="5667"/>
        <item h="1" m="1" x="5182"/>
        <item h="1" m="1" x="5217"/>
        <item h="1" m="1" x="5462"/>
        <item h="1" m="1" x="5463"/>
        <item h="1" m="1" x="802"/>
        <item h="1" m="1" x="5464"/>
        <item h="1" m="1" x="5465"/>
        <item h="1" m="1" x="5471"/>
        <item h="1" m="1" x="4732"/>
        <item h="1" m="1" x="4733"/>
        <item h="1" m="1" x="4734"/>
        <item h="1" m="1" x="5474"/>
        <item h="1" m="1" x="4735"/>
        <item h="1" m="1" x="4102"/>
        <item h="1" m="1" x="4736"/>
        <item h="1" m="1" x="5475"/>
        <item h="1" m="1" x="5324"/>
        <item h="1" m="1" x="3861"/>
        <item h="1" m="1" x="5218"/>
        <item h="1" m="1" x="5328"/>
        <item h="1" m="1" x="5477"/>
        <item h="1" m="1" x="5481"/>
        <item h="1" m="1" x="5482"/>
        <item h="1" m="1" x="5483"/>
        <item h="1" m="1" x="5484"/>
        <item h="1" m="1" x="5485"/>
        <item h="1" m="1" x="5492"/>
        <item h="1" m="1" x="5493"/>
        <item h="1" m="1" x="5494"/>
        <item h="1" m="1" x="5495"/>
        <item h="1" m="1" x="5496"/>
        <item h="1" m="1" x="5497"/>
        <item h="1" m="1" x="5498"/>
        <item h="1" m="1" x="5499"/>
        <item h="1" m="1" x="5500"/>
        <item h="1" m="1" x="5501"/>
        <item h="1" m="1" x="5506"/>
        <item h="1" m="1" x="5507"/>
        <item h="1" m="1" x="5508"/>
        <item h="1" m="1" x="5511"/>
        <item h="1" m="1" x="5512"/>
        <item h="1" m="1" x="5513"/>
        <item h="1" m="1" x="5516"/>
        <item h="1" m="1" x="5517"/>
        <item h="1" m="1" x="5518"/>
        <item h="1" m="1" x="5335"/>
        <item h="1" m="1" x="5526"/>
        <item h="1" m="1" x="5060"/>
        <item h="1" m="1" x="5527"/>
        <item h="1" m="1" x="5528"/>
        <item h="1" m="1" x="5529"/>
        <item h="1" m="1" x="5530"/>
        <item h="1" m="1" x="5297"/>
        <item h="1" m="1" x="5531"/>
        <item h="1" m="1" x="5023"/>
        <item h="1" m="1" x="5532"/>
        <item h="1" m="1" x="5024"/>
        <item h="1" m="1" x="5070"/>
        <item h="1" m="1" x="5413"/>
        <item h="1" m="1" x="4766"/>
        <item h="1" m="1" x="5243"/>
        <item h="1" m="1" x="5537"/>
        <item h="1" m="1" x="5400"/>
        <item h="1" m="1" x="5538"/>
        <item h="1" m="1" x="5539"/>
        <item h="1" m="1" x="5548"/>
        <item h="1" m="1" x="5549"/>
        <item h="1" m="1" x="5033"/>
        <item h="1" m="1" x="1844"/>
        <item h="1" m="1" x="5240"/>
        <item h="1" m="1" x="2597"/>
        <item h="1" m="1" x="2598"/>
        <item h="1" m="1" x="5551"/>
        <item h="1" m="1" x="1305"/>
        <item h="1" m="1" x="5553"/>
        <item h="1" m="1" x="5554"/>
        <item h="1" m="1" x="5030"/>
        <item h="1" m="1" x="5555"/>
        <item h="1" m="1" x="5556"/>
        <item h="1" m="1" x="5557"/>
        <item h="1" m="1" x="5559"/>
        <item h="1" m="1" x="5560"/>
        <item h="1" m="1" x="5561"/>
        <item h="1" m="1" x="5562"/>
        <item h="1" m="1" x="5564"/>
        <item h="1" m="1" x="1739"/>
        <item h="1" m="1" x="5565"/>
        <item h="1" m="1" x="4201"/>
        <item h="1" m="1" x="1903"/>
        <item h="1" m="1" x="5566"/>
        <item h="1" m="1" x="5567"/>
        <item h="1" m="1" x="5568"/>
        <item h="1" m="1" x="2611"/>
        <item h="1" m="1" x="5569"/>
        <item h="1" m="1" x="5570"/>
        <item h="1" m="1" x="1697"/>
        <item h="1" m="1" x="5571"/>
        <item h="1" m="1" x="5572"/>
        <item h="1" m="1" x="5576"/>
        <item h="1" m="1" x="5174"/>
        <item h="1" m="1" x="5577"/>
        <item h="1" m="1" x="5578"/>
        <item h="1" m="1" x="5438"/>
        <item h="1" m="1" x="5579"/>
        <item h="1" m="1" x="5012"/>
        <item h="1" m="1" x="4389"/>
        <item h="1" m="1" x="5385"/>
        <item h="1" m="1" x="2685"/>
        <item h="1" m="1" x="5326"/>
        <item h="1" m="1" x="4731"/>
        <item h="1" m="1" x="5386"/>
        <item h="1" m="1" x="5388"/>
        <item h="1" m="1" x="5389"/>
        <item h="1" m="1" x="5391"/>
        <item h="1" m="1" x="5392"/>
        <item h="1" m="1" x="5394"/>
        <item h="1" m="1" x="5331"/>
        <item h="1" m="1" x="5395"/>
        <item h="1" m="1" x="5330"/>
        <item h="1" m="1" x="5396"/>
        <item h="1" m="1" x="5227"/>
        <item h="1" m="1" x="5397"/>
        <item h="1" m="1" x="5398"/>
        <item h="1" m="1" x="476"/>
        <item h="1" m="1" x="5333"/>
        <item h="1" m="1" x="5399"/>
        <item h="1" m="1" x="5401"/>
        <item h="1" m="1" x="5167"/>
        <item h="1" m="1" x="5402"/>
        <item h="1" m="1" x="5403"/>
        <item h="1" m="1" x="5404"/>
        <item h="1" m="1" x="5406"/>
        <item h="1" m="1" x="4666"/>
        <item h="1" m="1" x="5407"/>
        <item h="1" m="1" x="3918"/>
        <item h="1" m="1" x="5409"/>
        <item h="1" m="1" x="5410"/>
        <item h="1" m="1" x="5411"/>
        <item h="1" m="1" x="4813"/>
        <item h="1" m="1" x="5412"/>
        <item h="1" m="1" x="5414"/>
        <item h="1" m="1" x="5415"/>
        <item h="1" m="1" x="5416"/>
        <item h="1" m="1" x="5417"/>
        <item h="1" m="1" x="5418"/>
        <item h="1" m="1" x="5419"/>
        <item h="1" m="1" x="4739"/>
        <item h="1" m="1" x="5420"/>
        <item h="1" m="1" x="5236"/>
        <item h="1" m="1" x="5237"/>
        <item h="1" m="1" x="5238"/>
        <item h="1" m="1" x="5421"/>
        <item h="1" m="1" x="1781"/>
        <item h="1" m="1" x="1779"/>
        <item h="1" m="1" x="5422"/>
        <item h="1" m="1" x="5423"/>
        <item h="1" m="1" x="5424"/>
        <item h="1" m="1" x="5425"/>
        <item h="1" m="1" x="1848"/>
        <item h="1" m="1" x="1780"/>
        <item h="1" m="1" x="1590"/>
        <item h="1" m="1" x="5427"/>
        <item h="1" m="1" x="5428"/>
        <item h="1" m="1" x="5337"/>
        <item h="1" m="1" x="5338"/>
        <item h="1" m="1" x="5430"/>
        <item h="1" m="1" x="5180"/>
        <item h="1" m="1" x="5431"/>
        <item h="1" m="1" x="5247"/>
        <item h="1" m="1" x="5245"/>
        <item h="1" m="1" x="5246"/>
        <item h="1" m="1" x="5432"/>
        <item h="1" m="1" x="5433"/>
        <item h="1" m="1" x="5434"/>
        <item h="1" m="1" x="5435"/>
        <item h="1" m="1" x="4958"/>
        <item h="1" m="1" x="5179"/>
        <item h="1" m="1" x="5249"/>
        <item h="1" m="1" x="5437"/>
        <item h="1" m="1" x="5439"/>
        <item h="1" m="1" x="5097"/>
        <item h="1" m="1" x="5327"/>
        <item h="1" m="1" x="5224"/>
        <item h="1" m="1" x="5329"/>
        <item h="1" m="1" x="5220"/>
        <item h="1" m="1" x="4811"/>
        <item h="1" m="1" x="5221"/>
        <item h="1" m="1" x="5226"/>
        <item h="1" m="1" x="5223"/>
        <item h="1" m="1" x="5228"/>
        <item h="1" m="1" x="5102"/>
        <item h="1" m="1" x="5163"/>
        <item h="1" m="1" x="5164"/>
        <item h="1" m="1" x="5332"/>
        <item h="1" m="1" x="5334"/>
        <item h="1" m="1" x="4581"/>
        <item h="1" m="1" x="525"/>
        <item h="1" m="1" x="4622"/>
        <item h="1" m="1" x="5231"/>
        <item h="1" m="1" x="5255"/>
        <item h="1" m="1" x="4668"/>
        <item h="1" m="1" x="5233"/>
        <item h="1" m="1" x="5234"/>
        <item h="1" m="1" x="1939"/>
        <item h="1" m="1" x="5235"/>
        <item h="1" m="1" x="5108"/>
        <item h="1" m="1" x="4199"/>
        <item h="1" m="1" x="1849"/>
        <item h="1" m="1" x="2476"/>
        <item h="1" m="1" x="1818"/>
        <item h="1" m="1" x="5173"/>
        <item h="1" m="1" x="5242"/>
        <item h="1" m="1" x="5175"/>
        <item h="1" m="1" x="4954"/>
        <item h="1" m="1" x="5111"/>
        <item h="1" m="1" x="4142"/>
        <item h="1" m="1" x="5254"/>
        <item h="1" m="1" x="5248"/>
        <item h="1" m="1" x="4815"/>
        <item h="1" m="1" x="5339"/>
        <item h="1" m="1" x="5037"/>
        <item h="1" m="1" x="5340"/>
        <item h="1" m="1" x="5127"/>
        <item h="1" m="1" x="5261"/>
        <item h="1" m="1" x="5264"/>
        <item h="1" m="1" x="5014"/>
        <item h="1" m="1" x="5341"/>
        <item h="1" m="1" x="4138"/>
        <item h="1" m="1" x="5162"/>
        <item h="1" m="1" x="5343"/>
        <item h="1" m="1" x="5344"/>
        <item h="1" m="1" x="5101"/>
        <item h="1" m="1" x="5225"/>
        <item h="1" m="1" x="5293"/>
        <item h="1" m="1" x="5257"/>
        <item h="1" m="1" x="5229"/>
        <item h="1" m="1" x="5169"/>
        <item h="1" m="1" x="4667"/>
        <item h="1" m="1" x="2189"/>
        <item h="1" m="1" x="5296"/>
        <item h="1" m="1" x="2974"/>
        <item h="1" x="250"/>
        <item h="1" m="1" x="5171"/>
        <item h="1" m="1" x="3789"/>
        <item h="1" m="1" x="4639"/>
        <item h="1" m="1" x="5305"/>
        <item h="1" m="1" x="5304"/>
        <item h="1" m="1" x="4144"/>
        <item h="1" m="1" x="3995"/>
        <item h="1" m="1" x="5345"/>
        <item h="1" m="1" x="5346"/>
        <item h="1" m="1" x="5347"/>
        <item h="1" m="1" x="5348"/>
        <item h="1" m="1" x="5349"/>
        <item h="1" m="1" x="4946"/>
        <item h="1" m="1" x="5350"/>
        <item h="1" m="1" x="4003"/>
        <item h="1" m="1" x="4443"/>
        <item h="1" m="1" x="5251"/>
        <item h="1" m="1" x="5252"/>
        <item h="1" m="1" x="5253"/>
        <item h="1" m="1" x="5351"/>
        <item h="1" m="1" x="5352"/>
        <item h="1" m="1" x="5318"/>
        <item h="1" m="1" x="5353"/>
        <item h="1" m="1" x="5354"/>
        <item h="1" m="1" x="4955"/>
        <item h="1" m="1" x="4956"/>
        <item h="1" m="1" x="5355"/>
        <item h="1" m="1" x="5260"/>
        <item h="1" m="1" x="5244"/>
        <item h="1" m="1" x="5038"/>
        <item h="1" m="1" x="5216"/>
        <item h="1" m="1" x="4621"/>
        <item h="1" m="1" x="3998"/>
        <item h="1" m="1" x="5118"/>
        <item h="1" m="1" x="5275"/>
        <item h="1" m="1" x="5263"/>
        <item h="1" m="1" x="4474"/>
        <item h="1" m="1" x="5267"/>
        <item h="1" m="1" x="5268"/>
        <item h="1" m="1" x="5269"/>
        <item h="1" m="1" x="4944"/>
        <item h="1" m="1" x="5271"/>
        <item h="1" m="1" x="4174"/>
        <item h="1" m="1" x="4242"/>
        <item h="1" m="1" x="5273"/>
        <item h="1" m="1" x="5274"/>
        <item h="1" m="1" x="5295"/>
        <item h="1" m="1" x="5278"/>
        <item h="1" m="1" x="5279"/>
        <item h="1" m="1" x="5280"/>
        <item h="1" m="1" x="5281"/>
        <item h="1" m="1" x="4665"/>
        <item h="1" m="1" x="5283"/>
        <item h="1" m="1" x="5284"/>
        <item h="1" m="1" x="5165"/>
        <item h="1" m="1" x="5285"/>
        <item h="1" m="1" x="5286"/>
        <item h="1" m="1" x="5287"/>
        <item h="1" m="1" x="5290"/>
        <item h="1" m="1" x="5291"/>
        <item h="1" m="1" x="5166"/>
        <item h="1" m="1" x="4595"/>
        <item h="1" m="1" x="5190"/>
        <item h="1" m="1" x="5292"/>
        <item h="1" m="1" x="5194"/>
        <item h="1" m="1" x="5294"/>
        <item h="1" m="1" x="5298"/>
        <item h="1" m="1" x="1931"/>
        <item h="1" m="1" x="5299"/>
        <item h="1" m="1" x="5300"/>
        <item h="1" m="1" x="5301"/>
        <item h="1" m="1" x="2033"/>
        <item h="1" m="1" x="5170"/>
        <item h="1" m="1" x="5303"/>
        <item h="1" m="1" x="5104"/>
        <item h="1" m="1" x="5306"/>
        <item h="1" m="1" x="5307"/>
        <item h="1" m="1" x="4814"/>
        <item h="1" m="1" x="5308"/>
        <item h="1" m="1" x="5031"/>
        <item h="1" m="1" x="5309"/>
        <item h="1" m="1" x="5310"/>
        <item h="1" m="1" x="5311"/>
        <item h="1" m="1" x="4948"/>
        <item h="1" m="1" x="5313"/>
        <item h="1" m="1" x="5314"/>
        <item h="1" m="1" x="4146"/>
        <item h="1" m="1" x="5106"/>
        <item h="1" m="1" x="5107"/>
        <item h="1" m="1" x="5315"/>
        <item h="1" m="1" x="5172"/>
        <item h="1" m="1" x="5316"/>
        <item h="1" m="1" x="1905"/>
        <item h="1" m="1" x="1721"/>
        <item h="1" m="1" x="5109"/>
        <item h="1" m="1" x="5317"/>
        <item h="1" m="1" x="5176"/>
        <item h="1" m="1" x="5177"/>
        <item h="1" m="1" x="5319"/>
        <item h="1" m="1" x="5178"/>
        <item h="1" m="1" x="5320"/>
        <item h="1" m="1" x="5113"/>
        <item h="1" m="1" x="5114"/>
        <item h="1" m="1" x="5120"/>
        <item h="1" m="1" x="5122"/>
        <item h="1" m="1" x="5321"/>
        <item h="1" m="1" x="5181"/>
        <item h="1" m="1" x="2899"/>
        <item h="1" m="1" x="5184"/>
        <item h="1" m="1" x="5183"/>
        <item h="1" m="1" x="5155"/>
        <item h="1" m="1" x="5185"/>
        <item h="1" m="1" x="5186"/>
        <item h="1" m="1" x="5187"/>
        <item h="1" m="1" x="5188"/>
        <item h="1" m="1" x="4479"/>
        <item h="1" m="1" x="4480"/>
        <item h="1" m="1" x="5098"/>
        <item h="1" m="1" x="5099"/>
        <item h="1" m="1" x="5100"/>
        <item h="1" m="1" x="1676"/>
        <item h="1" m="1" x="4582"/>
        <item h="1" m="1" x="5191"/>
        <item h="1" m="1" x="5013"/>
        <item h="1" m="1" x="5192"/>
        <item h="1" m="1" x="5193"/>
        <item h="1" m="1" x="3923"/>
        <item h="1" m="1" x="5195"/>
        <item h="1" m="1" x="5196"/>
        <item h="1" m="1" x="4755"/>
        <item h="1" m="1" x="5197"/>
        <item h="1" m="1" x="4767"/>
        <item h="1" m="1" x="1828"/>
        <item h="1" m="1" x="4764"/>
        <item h="1" m="1" x="4765"/>
        <item h="1" m="1" x="5105"/>
        <item h="1" m="1" x="1957"/>
        <item h="1" m="1" x="2649"/>
        <item h="1" m="1" x="5025"/>
        <item h="1" m="1" x="5029"/>
        <item h="1" m="1" x="5027"/>
        <item h="1" m="1" x="5028"/>
        <item h="1" m="1" x="3475"/>
        <item h="1" m="1" x="5026"/>
        <item h="1" m="1" x="5198"/>
        <item h="1" m="1" x="5199"/>
        <item h="1" m="1" x="5200"/>
        <item h="1" m="1" x="5201"/>
        <item h="1" m="1" x="5202"/>
        <item h="1" m="1" x="4951"/>
        <item h="1" m="1" x="4949"/>
        <item h="1" m="1" x="5203"/>
        <item h="1" m="1" x="5204"/>
        <item h="1" m="1" x="5205"/>
        <item h="1" m="1" x="3133"/>
        <item h="1" m="1" x="5206"/>
        <item h="1" m="1" x="5207"/>
        <item h="1" m="1" x="5208"/>
        <item h="1" m="1" x="5110"/>
        <item h="1" m="1" x="2863"/>
        <item h="1" m="1" x="5115"/>
        <item h="1" m="1" x="5116"/>
        <item h="1" m="1" x="4957"/>
        <item h="1" m="1" x="4960"/>
        <item h="1" m="1" x="4961"/>
        <item h="1" m="1" x="5209"/>
        <item h="1" m="1" x="5210"/>
        <item h="1" m="1" x="5211"/>
        <item h="1" m="1" x="5212"/>
        <item h="1" m="1" x="4959"/>
        <item h="1" m="1" x="5036"/>
        <item h="1" m="1" x="5117"/>
        <item h="1" m="1" x="5119"/>
        <item h="1" m="1" x="5125"/>
        <item h="1" m="1" x="5126"/>
        <item h="1" m="1" x="2843"/>
        <item h="1" m="1" x="2430"/>
        <item h="1" m="1" x="4546"/>
        <item h="1" m="1" x="5130"/>
        <item h="1" m="1" x="3756"/>
        <item h="1" m="1" x="3755"/>
        <item h="1" m="1" x="5121"/>
        <item h="1" m="1" x="5010"/>
        <item h="1" m="1" x="5011"/>
        <item h="1" m="1" x="5009"/>
        <item h="1" m="1" x="5132"/>
        <item h="1" m="1" x="5133"/>
        <item h="1" m="1" x="4760"/>
        <item h="1" m="1" x="5135"/>
        <item h="1" m="1" x="4837"/>
        <item h="1" m="1" x="4838"/>
        <item h="1" m="1" x="3910"/>
        <item h="1" m="1" x="5136"/>
        <item h="1" m="1" x="3165"/>
        <item h="1" m="1" x="2526"/>
        <item h="1" m="1" x="5018"/>
        <item h="1" m="1" x="5019"/>
        <item h="1" m="1" x="5020"/>
        <item h="1" m="1" x="5021"/>
        <item h="1" m="1" x="5022"/>
        <item h="1" m="1" x="2416"/>
        <item h="1" m="1" x="5016"/>
        <item h="1" m="1" x="5017"/>
        <item h="1" m="1" x="4756"/>
        <item h="1" m="1" x="5058"/>
        <item h="1" m="1" x="4768"/>
        <item h="1" x="249"/>
        <item h="1" x="395"/>
        <item h="1" m="1" x="4771"/>
        <item h="1" m="1" x="4770"/>
        <item h="1" m="1" x="4769"/>
        <item h="1" m="1" x="5069"/>
        <item h="1" m="1" x="1239"/>
        <item h="1" m="1" x="4638"/>
        <item h="1" m="1" x="5092"/>
        <item h="1" m="1" x="5093"/>
        <item h="1" m="1" x="4846"/>
        <item h="1" m="1" x="5139"/>
        <item h="1" m="1" x="1950"/>
        <item h="1" m="1" x="5140"/>
        <item h="1" m="1" x="5141"/>
        <item h="1" m="1" x="5032"/>
        <item h="1" m="1" x="4947"/>
        <item h="1" m="1" x="5142"/>
        <item h="1" m="1" x="3023"/>
        <item h="1" m="1" x="5143"/>
        <item h="1" m="1" x="4147"/>
        <item h="1" m="1" x="5144"/>
        <item h="1" m="1" x="5145"/>
        <item h="1" m="1" x="5146"/>
        <item h="1" m="1" x="5147"/>
        <item h="1" m="1" x="5148"/>
        <item h="1" m="1" x="5149"/>
        <item h="1" m="1" x="5150"/>
        <item h="1" m="1" x="5151"/>
        <item h="1" m="1" x="5152"/>
        <item h="1" m="1" x="5034"/>
        <item h="1" m="1" x="5153"/>
        <item h="1" m="1" x="5154"/>
        <item h="1" m="1" x="1743"/>
        <item h="1" m="1" x="1380"/>
        <item h="1" m="1" x="4168"/>
        <item h="1" m="1" x="1666"/>
        <item h="1" m="1" x="5039"/>
        <item h="1" m="1" x="4672"/>
        <item h="1" m="1" x="5040"/>
        <item h="1" m="1" x="5041"/>
        <item h="1" m="1" x="4673"/>
        <item h="1" m="1" x="4741"/>
        <item h="1" m="1" x="4943"/>
        <item h="1" m="1" x="5043"/>
        <item h="1" m="1" x="5044"/>
        <item h="1" m="1" x="3866"/>
        <item h="1" m="1" x="4743"/>
        <item h="1" m="1" x="5046"/>
        <item h="1" m="1" x="5048"/>
        <item h="1" m="1" x="5049"/>
        <item h="1" m="1" x="1961"/>
        <item h="1" m="1" x="2315"/>
        <item h="1" m="1" x="4833"/>
        <item h="1" m="1" x="4834"/>
        <item h="1" m="1" x="4836"/>
        <item h="1" m="1" x="4945"/>
        <item h="1" m="1" x="4758"/>
        <item h="1" m="1" x="5050"/>
        <item h="1" m="1" x="5051"/>
        <item h="1" m="1" x="2789"/>
        <item h="1" m="1" x="5052"/>
        <item h="1" m="1" x="5053"/>
        <item h="1" m="1" x="4842"/>
        <item h="1" m="1" x="2689"/>
        <item h="1" m="1" x="5056"/>
        <item h="1" m="1" x="5057"/>
        <item h="1" m="1" x="5059"/>
        <item h="1" m="1" x="5061"/>
        <item h="1" m="1" x="5062"/>
        <item h="1" m="1" x="5063"/>
        <item h="1" m="1" x="5064"/>
        <item h="1" m="1" x="3630"/>
        <item h="1" m="1" x="5066"/>
        <item h="1" m="1" x="5067"/>
        <item h="1" m="1" x="4625"/>
        <item h="1" m="1" x="5068"/>
        <item h="1" m="1" x="3153"/>
        <item h="1" m="1" x="5071"/>
        <item h="1" m="1" x="5072"/>
        <item h="1" m="1" x="5073"/>
        <item h="1" m="1" x="5074"/>
        <item h="1" m="1" x="5075"/>
        <item h="1" m="1" x="5076"/>
        <item h="1" m="1" x="5077"/>
        <item h="1" m="1" x="5078"/>
        <item h="1" m="1" x="4690"/>
        <item h="1" m="1" x="4691"/>
        <item h="1" m="1" x="5079"/>
        <item h="1" m="1" x="1706"/>
        <item h="1" m="1" x="5080"/>
        <item h="1" m="1" x="5081"/>
        <item h="1" m="1" x="1785"/>
        <item h="1" m="1" x="1763"/>
        <item h="1" m="1" x="4986"/>
        <item h="1" m="1" x="4982"/>
        <item h="1" m="1" x="4207"/>
        <item h="1" m="1" x="5082"/>
        <item h="1" m="1" x="5083"/>
        <item h="1" m="1" x="4200"/>
        <item h="1" m="1" x="5084"/>
        <item h="1" m="1" x="1687"/>
        <item h="1" m="1" x="4220"/>
        <item h="1" m="1" x="3404"/>
        <item h="1" m="1" x="3405"/>
        <item h="1" m="1" x="3406"/>
        <item h="1" m="1" x="5087"/>
        <item h="1" m="1" x="5088"/>
        <item h="1" m="1" x="4089"/>
        <item h="1" m="1" x="1669"/>
        <item h="1" m="1" x="1670"/>
        <item h="1" m="1" x="2348"/>
        <item h="1" m="1" x="5090"/>
        <item h="1" m="1" x="1683"/>
        <item h="1" m="1" x="1682"/>
        <item h="1" m="1" x="4991"/>
        <item h="1" m="1" x="4992"/>
        <item h="1" m="1" x="4851"/>
        <item h="1" m="1" x="4232"/>
        <item h="1" m="1" x="4162"/>
        <item h="1" m="1" x="5091"/>
        <item h="1" x="123"/>
        <item h="1" m="1" x="3990"/>
        <item h="1" m="1" x="5094"/>
        <item h="1" m="1" x="4683"/>
        <item h="1" m="1" x="4684"/>
        <item h="1" m="1" x="4685"/>
        <item h="1" m="1" x="4689"/>
        <item h="1" m="1" x="5095"/>
        <item h="1" m="1" x="2116"/>
        <item h="1" m="1" x="4962"/>
        <item h="1" m="1" x="4854"/>
        <item h="1" m="1" x="4855"/>
        <item h="1" m="1" x="4817"/>
        <item h="1" m="1" x="4818"/>
        <item h="1" m="1" x="4816"/>
        <item h="1" m="1" x="4742"/>
        <item h="1" m="1" x="4819"/>
        <item h="1" m="1" x="4963"/>
        <item h="1" m="1" x="4820"/>
        <item h="1" m="1" x="4821"/>
        <item h="1" m="1" x="4965"/>
        <item h="1" m="1" x="2945"/>
        <item h="1" m="1" x="4824"/>
        <item h="1" m="1" x="4746"/>
        <item h="1" m="1" x="4966"/>
        <item h="1" m="1" x="4826"/>
        <item h="1" m="1" x="4825"/>
        <item h="1" m="1" x="4270"/>
        <item h="1" m="1" x="4967"/>
        <item h="1" m="1" x="4830"/>
        <item h="1" m="1" x="4831"/>
        <item h="1" m="1" x="4832"/>
        <item h="1" m="1" x="4968"/>
        <item h="1" m="1" x="4969"/>
        <item h="1" m="1" x="4872"/>
        <item h="1" m="1" x="4970"/>
        <item h="1" m="1" x="4971"/>
        <item h="1" m="1" x="4873"/>
        <item h="1" m="1" x="4972"/>
        <item h="1" m="1" x="4874"/>
        <item h="1" m="1" x="4875"/>
        <item h="1" m="1" x="4876"/>
        <item h="1" m="1" x="4877"/>
        <item h="1" m="1" x="4973"/>
        <item h="1" m="1" x="4878"/>
        <item h="1" m="1" x="4879"/>
        <item h="1" m="1" x="4974"/>
        <item h="1" m="1" x="4835"/>
        <item h="1" m="1" x="4841"/>
        <item h="1" m="1" x="4839"/>
        <item h="1" m="1" x="4840"/>
        <item h="1" m="1" x="4606"/>
        <item h="1" m="1" x="4610"/>
        <item h="1" m="1" x="4611"/>
        <item h="1" m="1" x="4761"/>
        <item h="1" m="1" x="4843"/>
        <item h="1" m="1" x="4762"/>
        <item h="1" m="1" x="4844"/>
        <item h="1" m="1" x="4978"/>
        <item h="1" m="1" x="2072"/>
        <item h="1" m="1" x="4780"/>
        <item h="1" m="1" x="4979"/>
        <item h="1" m="1" x="4773"/>
        <item h="1" m="1" x="4763"/>
        <item h="1" m="1" x="1916"/>
        <item h="1" m="1" x="4896"/>
        <item h="1" m="1" x="4897"/>
        <item h="1" m="1" x="3485"/>
        <item h="1" m="1" x="4627"/>
        <item h="1" m="1" x="4898"/>
        <item h="1" m="1" x="4628"/>
        <item h="1" m="1" x="4857"/>
        <item h="1" m="1" x="4774"/>
        <item h="1" m="1" x="4858"/>
        <item h="1" m="1" x="4980"/>
        <item h="1" m="1" x="4776"/>
        <item h="1" m="1" x="4981"/>
        <item h="1" m="1" x="4779"/>
        <item h="1" m="1" x="1813"/>
        <item h="1" m="1" x="4983"/>
        <item h="1" m="1" x="4206"/>
        <item h="1" m="1" x="4984"/>
        <item h="1" m="1" x="4985"/>
        <item h="1" m="1" x="4987"/>
        <item h="1" m="1" x="1847"/>
        <item h="1" m="1" x="4534"/>
        <item h="1" m="1" x="1715"/>
        <item h="1" m="1" x="1707"/>
        <item h="1" m="1" x="4988"/>
        <item h="1" m="1" x="4989"/>
        <item h="1" m="1" x="3835"/>
        <item h="1" m="1" x="4781"/>
        <item h="1" m="1" x="4450"/>
        <item h="1" m="1" x="4847"/>
        <item h="1" m="1" x="4848"/>
        <item h="1" m="1" x="4990"/>
        <item h="1" m="1" x="4993"/>
        <item h="1" m="1" x="4994"/>
        <item h="1" m="1" x="4995"/>
        <item h="1" m="1" x="4996"/>
        <item h="1" m="1" x="4849"/>
        <item h="1" m="1" x="4850"/>
        <item h="1" m="1" x="4997"/>
        <item h="1" m="1" x="4782"/>
        <item h="1" m="1" x="4852"/>
        <item h="1" m="1" x="4547"/>
        <item h="1" m="1" x="4853"/>
        <item h="1" m="1" x="4737"/>
        <item h="1" m="1" x="4692"/>
        <item h="1" m="1" x="4693"/>
        <item h="1" m="1" x="4856"/>
        <item h="1" m="1" x="4860"/>
        <item h="1" m="1" x="4674"/>
        <item h="1" m="1" x="4861"/>
        <item h="1" m="1" x="2917"/>
        <item h="1" m="1" x="4863"/>
        <item h="1" m="1" x="4565"/>
        <item h="1" m="1" x="4745"/>
        <item h="1" m="1" x="4271"/>
        <item h="1" m="1" x="3801"/>
        <item h="1" m="1" x="4864"/>
        <item h="1" m="1" x="4865"/>
        <item h="1" m="1" x="4263"/>
        <item h="1" m="1" x="4253"/>
        <item h="1" m="1" x="4254"/>
        <item h="1" m="1" x="4866"/>
        <item h="1" m="1" x="4129"/>
        <item h="1" m="1" x="4241"/>
        <item h="1" m="1" x="3859"/>
        <item h="1" m="1" x="4744"/>
        <item h="1" m="1" x="4675"/>
        <item h="1" m="1" x="4238"/>
        <item h="1" m="1" x="4867"/>
        <item h="1" m="1" x="4868"/>
        <item h="1" m="1" x="4752"/>
        <item h="1" m="1" x="4753"/>
        <item h="1" m="1" x="4574"/>
        <item h="1" m="1" x="4870"/>
        <item h="1" m="1" x="4871"/>
        <item h="1" m="1" x="4747"/>
        <item h="1" m="1" x="4748"/>
        <item h="1" m="1" x="4749"/>
        <item h="1" m="1" x="4750"/>
        <item h="1" m="1" x="4688"/>
        <item h="1" m="1" x="4880"/>
        <item h="1" m="1" x="4882"/>
        <item h="1" m="1" x="4884"/>
        <item h="1" m="1" x="4754"/>
        <item h="1" m="1" x="4886"/>
        <item h="1" m="1" x="4757"/>
        <item h="1" m="1" x="4887"/>
        <item h="1" m="1" x="2797"/>
        <item h="1" m="1" x="4888"/>
        <item h="1" m="1" x="4313"/>
        <item h="1" m="1" x="4889"/>
        <item h="1" m="1" x="4890"/>
        <item h="1" m="1" x="4891"/>
        <item h="1" m="1" x="4892"/>
        <item h="1" m="1" x="4893"/>
        <item h="1" m="1" x="4894"/>
        <item h="1" m="1" x="2861"/>
        <item h="1" m="1" x="4775"/>
        <item h="1" m="1" x="1909"/>
        <item h="1" m="1" x="4899"/>
        <item h="1" m="1" x="4187"/>
        <item h="1" m="1" x="4777"/>
        <item h="1" m="1" x="4778"/>
        <item h="1" m="1" x="1406"/>
        <item h="1" m="1" x="4900"/>
        <item h="1" m="1" x="4901"/>
        <item h="1" m="1" x="4903"/>
        <item h="1" m="1" x="4904"/>
        <item h="1" m="1" x="4905"/>
        <item h="1" m="1" x="1713"/>
        <item h="1" m="1" x="4906"/>
        <item h="1" m="1" x="1698"/>
        <item h="1" m="1" x="4907"/>
        <item h="1" m="1" x="4908"/>
        <item h="1" m="1" x="4909"/>
        <item h="1" m="1" x="4910"/>
        <item h="1" m="1" x="4911"/>
        <item h="1" m="1" x="1906"/>
        <item h="1" m="1" x="4218"/>
        <item h="1" m="1" x="4912"/>
        <item h="1" m="1" x="4444"/>
        <item h="1" m="1" x="1759"/>
        <item h="1" m="1" x="4913"/>
        <item h="1" m="1" x="4453"/>
        <item h="1" m="1" x="3844"/>
        <item h="1" m="1" x="4234"/>
        <item h="1" m="1" x="4235"/>
        <item h="1" m="1" x="4914"/>
        <item h="1" m="1" x="4915"/>
        <item h="1" m="1" x="4916"/>
        <item h="1" m="1" x="4245"/>
        <item h="1" m="1" x="4783"/>
        <item h="1" m="1" x="4917"/>
        <item h="1" m="1" x="4246"/>
        <item h="1" m="1" x="4247"/>
        <item h="1" m="1" x="1426"/>
        <item h="1" m="1" x="4759"/>
        <item h="1" m="1" x="4642"/>
        <item h="1" m="1" x="1671"/>
        <item h="1" m="1" x="4465"/>
        <item h="1" m="1" x="4554"/>
        <item h="1" m="1" x="4784"/>
        <item h="1" m="1" x="4785"/>
        <item h="1" m="1" x="4671"/>
        <item h="1" m="1" x="4786"/>
        <item h="1" m="1" x="4787"/>
        <item h="1" m="1" x="4788"/>
        <item h="1" m="1" x="4562"/>
        <item h="1" m="1" x="4542"/>
        <item h="1" m="1" x="4676"/>
        <item h="1" m="1" x="4677"/>
        <item h="1" m="1" x="4274"/>
        <item h="1" m="1" x="4566"/>
        <item h="1" m="1" x="4679"/>
        <item h="1" m="1" x="4678"/>
        <item h="1" m="1" x="1210"/>
        <item h="1" m="1" x="4790"/>
        <item h="1" m="1" x="4791"/>
        <item h="1" m="1" x="4139"/>
        <item h="1" m="1" x="4792"/>
        <item h="1" m="1" x="3516"/>
        <item h="1" m="1" x="4585"/>
        <item h="1" m="1" x="3311"/>
        <item h="1" m="1" x="4584"/>
        <item h="1" m="1" x="3476"/>
        <item h="1" m="1" x="4608"/>
        <item h="1" x="231"/>
        <item h="1" m="1" x="4601"/>
        <item h="1" m="1" x="4580"/>
        <item h="1" m="1" x="4794"/>
        <item h="1" m="1" x="4795"/>
        <item h="1" m="1" x="4617"/>
        <item h="1" m="1" x="4796"/>
        <item h="1" m="1" x="4629"/>
        <item h="1" m="1" x="1347"/>
        <item h="1" m="1" x="4326"/>
        <item h="1" m="1" x="4338"/>
        <item h="1" m="1" x="4798"/>
        <item h="1" m="1" x="4349"/>
        <item h="1" m="1" x="4799"/>
        <item h="1" m="1" x="4800"/>
        <item h="1" m="1" x="4801"/>
        <item h="1" m="1" x="4408"/>
        <item h="1" m="1" x="4406"/>
        <item h="1" m="1" x="3352"/>
        <item h="1" m="1" x="4802"/>
        <item h="1" m="1" x="4803"/>
        <item h="1" m="1" x="1942"/>
        <item h="1" m="1" x="1945"/>
        <item h="1" m="1" x="4005"/>
        <item h="1" m="1" x="1941"/>
        <item h="1" m="1" x="4154"/>
        <item h="1" m="1" x="4155"/>
        <item h="1" m="1" x="1898"/>
        <item h="1" m="1" x="4804"/>
        <item h="1" m="1" x="4805"/>
        <item h="1" m="1" x="4806"/>
        <item h="1" m="1" x="4807"/>
        <item h="1" m="1" x="4808"/>
        <item h="1" m="1" x="4459"/>
        <item h="1" m="1" x="4460"/>
        <item h="1" m="1" x="4809"/>
        <item h="1" m="1" x="4264"/>
        <item h="1" m="1" x="4810"/>
        <item h="1" m="1" x="4170"/>
        <item h="1" m="1" x="4269"/>
        <item h="1" m="1" x="4680"/>
        <item h="1" m="1" x="4681"/>
        <item h="1" m="1" x="4682"/>
        <item h="1" m="1" x="4686"/>
        <item h="1" m="1" x="4573"/>
        <item h="1" m="1" x="4687"/>
        <item h="1" m="1" x="4587"/>
        <item h="1" m="1" x="2842"/>
        <item h="1" m="1" x="4612"/>
        <item h="1" m="1" x="2824"/>
        <item h="1" m="1" x="4694"/>
        <item h="1" m="1" x="4659"/>
        <item h="1" m="1" x="4664"/>
        <item h="1" m="1" x="4695"/>
        <item h="1" m="1" x="4696"/>
        <item h="1" m="1" x="4697"/>
        <item h="1" m="1" x="4698"/>
        <item h="1" m="1" x="811"/>
        <item h="1" m="1" x="4699"/>
        <item h="1" m="1" x="4700"/>
        <item h="1" m="1" x="1772"/>
        <item h="1" m="1" x="4560"/>
        <item h="1" m="1" x="4109"/>
        <item h="1" m="1" x="4564"/>
        <item h="1" m="1" x="4701"/>
        <item h="1" m="1" x="4586"/>
        <item h="1" m="1" x="4588"/>
        <item h="1" m="1" x="4589"/>
        <item h="1" m="1" x="4600"/>
        <item h="1" m="1" x="4594"/>
        <item h="1" x="264"/>
        <item h="1" m="1" x="2552"/>
        <item h="1" m="1" x="4704"/>
        <item h="1" m="1" x="4567"/>
        <item h="1" m="1" x="4705"/>
        <item h="1" m="1" x="4607"/>
        <item h="1" m="1" x="573"/>
        <item h="1" m="1" x="4706"/>
        <item h="1" m="1" x="4707"/>
        <item h="1" m="1" x="4709"/>
        <item h="1" m="1" x="4640"/>
        <item h="1" m="1" x="4623"/>
        <item h="1" m="1" x="4624"/>
        <item h="1" m="1" x="4626"/>
        <item h="1" m="1" x="4711"/>
        <item h="1" m="1" x="4712"/>
        <item h="1" m="1" x="4643"/>
        <item h="1" m="1" x="4714"/>
        <item h="1" m="1" x="1802"/>
        <item h="1" m="1" x="4645"/>
        <item h="1" m="1" x="4522"/>
        <item h="1" m="1" x="3418"/>
        <item h="1" m="1" x="4715"/>
        <item h="1" m="1" x="4523"/>
        <item h="1" m="1" x="3454"/>
        <item h="1" m="1" x="4716"/>
        <item h="1" m="1" x="4410"/>
        <item h="1" m="1" x="4411"/>
        <item h="1" m="1" x="4651"/>
        <item h="1" m="1" x="1755"/>
        <item h="1" m="1" x="4717"/>
        <item h="1" m="1" x="4718"/>
        <item h="1" m="1" x="4719"/>
        <item h="1" m="1" x="4720"/>
        <item h="1" m="1" x="3774"/>
        <item h="1" m="1" x="1686"/>
        <item h="1" m="1" x="1084"/>
        <item h="1" m="1" x="1908"/>
        <item h="1" m="1" x="4721"/>
        <item h="1" m="1" x="4424"/>
        <item h="1" m="1" x="4425"/>
        <item h="1" m="1" x="4722"/>
        <item h="1" m="1" x="4219"/>
        <item h="1" m="1" x="1824"/>
        <item h="1" m="1" x="1705"/>
        <item h="1" m="1" x="4723"/>
        <item h="1" m="1" x="4437"/>
        <item h="1" m="1" x="4724"/>
        <item h="1" m="1" x="4725"/>
        <item h="1" m="1" x="4726"/>
        <item h="1" m="1" x="4662"/>
        <item h="1" m="1" x="4727"/>
        <item h="1" m="1" x="4163"/>
        <item h="1" m="1" x="4466"/>
        <item h="1" m="1" x="4728"/>
        <item h="1" m="1" x="3792"/>
        <item h="1" m="1" x="4027"/>
        <item h="1" m="1" x="4548"/>
        <item h="1" m="1" x="4472"/>
        <item h="1" m="1" x="4549"/>
        <item h="1" m="1" x="4550"/>
        <item h="1" m="1" x="4034"/>
        <item h="1" m="1" x="4551"/>
        <item h="1" m="1" x="4553"/>
        <item h="1" m="1" x="4115"/>
        <item h="1" m="1" x="4116"/>
        <item h="1" m="1" x="4477"/>
        <item h="1" m="1" x="4555"/>
        <item h="1" x="382"/>
        <item h="1" m="1" x="4478"/>
        <item h="1" m="1" x="4557"/>
        <item h="1" m="1" x="4558"/>
        <item h="1" m="1" x="4559"/>
        <item h="1" m="1" x="4483"/>
        <item h="1" m="1" x="4561"/>
        <item h="1" m="1" x="4272"/>
        <item h="1" m="1" x="4484"/>
        <item h="1" m="1" x="4568"/>
        <item h="1" m="1" x="4569"/>
        <item h="1" m="1" x="4570"/>
        <item h="1" m="1" x="4571"/>
        <item h="1" m="1" x="4572"/>
        <item h="1" m="1" x="4575"/>
        <item h="1" m="1" x="2994"/>
        <item h="1" m="1" x="3433"/>
        <item h="1" m="1" x="4576"/>
        <item h="1" m="1" x="4577"/>
        <item h="1" m="1" x="4578"/>
        <item h="1" m="1" x="4495"/>
        <item h="1" m="1" x="4496"/>
        <item h="1" m="1" x="4579"/>
        <item h="1" m="1" x="2489"/>
        <item h="1" m="1" x="4590"/>
        <item h="1" m="1" x="4591"/>
        <item h="1" m="1" x="4593"/>
        <item h="1" m="1" x="4598"/>
        <item h="1" x="261"/>
        <item h="1" m="1" x="4599"/>
        <item h="1" m="1" x="4054"/>
        <item h="1" m="1" x="4445"/>
        <item h="1" m="1" x="4290"/>
        <item h="1" m="1" x="4291"/>
        <item h="1" m="1" x="4133"/>
        <item h="1" m="1" x="3915"/>
        <item h="1" m="1" x="4602"/>
        <item h="1" m="1" x="4604"/>
        <item h="1" m="1" x="4605"/>
        <item h="1" m="1" x="4299"/>
        <item h="1" m="1" x="4303"/>
        <item h="1" m="1" x="4292"/>
        <item h="1" m="1" x="4609"/>
        <item h="1" m="1" x="4613"/>
        <item h="1" m="1" x="4614"/>
        <item h="1" m="1" x="4615"/>
        <item h="1" m="1" x="4616"/>
        <item h="1" m="1" x="4618"/>
        <item h="1" m="1" x="4619"/>
        <item h="1" m="1" x="4620"/>
        <item h="1" m="1" x="4513"/>
        <item h="1" m="1" x="4630"/>
        <item h="1" m="1" x="4631"/>
        <item h="1" m="1" x="4632"/>
        <item h="1" m="1" x="4633"/>
        <item h="1" m="1" x="4634"/>
        <item h="1" m="1" x="4514"/>
        <item h="1" m="1" x="4635"/>
        <item h="1" m="1" x="4636"/>
        <item h="1" m="1" x="4637"/>
        <item h="1" m="1" x="4507"/>
        <item h="1" m="1" x="4515"/>
        <item h="1" m="1" x="4511"/>
        <item h="1" m="1" x="4510"/>
        <item h="1" m="1" x="4509"/>
        <item h="1" m="1" x="4508"/>
        <item h="1" m="1" x="4641"/>
        <item h="1" m="1" x="4516"/>
        <item h="1" m="1" x="4517"/>
        <item h="1" m="1" x="4518"/>
        <item h="1" m="1" x="4644"/>
        <item h="1" m="1" x="4074"/>
        <item h="1" m="1" x="4325"/>
        <item h="1" m="1" x="4191"/>
        <item h="1" m="1" x="4648"/>
        <item h="1" m="1" x="1762"/>
        <item h="1" m="1" x="4195"/>
        <item h="1" m="1" x="4196"/>
        <item h="1" m="1" x="4649"/>
        <item h="1" m="1" x="4650"/>
        <item h="1" m="1" x="4409"/>
        <item h="1" m="1" x="4211"/>
        <item h="1" m="1" x="4652"/>
        <item h="1" m="1" x="3124"/>
        <item h="1" m="1" x="1792"/>
        <item h="1" m="1" x="4653"/>
        <item h="1" m="1" x="4654"/>
        <item h="1" m="1" x="4527"/>
        <item h="1" m="1" x="4655"/>
        <item h="1" m="1" x="1668"/>
        <item h="1" m="1" x="4524"/>
        <item h="1" m="1" x="4656"/>
        <item h="1" m="1" x="4657"/>
        <item h="1" m="1" x="3136"/>
        <item h="1" m="1" x="3139"/>
        <item h="1" m="1" x="1775"/>
        <item h="1" m="1" x="1786"/>
        <item h="1" m="1" x="4658"/>
        <item h="1" m="1" x="4660"/>
        <item h="1" m="1" x="4661"/>
        <item h="1" m="1" x="4543"/>
        <item h="1" m="1" x="4464"/>
        <item h="1" m="1" x="4099"/>
        <item h="1" m="1" x="4165"/>
        <item h="1" m="1" x="4243"/>
        <item h="1" m="1" x="4663"/>
        <item h="1" m="1" x="3479"/>
        <item h="1" m="1" x="4251"/>
        <item h="1" m="1" x="4471"/>
        <item h="1" m="1" x="4252"/>
        <item h="1" m="1" x="4256"/>
        <item h="1" m="1" x="4473"/>
        <item h="1" m="1" x="4110"/>
        <item h="1" m="1" x="4261"/>
        <item h="1" m="1" x="4111"/>
        <item h="1" m="1" x="4475"/>
        <item h="1" m="1" x="4476"/>
        <item h="1" m="1" x="4172"/>
        <item h="1" m="1" x="4117"/>
        <item h="1" m="1" x="3858"/>
        <item h="1" m="1" x="3400"/>
        <item h="1" m="1" x="4281"/>
        <item h="1" m="1" x="4280"/>
        <item h="1" m="1" x="4273"/>
        <item h="1" m="1" x="4276"/>
        <item h="1" m="1" x="3079"/>
        <item h="1" m="1" x="4283"/>
        <item h="1" m="1" x="4485"/>
        <item h="1" m="1" x="4486"/>
        <item h="1" m="1" x="4487"/>
        <item h="1" m="1" x="4488"/>
        <item h="1" m="1" x="4489"/>
        <item h="1" m="1" x="4490"/>
        <item h="1" m="1" x="4492"/>
        <item h="1" m="1" x="4493"/>
        <item h="1" m="1" x="4300"/>
        <item h="1" m="1" x="4494"/>
        <item h="1" m="1" x="4301"/>
        <item h="1" m="1" x="4293"/>
        <item h="1" m="1" x="4294"/>
        <item h="1" m="1" x="4498"/>
        <item h="1" m="1" x="4499"/>
        <item h="1" m="1" x="4500"/>
        <item h="1" m="1" x="4501"/>
        <item h="1" m="1" x="4502"/>
        <item h="1" m="1" x="4503"/>
        <item h="1" m="1" x="4504"/>
        <item h="1" m="1" x="4505"/>
        <item h="1" m="1" x="4308"/>
        <item h="1" m="1" x="4310"/>
        <item h="1" m="1" x="2970"/>
        <item h="1" m="1" x="3111"/>
        <item h="1" m="1" x="4319"/>
        <item h="1" m="1" x="4316"/>
        <item h="1" m="1" x="4317"/>
        <item h="1" m="1" x="2727"/>
        <item h="1" m="1" x="4318"/>
        <item h="1" m="1" x="4321"/>
        <item h="1" m="1" x="4327"/>
        <item h="1" m="1" x="4519"/>
        <item h="1" m="1" x="4520"/>
        <item h="1" m="1" x="4521"/>
        <item h="1" m="1" x="3402"/>
        <item h="1" m="1" x="4350"/>
        <item h="1" m="1" x="4351"/>
        <item h="1" m="1" x="1613"/>
        <item h="1" m="1" x="1901"/>
        <item h="1" m="1" x="4205"/>
        <item h="1" m="1" x="4215"/>
        <item h="1" m="1" x="4214"/>
        <item h="1" m="1" x="4210"/>
        <item h="1" m="1" x="4525"/>
        <item h="1" m="1" x="4526"/>
        <item h="1" m="1" x="1073"/>
        <item h="1" m="1" x="1764"/>
        <item h="1" m="1" x="4528"/>
        <item h="1" m="1" x="4529"/>
        <item h="1" m="1" x="4530"/>
        <item h="1" m="1" x="4531"/>
        <item h="1" m="1" x="4532"/>
        <item h="1" m="1" x="1610"/>
        <item h="1" m="1" x="4533"/>
        <item h="1" m="1" x="1788"/>
        <item h="1" m="1" x="1787"/>
        <item h="1" m="1" x="3138"/>
        <item h="1" m="1" x="4535"/>
        <item h="1" m="1" x="4221"/>
        <item h="1" m="1" x="1789"/>
        <item h="1" m="1" x="1774"/>
        <item h="1" m="1" x="4223"/>
        <item h="1" m="1" x="4536"/>
        <item h="1" m="1" x="4537"/>
        <item h="1" m="1" x="4539"/>
        <item h="1" m="1" x="4540"/>
        <item h="1" m="1" x="3478"/>
        <item h="1" m="1" x="3838"/>
        <item h="1" m="1" x="4452"/>
        <item h="1" m="1" x="4541"/>
        <item h="1" m="1" x="2134"/>
        <item h="1" m="1" x="3146"/>
        <item h="1" m="1" x="4544"/>
        <item h="1" m="1" x="1586"/>
        <item h="1" m="1" x="4017"/>
        <item h="1" m="1" x="4469"/>
        <item h="1" m="1" x="4470"/>
        <item h="1" m="1" x="4108"/>
        <item h="1" m="1" x="4250"/>
        <item h="1" m="1" x="4255"/>
        <item h="1" m="1" x="4257"/>
        <item h="1" m="1" x="4258"/>
        <item h="1" m="1" x="3793"/>
        <item h="1" m="1" x="4259"/>
        <item h="1" m="1" x="4262"/>
        <item h="1" m="1" x="4175"/>
        <item h="1" m="1" x="4266"/>
        <item h="1" m="1" x="4267"/>
        <item h="1" m="1" x="3873"/>
        <item h="1" m="1" x="4275"/>
        <item h="1" m="1" x="4277"/>
        <item h="1" m="1" x="3734"/>
        <item h="1" m="1" x="4278"/>
        <item h="1" m="1" x="4279"/>
        <item h="1" m="1" x="4282"/>
        <item h="1" m="1" x="4463"/>
        <item h="1" m="1" x="4284"/>
        <item h="1" m="1" x="4285"/>
        <item h="1" m="1" x="4286"/>
        <item h="1" m="1" x="4287"/>
        <item h="1" m="1" x="4288"/>
        <item h="1" m="1" x="4289"/>
        <item h="1" m="1" x="4295"/>
        <item h="1" m="1" x="4296"/>
        <item h="1" m="1" x="4297"/>
        <item h="1" m="1" x="4298"/>
        <item h="1" m="1" x="4302"/>
        <item h="1" m="1" x="4304"/>
        <item h="1" m="1" x="4305"/>
        <item h="1" m="1" x="4306"/>
        <item h="1" m="1" x="498"/>
        <item h="1" m="1" x="4307"/>
        <item h="1" m="1" x="822"/>
        <item h="1" m="1" x="2194"/>
        <item h="1" m="1" x="4468"/>
        <item h="1" m="1" x="4311"/>
        <item h="1" m="1" x="4312"/>
        <item h="1" m="1" x="4314"/>
        <item h="1" m="1" x="4315"/>
        <item h="1" m="1" x="3252"/>
        <item h="1" m="1" x="4320"/>
        <item h="1" m="1" x="4331"/>
        <item h="1" m="1" x="4332"/>
        <item h="1" m="1" x="4333"/>
        <item h="1" m="1" x="4334"/>
        <item h="1" m="1" x="4335"/>
        <item h="1" m="1" x="4336"/>
        <item h="1" m="1" x="4337"/>
        <item h="1" m="1" x="4339"/>
        <item h="1" m="1" x="2737"/>
        <item h="1" m="1" x="2738"/>
        <item h="1" m="1" x="4192"/>
        <item h="1" m="1" x="4193"/>
        <item h="1" m="1" x="4359"/>
        <item h="1" m="1" x="4202"/>
        <item h="1" m="1" x="4203"/>
        <item h="1" m="1" x="4209"/>
        <item h="1" m="1" x="4208"/>
        <item h="1" m="1" x="4213"/>
        <item h="1" m="1" x="1732"/>
        <item h="1" m="1" x="4417"/>
        <item h="1" m="1" x="4419"/>
        <item h="1" m="1" x="4420"/>
        <item h="1" m="1" x="4217"/>
        <item h="1" m="1" x="4442"/>
        <item h="1" m="1" x="4451"/>
        <item h="1" m="1" x="3843"/>
        <item h="1" m="1" x="2505"/>
        <item h="1" m="1" x="4014"/>
        <item h="1" m="1" x="4015"/>
        <item h="1" m="1" x="4236"/>
        <item h="1" m="1" x="4240"/>
        <item h="1" m="1" x="2032"/>
        <item h="1" m="1" x="4169"/>
        <item h="1" m="1" x="4103"/>
        <item h="1" m="1" x="4112"/>
        <item h="1" m="1" x="3853"/>
        <item h="1" m="1" x="3862"/>
        <item h="1" x="166"/>
        <item h="1" m="1" x="4171"/>
        <item h="1" m="1" x="4120"/>
        <item h="1" m="1" x="4124"/>
        <item h="1" m="1" x="4125"/>
        <item h="1" m="1" x="4126"/>
        <item h="1" m="1" x="4127"/>
        <item h="1" m="1" x="4128"/>
        <item h="1" m="1" x="4179"/>
        <item h="1" m="1" x="2553"/>
        <item h="1" m="1" x="4047"/>
        <item h="1" m="1" x="4048"/>
        <item h="1" m="1" x="4049"/>
        <item h="1" m="1" x="4045"/>
        <item h="1" m="1" x="4046"/>
        <item h="1" m="1" x="1935"/>
        <item h="1" m="1" x="4182"/>
        <item h="1" m="1" x="3902"/>
        <item h="1" m="1" x="4183"/>
        <item h="1" m="1" x="3958"/>
        <item h="1" m="1" x="4184"/>
        <item h="1" m="1" x="4185"/>
        <item h="1" m="1" x="4186"/>
        <item h="1" m="1" x="4188"/>
        <item h="1" m="1" x="4190"/>
        <item h="1" m="1" x="3817"/>
        <item h="1" m="1" x="3818"/>
        <item h="1" m="1" x="4197"/>
        <item h="1" m="1" x="4198"/>
        <item h="1" m="1" x="4204"/>
        <item h="1" m="1" x="4149"/>
        <item h="1" m="1" x="4148"/>
        <item h="1" m="1" x="3820"/>
        <item h="1" m="1" x="3821"/>
        <item h="1" m="1" x="4002"/>
        <item h="1" m="1" x="4216"/>
        <item h="1" m="1" x="1823"/>
        <item h="1" m="1" x="1709"/>
        <item h="1" m="1" x="1710"/>
        <item h="1" m="1" x="4222"/>
        <item h="1" m="1" x="4225"/>
        <item h="1" m="1" x="4007"/>
        <item h="1" m="1" x="2490"/>
        <item h="1" m="1" x="4226"/>
        <item h="1" m="1" x="4009"/>
        <item h="1" m="1" x="4227"/>
        <item h="1" m="1" x="3842"/>
        <item h="1" m="1" x="4228"/>
        <item h="1" m="1" x="4229"/>
        <item h="1" m="1" x="4230"/>
        <item h="1" m="1" x="4231"/>
        <item h="1" m="1" x="4012"/>
        <item h="1" m="1" x="4233"/>
        <item h="1" m="1" x="2757"/>
        <item h="1" m="1" x="4237"/>
        <item h="1" m="1" x="4167"/>
        <item h="1" m="1" x="4248"/>
        <item h="1" m="1" x="4249"/>
        <item h="1" m="1" x="4105"/>
        <item h="1" m="1" x="4106"/>
        <item h="1" m="1" x="4107"/>
        <item h="1" m="1" x="4113"/>
        <item h="1" m="1" x="4114"/>
        <item h="1" m="1" x="3472"/>
        <item h="1" m="1" x="3473"/>
        <item h="1" m="1" x="3278"/>
        <item h="1" m="1" x="3860"/>
        <item h="1" m="1" x="2185"/>
        <item h="1" m="1" x="4118"/>
        <item h="1" m="1" x="4121"/>
        <item h="1" m="1" x="3871"/>
        <item h="1" m="1" x="4122"/>
        <item h="1" m="1" x="4123"/>
        <item h="1" m="1" x="3800"/>
        <item h="1" m="1" x="4131"/>
        <item h="1" m="1" x="4132"/>
        <item h="1" m="1" x="3880"/>
        <item h="1" m="1" x="3887"/>
        <item h="1" m="1" x="2158"/>
        <item h="1" m="1" x="3892"/>
        <item h="1" m="1" x="4134"/>
        <item h="1" m="1" x="3922"/>
        <item h="1" m="1" x="4135"/>
        <item h="1" m="1" x="4136"/>
        <item h="1" m="1" x="3483"/>
        <item h="1" m="1" x="4137"/>
        <item h="1" m="1" x="4140"/>
        <item h="1" m="1" x="4006"/>
        <item h="1" m="1" x="4071"/>
        <item h="1" m="1" x="3989"/>
        <item h="1" m="1" x="4141"/>
        <item h="1" m="1" x="4143"/>
        <item h="1" m="1" x="4145"/>
        <item h="1" m="1" x="3701"/>
        <item h="1" m="1" x="3823"/>
        <item h="1" m="1" x="3828"/>
        <item h="1" m="1" x="1793"/>
        <item h="1" m="1" x="1794"/>
        <item h="1" m="1" x="4150"/>
        <item h="1" m="1" x="4151"/>
        <item h="1" m="1" x="3997"/>
        <item h="1" m="1" x="4152"/>
        <item h="1" m="1" x="1594"/>
        <item h="1" m="1" x="1700"/>
        <item h="1" m="1" x="3135"/>
        <item h="1" m="1" x="1699"/>
        <item h="1" m="1" x="3141"/>
        <item h="1" m="1" x="4153"/>
        <item h="1" m="1" x="1795"/>
        <item h="1" m="1" x="1798"/>
        <item h="1" m="1" x="1796"/>
        <item h="1" m="1" x="1589"/>
        <item h="1" m="1" x="3142"/>
        <item h="1" m="1" x="2908"/>
        <item h="1" m="1" x="1251"/>
        <item h="1" m="1" x="2874"/>
        <item h="1" m="1" x="3840"/>
        <item h="1" m="1" x="3725"/>
        <item h="1" m="1" x="4156"/>
        <item h="1" m="1" x="4157"/>
        <item h="1" m="1" x="4158"/>
        <item h="1" m="1" x="2497"/>
        <item h="1" m="1" x="4159"/>
        <item h="1" m="1" x="4160"/>
        <item h="1" m="1" x="4161"/>
        <item h="1" m="1" x="4164"/>
        <item h="1" m="1" x="4166"/>
        <item h="1" m="1" x="2938"/>
        <item h="1" m="1" x="4019"/>
        <item h="1" m="1" x="782"/>
        <item h="1" m="1" x="4021"/>
        <item h="1" m="1" x="4022"/>
        <item h="1" m="1" x="4023"/>
        <item h="1" m="1" x="4024"/>
        <item h="1" m="1" x="4025"/>
        <item h="1" m="1" x="4026"/>
        <item h="1" m="1" x="3851"/>
        <item h="1" m="1" x="4028"/>
        <item h="1" m="1" x="4029"/>
        <item h="1" m="1" x="4030"/>
        <item h="1" m="1" x="4031"/>
        <item h="1" m="1" x="4032"/>
        <item h="1" m="1" x="4033"/>
        <item h="1" m="1" x="3166"/>
        <item h="1" m="1" x="4035"/>
        <item h="1" m="1" x="3854"/>
        <item h="1" m="1" x="4036"/>
        <item h="1" m="1" x="3480"/>
        <item h="1" m="1" x="4037"/>
        <item h="1" m="1" x="4038"/>
        <item h="1" m="1" x="4039"/>
        <item h="1" m="1" x="4040"/>
        <item h="1" m="1" x="3857"/>
        <item h="1" m="1" x="3799"/>
        <item h="1" m="1" x="4041"/>
        <item h="1" m="1" x="3670"/>
        <item h="1" m="1" x="3877"/>
        <item h="1" m="1" x="4042"/>
        <item h="1" m="1" x="4043"/>
        <item h="1" m="1" x="4050"/>
        <item h="1" m="1" x="4051"/>
        <item h="1" m="1" x="4052"/>
        <item h="1" m="1" x="4053"/>
        <item h="1" m="1" x="3904"/>
        <item h="1" m="1" x="4055"/>
        <item h="1" m="1" x="3905"/>
        <item h="1" m="1" x="4056"/>
        <item h="1" m="1" x="2395"/>
        <item h="1" m="1" x="3906"/>
        <item h="1" m="1" x="4057"/>
        <item h="1" m="1" x="4058"/>
        <item h="1" m="1" x="4059"/>
        <item h="1" m="1" x="4060"/>
        <item h="1" m="1" x="4061"/>
        <item h="1" m="1" x="3894"/>
        <item h="1" m="1" x="4062"/>
        <item h="1" m="1" x="3909"/>
        <item h="1" m="1" x="3917"/>
        <item h="1" m="1" x="3919"/>
        <item h="1" m="1" x="3481"/>
        <item h="1" m="1" x="4063"/>
        <item h="1" m="1" x="4064"/>
        <item h="1" m="1" x="3482"/>
        <item h="1" m="1" x="3920"/>
        <item h="1" m="1" x="3912"/>
        <item h="1" m="1" x="3486"/>
        <item h="1" m="1" x="4065"/>
        <item h="1" m="1" x="3925"/>
        <item h="1" m="1" x="4066"/>
        <item h="1" m="1" x="4067"/>
        <item h="1" m="1" x="3926"/>
        <item h="1" m="1" x="3109"/>
        <item h="1" m="1" x="3935"/>
        <item h="1" m="1" x="3936"/>
        <item h="1" m="1" x="3937"/>
        <item h="1" m="1" x="3933"/>
        <item h="1" m="1" x="3934"/>
        <item h="1" m="1" x="3949"/>
        <item h="1" m="1" x="3940"/>
        <item h="1" m="1" x="3939"/>
        <item h="1" m="1" x="4069"/>
        <item h="1" m="1" x="4070"/>
        <item h="1" m="1" x="3952"/>
        <item h="1" m="1" x="3962"/>
        <item h="1" m="1" x="3961"/>
        <item h="1" m="1" x="3959"/>
        <item h="1" m="1" x="3954"/>
        <item h="1" m="1" x="3960"/>
        <item h="1" m="1" x="3956"/>
        <item h="1" m="1" x="3957"/>
        <item h="1" m="1" x="3970"/>
        <item h="1" m="1" x="3971"/>
        <item h="1" m="1" x="3977"/>
        <item h="1" m="1" x="4072"/>
        <item h="1" m="1" x="3972"/>
        <item h="1" m="1" x="3974"/>
        <item h="1" m="1" x="3982"/>
        <item h="1" m="1" x="3973"/>
        <item h="1" m="1" x="3975"/>
        <item h="1" m="1" x="3976"/>
        <item h="1" m="1" x="3978"/>
        <item h="1" m="1" x="4073"/>
        <item h="1" m="1" x="3984"/>
        <item h="1" m="1" x="3985"/>
        <item h="1" m="1" x="3986"/>
        <item h="1" m="1" x="3987"/>
        <item h="1" m="1" x="3988"/>
        <item h="1" m="1" x="3992"/>
        <item h="1" m="1" x="4075"/>
        <item h="1" m="1" x="4076"/>
        <item h="1" m="1" x="4077"/>
        <item h="1" m="1" x="1677"/>
        <item h="1" m="1" x="4079"/>
        <item h="1" m="1" x="4080"/>
        <item h="1" m="1" x="1735"/>
        <item h="1" m="1" x="1729"/>
        <item h="1" m="1" x="4081"/>
        <item h="1" m="1" x="4082"/>
        <item h="1" m="1" x="3062"/>
        <item h="1" m="1" x="1734"/>
        <item h="1" m="1" x="3822"/>
        <item h="1" m="1" x="1501"/>
        <item h="1" m="1" x="1756"/>
        <item h="1" m="1" x="1592"/>
        <item h="1" m="1" x="1593"/>
        <item h="1" m="1" x="2823"/>
        <item h="1" m="1" x="4083"/>
        <item h="1" m="1" x="4084"/>
        <item h="1" m="1" x="4085"/>
        <item h="1" m="1" x="4086"/>
        <item h="1" m="1" x="3403"/>
        <item h="1" m="1" x="4087"/>
        <item h="1" m="1" x="4088"/>
        <item h="1" m="1" x="1689"/>
        <item h="1" m="1" x="1688"/>
        <item h="1" m="1" x="1846"/>
        <item h="1" m="1" x="1923"/>
        <item h="1" m="1" x="1711"/>
        <item h="1" m="1" x="2113"/>
        <item h="1" m="1" x="1731"/>
        <item h="1" m="1" x="1704"/>
        <item h="1" m="1" x="3776"/>
        <item h="1" m="1" x="1819"/>
        <item h="1" m="1" x="3407"/>
        <item h="1" m="1" x="3408"/>
        <item h="1" m="1" x="4090"/>
        <item h="1" m="1" x="4091"/>
        <item h="1" m="1" x="2752"/>
        <item h="1" m="1" x="4092"/>
        <item h="1" m="1" x="4008"/>
        <item h="1" m="1" x="4093"/>
        <item h="1" m="1" x="4094"/>
        <item h="1" m="1" x="4011"/>
        <item h="1" m="1" x="4095"/>
        <item h="1" m="1" x="4096"/>
        <item h="1" m="1" x="1021"/>
        <item h="1" m="1" x="4097"/>
        <item h="1" m="1" x="4013"/>
        <item h="1" m="1" x="1712"/>
        <item h="1" m="1" x="1751"/>
        <item h="1" m="1" x="1797"/>
        <item h="1" m="1" x="3145"/>
        <item h="1" m="1" x="4098"/>
        <item h="1" m="1" x="1806"/>
        <item h="1" m="1" x="2515"/>
        <item h="1" m="1" x="4100"/>
        <item h="1" m="1" x="4101"/>
        <item h="1" m="1" x="3848"/>
        <item h="1" m="1" x="3489"/>
        <item h="1" m="1" x="3490"/>
        <item h="1" m="1" x="3791"/>
        <item h="1" m="1" x="3850"/>
        <item h="1" m="1" x="3852"/>
        <item h="1" m="1" x="2528"/>
        <item h="1" m="1" x="3796"/>
        <item h="1" m="1" x="3856"/>
        <item h="1" m="1" x="3863"/>
        <item h="1" m="1" x="3864"/>
        <item h="1" m="1" x="3865"/>
        <item h="1" m="1" x="2688"/>
        <item h="1" m="1" x="1229"/>
        <item h="1" m="1" x="3506"/>
        <item h="1" m="1" x="3870"/>
        <item h="1" m="1" x="3874"/>
        <item h="1" m="1" x="3875"/>
        <item h="1" m="1" x="3876"/>
        <item h="1" m="1" x="3227"/>
        <item h="1" m="1" x="3802"/>
        <item h="1" m="1" x="3879"/>
        <item h="1" m="1" x="3881"/>
        <item h="1" m="1" x="3882"/>
        <item h="1" m="1" x="3884"/>
        <item h="1" m="1" x="3885"/>
        <item h="1" m="1" x="3886"/>
        <item h="1" m="1" x="3888"/>
        <item h="1" m="1" x="3889"/>
        <item h="1" m="1" x="3890"/>
        <item h="1" m="1" x="3891"/>
        <item h="1" m="1" x="3893"/>
        <item h="1" m="1" x="3317"/>
        <item h="1" m="1" x="3514"/>
        <item h="1" m="1" x="3895"/>
        <item h="1" m="1" x="3896"/>
        <item h="1" m="1" x="3897"/>
        <item h="1" m="1" x="1925"/>
        <item h="1" m="1" x="3898"/>
        <item h="1" m="1" x="3899"/>
        <item h="1" m="1" x="3900"/>
        <item h="1" m="1" x="2396"/>
        <item h="1" m="1" x="3901"/>
        <item h="1" m="1" x="3805"/>
        <item h="1" m="1" x="3907"/>
        <item h="1" m="1" x="3908"/>
        <item h="1" m="1" x="3911"/>
        <item h="1" m="1" x="3913"/>
        <item h="1" m="1" x="3916"/>
        <item h="1" m="1" x="3921"/>
        <item h="1" m="1" x="3808"/>
        <item h="1" m="1" x="3924"/>
        <item h="1" m="1" x="3928"/>
        <item h="1" m="1" x="3930"/>
        <item h="1" m="1" x="3931"/>
        <item h="1" m="1" x="3932"/>
        <item h="1" m="1" x="3527"/>
        <item h="1" m="1" x="3528"/>
        <item h="1" m="1" x="3938"/>
        <item h="1" m="1" x="3941"/>
        <item h="1" m="1" x="3942"/>
        <item h="1" m="1" x="3943"/>
        <item h="1" m="1" x="3944"/>
        <item h="1" m="1" x="3945"/>
        <item h="1" m="1" x="3946"/>
        <item h="1" m="1" x="3947"/>
        <item h="1" m="1" x="3948"/>
        <item h="1" m="1" x="3809"/>
        <item h="1" m="1" x="3950"/>
        <item h="1" m="1" x="3951"/>
        <item h="1" m="1" x="3812"/>
        <item h="1" m="1" x="3484"/>
        <item h="1" m="1" x="3955"/>
        <item h="1" m="1" x="2147"/>
        <item h="1" m="1" x="3963"/>
        <item h="1" m="1" x="3049"/>
        <item h="1" m="1" x="3964"/>
        <item h="1" m="1" x="3965"/>
        <item h="1" m="1" x="3966"/>
        <item h="1" m="1" x="3967"/>
        <item h="1" m="1" x="3968"/>
        <item h="1" m="1" x="3969"/>
        <item h="1" m="1" x="3979"/>
        <item h="1" m="1" x="3980"/>
        <item h="1" m="1" x="3981"/>
        <item h="1" m="1" x="3983"/>
        <item h="1" m="1" x="3815"/>
        <item h="1" m="1" x="1940"/>
        <item h="1" m="1" x="3991"/>
        <item h="1" m="1" x="3993"/>
        <item h="1" m="1" x="1800"/>
        <item h="1" m="1" x="2894"/>
        <item h="1" m="1" x="1888"/>
        <item h="1" m="1" x="2896"/>
        <item h="1" m="1" x="3825"/>
        <item h="1" m="1" x="3826"/>
        <item h="1" m="1" x="3996"/>
        <item h="1" m="1" x="3770"/>
        <item h="1" m="1" x="1881"/>
        <item h="1" m="1" x="2254"/>
        <item h="1" m="1" x="3999"/>
        <item h="1" m="1" x="4000"/>
        <item h="1" m="1" x="4001"/>
        <item h="1" m="1" x="1890"/>
        <item h="1" m="1" x="1843"/>
        <item h="1" m="1" x="3422"/>
        <item h="1" m="1" x="3423"/>
        <item h="1" m="1" x="3424"/>
        <item h="1" m="1" x="4004"/>
        <item h="1" m="1" x="1701"/>
        <item h="1" m="1" x="1727"/>
        <item h="1" m="1" x="2648"/>
        <item h="1" m="1" x="3268"/>
        <item h="1" m="1" x="4010"/>
        <item h="1" m="1" x="3845"/>
        <item h="1" m="1" x="3409"/>
        <item h="1" m="1" x="3272"/>
        <item h="1" m="1" x="3491"/>
        <item h="1" m="1" x="3495"/>
        <item h="1" m="1" x="3496"/>
        <item h="1" m="1" x="3498"/>
        <item h="1" m="1" x="3505"/>
        <item h="1" m="1" x="3503"/>
        <item h="1" m="1" x="3499"/>
        <item h="1" m="1" x="3500"/>
        <item h="1" m="1" x="3501"/>
        <item h="1" m="1" x="3502"/>
        <item h="1" m="1" x="2133"/>
        <item h="1" m="1" x="3794"/>
        <item h="1" m="1" x="3795"/>
        <item h="1" m="1" x="3654"/>
        <item h="1" m="1" x="3659"/>
        <item h="1" m="1" x="3660"/>
        <item h="1" m="1" x="3661"/>
        <item h="1" m="1" x="3662"/>
        <item h="1" m="1" x="3733"/>
        <item h="1" m="1" x="3658"/>
        <item h="1" m="1" x="3413"/>
        <item h="1" m="1" x="3414"/>
        <item h="1" m="1" x="3663"/>
        <item h="1" m="1" x="3804"/>
        <item h="1" m="1" x="3508"/>
        <item h="1" m="1" x="2068"/>
        <item h="1" x="357"/>
        <item h="1" m="1" x="3513"/>
        <item h="1" m="1" x="3806"/>
        <item h="1" m="1" x="3807"/>
        <item h="1" x="244"/>
        <item h="1" m="1" x="1216"/>
        <item h="1" m="1" x="3742"/>
        <item h="1" m="1" x="3519"/>
        <item h="1" m="1" x="3521"/>
        <item h="1" m="1" x="3744"/>
        <item h="1" m="1" x="3745"/>
        <item h="1" m="1" x="3534"/>
        <item h="1" m="1" x="3535"/>
        <item h="1" m="1" x="3536"/>
        <item h="1" m="1" x="3530"/>
        <item h="1" m="1" x="3531"/>
        <item h="1" m="1" x="3810"/>
        <item h="1" m="1" x="3811"/>
        <item h="1" m="1" x="3538"/>
        <item h="1" m="1" x="2957"/>
        <item h="1" m="1" x="3813"/>
        <item h="1" m="1" x="3263"/>
        <item h="1" m="1" x="3264"/>
        <item h="1" m="1" x="3032"/>
        <item h="1" m="1" x="3814"/>
        <item h="1" m="1" x="3539"/>
        <item h="1" m="1" x="3540"/>
        <item h="1" m="1" x="3541"/>
        <item h="1" m="1" x="3542"/>
        <item h="1" m="1" x="3546"/>
        <item h="1" m="1" x="3547"/>
        <item h="1" m="1" x="3265"/>
        <item h="1" m="1" x="3816"/>
        <item h="1" m="1" x="3696"/>
        <item h="1" m="1" x="3702"/>
        <item h="1" m="1" x="3700"/>
        <item h="1" m="1" x="3699"/>
        <item h="1" m="1" x="3703"/>
        <item h="1" m="1" x="3819"/>
        <item h="1" m="1" x="3419"/>
        <item h="1" m="1" x="3757"/>
        <item h="1" m="1" x="3266"/>
        <item h="1" m="1" x="3704"/>
        <item h="1" m="1" x="3707"/>
        <item h="1" m="1" x="3709"/>
        <item h="1" m="1" x="3712"/>
        <item h="1" m="1" x="3713"/>
        <item h="1" m="1" x="3708"/>
        <item h="1" m="1" x="3711"/>
        <item h="1" m="1" x="3710"/>
        <item h="1" m="1" x="3705"/>
        <item h="1" m="1" x="1873"/>
        <item h="1" m="1" x="1893"/>
        <item h="1" m="1" x="3829"/>
        <item h="1" m="1" x="3716"/>
        <item h="1" m="1" x="3772"/>
        <item h="1" m="1" x="3773"/>
        <item h="1" m="1" x="3830"/>
        <item h="1" m="1" x="3267"/>
        <item h="1" m="1" x="3775"/>
        <item h="1" m="1" x="3831"/>
        <item h="1" m="1" x="1757"/>
        <item h="1" m="1" x="3777"/>
        <item h="1" m="1" x="3834"/>
        <item h="1" m="1" x="3836"/>
        <item h="1" m="1" x="3837"/>
        <item h="1" m="1" x="3839"/>
        <item h="1" m="1" x="3841"/>
        <item h="1" m="1" x="3846"/>
        <item h="1" m="1" x="3270"/>
        <item h="1" m="1" x="3271"/>
        <item h="1" m="1" x="3269"/>
        <item h="1" m="1" x="2932"/>
        <item h="1" m="1" x="2946"/>
        <item h="1" m="1" x="3729"/>
        <item h="1" m="1" x="3730"/>
        <item h="1" m="1" x="3731"/>
        <item h="1" m="1" x="3095"/>
        <item h="1" m="1" x="3504"/>
        <item h="1" m="1" x="3497"/>
        <item h="1" m="1" x="1350"/>
        <item h="1" m="1" x="3732"/>
        <item h="1" m="1" x="3667"/>
        <item h="1" m="1" x="3668"/>
        <item h="1" m="1" x="3735"/>
        <item h="1" m="1" x="3669"/>
        <item h="1" m="1" x="3657"/>
        <item h="1" m="1" x="3671"/>
        <item h="1" m="1" x="3655"/>
        <item h="1" m="1" x="3672"/>
        <item h="1" m="1" x="3736"/>
        <item h="1" m="1" x="3509"/>
        <item h="1" m="1" x="3737"/>
        <item h="1" m="1" x="3738"/>
        <item h="1" m="1" x="3739"/>
        <item h="1" m="1" x="3740"/>
        <item h="1" m="1" x="3741"/>
        <item h="1" m="1" x="3510"/>
        <item h="1" m="1" x="3517"/>
        <item h="1" m="1" x="2911"/>
        <item h="1" m="1" x="3682"/>
        <item h="1" m="1" x="3683"/>
        <item h="1" m="1" x="3684"/>
        <item h="1" m="1" x="3681"/>
        <item h="1" m="1" x="3515"/>
        <item h="1" m="1" x="3685"/>
        <item h="1" m="1" x="3743"/>
        <item h="1" m="1" x="3523"/>
        <item h="1" m="1" x="3524"/>
        <item h="1" m="1" x="3525"/>
        <item h="1" m="1" x="3537"/>
        <item h="1" m="1" x="3746"/>
        <item h="1" m="1" x="3747"/>
        <item h="1" m="1" x="3529"/>
        <item h="1" m="1" x="3686"/>
        <item h="1" m="1" x="3748"/>
        <item h="1" m="1" x="3749"/>
        <item h="1" m="1" x="3750"/>
        <item h="1" m="1" x="3691"/>
        <item h="1" m="1" x="3687"/>
        <item h="1" m="1" x="3688"/>
        <item h="1" m="1" x="3690"/>
        <item h="1" m="1" x="3689"/>
        <item h="1" m="1" x="3112"/>
        <item h="1" m="1" x="3287"/>
        <item h="1" m="1" x="1204"/>
        <item h="1" m="1" x="3751"/>
        <item h="1" m="1" x="3544"/>
        <item h="1" m="1" x="3694"/>
        <item h="1" m="1" x="3752"/>
        <item h="1" m="1" x="1874"/>
        <item h="1" m="1" x="3753"/>
        <item h="1" m="1" x="3416"/>
        <item h="1" m="1" x="3417"/>
        <item h="1" m="1" x="3754"/>
        <item h="1" m="1" x="3548"/>
        <item h="1" m="1" x="1864"/>
        <item h="1" m="1" x="1728"/>
        <item h="1" m="1" x="3758"/>
        <item h="1" m="1" x="3759"/>
        <item h="1" m="1" x="3760"/>
        <item h="1" m="1" x="3761"/>
        <item h="1" m="1" x="3765"/>
        <item h="1" m="1" x="3766"/>
        <item h="1" m="1" x="3767"/>
        <item h="1" m="1" x="3768"/>
        <item h="1" m="1" x="3769"/>
        <item h="1" m="1" x="3164"/>
        <item h="1" m="1" x="3420"/>
        <item h="1" m="1" x="3421"/>
        <item h="1" m="1" x="1892"/>
        <item h="1" m="1" x="1891"/>
        <item h="1" m="1" x="1261"/>
        <item h="1" m="1" x="3771"/>
        <item h="1" m="1" x="3290"/>
        <item h="1" m="1" x="3717"/>
        <item h="1" m="1" x="3778"/>
        <item h="1" m="1" x="3779"/>
        <item h="1" m="1" x="3780"/>
        <item h="1" m="1" x="3781"/>
        <item h="1" m="1" x="3782"/>
        <item h="1" m="1" x="3783"/>
        <item h="1" m="1" x="3784"/>
        <item h="1" m="1" x="3785"/>
        <item h="1" m="1" x="3786"/>
        <item h="1" m="1" x="3787"/>
        <item h="1" m="1" x="3293"/>
        <item h="1" m="1" x="3788"/>
        <item h="1" m="1" x="2512"/>
        <item h="1" m="1" x="2516"/>
        <item h="1" m="1" x="3790"/>
        <item h="1" m="1" x="2952"/>
        <item h="1" m="1" x="2953"/>
        <item h="1" m="1" x="1196"/>
        <item h="1" m="1" x="3315"/>
        <item h="1" m="1" x="3492"/>
        <item h="1" m="1" x="3493"/>
        <item h="1" m="1" x="3494"/>
        <item h="1" m="1" x="3652"/>
        <item h="1" m="1" x="3558"/>
        <item h="1" m="1" x="3559"/>
        <item h="1" m="1" x="3274"/>
        <item h="1" m="1" x="3277"/>
        <item h="1" m="1" x="2057"/>
        <item h="1" m="1" x="3656"/>
        <item h="1" m="1" x="2554"/>
        <item h="1" m="1" x="3664"/>
        <item h="1" m="1" x="3665"/>
        <item h="1" m="1" x="544"/>
        <item h="1" m="1" x="3673"/>
        <item h="1" m="1" x="3512"/>
        <item h="1" m="1" x="3511"/>
        <item h="1" m="1" x="3674"/>
        <item h="1" m="1" x="3675"/>
        <item h="1" m="1" x="3676"/>
        <item h="1" m="1" x="3677"/>
        <item h="1" m="1" x="3678"/>
        <item h="1" m="1" x="3566"/>
        <item h="1" m="1" x="3567"/>
        <item h="1" m="1" x="3574"/>
        <item h="1" m="1" x="3579"/>
        <item h="1" m="1" x="3580"/>
        <item h="1" m="1" x="3679"/>
        <item h="1" m="1" x="3680"/>
        <item h="1" m="1" x="1214"/>
        <item h="1" m="1" x="2171"/>
        <item h="1" m="1" x="3518"/>
        <item h="1" m="1" x="3585"/>
        <item h="1" m="1" x="3593"/>
        <item h="1" m="1" x="3526"/>
        <item h="1" m="1" x="3596"/>
        <item h="1" m="1" x="3532"/>
        <item h="1" m="1" x="3692"/>
        <item h="1" m="1" x="2798"/>
        <item h="1" m="1" x="3119"/>
        <item h="1" m="1" x="3105"/>
        <item h="1" m="1" x="3543"/>
        <item h="1" m="1" x="3638"/>
        <item h="1" m="1" x="3645"/>
        <item h="1" m="1" x="3545"/>
        <item h="1" m="1" x="3693"/>
        <item h="1" m="1" x="3643"/>
        <item h="1" m="1" x="3695"/>
        <item h="1" m="1" x="3697"/>
        <item h="1" m="1" x="3698"/>
        <item h="1" m="1" x="1745"/>
        <item h="1" m="1" x="3289"/>
        <item h="1" m="1" x="3163"/>
        <item h="1" m="1" x="2083"/>
        <item h="1" m="1" x="3714"/>
        <item h="1" x="80"/>
        <item h="1" m="1" x="3715"/>
        <item h="1" m="1" x="2108"/>
        <item h="1" m="1" x="3718"/>
        <item h="1" m="1" x="3721"/>
        <item h="1" m="1" x="3722"/>
        <item h="1" m="1" x="3724"/>
        <item h="1" m="1" x="3626"/>
        <item h="1" m="1" x="3089"/>
        <item h="1" m="1" x="2758"/>
        <item h="1" m="1" x="3726"/>
        <item h="1" m="1" x="3727"/>
        <item h="1" m="1" x="3093"/>
        <item h="1" m="1" x="3151"/>
        <item h="1" m="1" x="2687"/>
        <item h="1" m="1" x="3627"/>
        <item h="1" m="1" x="3507"/>
        <item h="1" m="1" x="3549"/>
        <item h="1" m="1" x="3550"/>
        <item h="1" m="1" x="3551"/>
        <item h="1" m="1" x="3552"/>
        <item h="1" m="1" x="3553"/>
        <item h="1" m="1" x="3554"/>
        <item h="1" m="1" x="3555"/>
        <item h="1" m="1" x="3556"/>
        <item h="1" m="1" x="3557"/>
        <item h="1" m="1" x="3560"/>
        <item h="1" x="135"/>
        <item h="1" m="1" x="3561"/>
        <item h="1" m="1" x="3562"/>
        <item h="1" m="1" x="3563"/>
        <item h="1" m="1" x="2536"/>
        <item h="1" m="1" x="3276"/>
        <item h="1" x="83"/>
        <item h="1" m="1" x="3564"/>
        <item h="1" m="1" x="3279"/>
        <item h="1" m="1" x="3565"/>
        <item h="1" m="1" x="3157"/>
        <item h="1" m="1" x="3411"/>
        <item h="1" m="1" x="3412"/>
        <item h="1" x="107"/>
        <item h="1" m="1" x="3568"/>
        <item h="1" m="1" x="3569"/>
        <item h="1" m="1" x="3570"/>
        <item h="1" m="1" x="3571"/>
        <item h="1" m="1" x="3572"/>
        <item h="1" m="1" x="3573"/>
        <item h="1" m="1" x="3575"/>
        <item h="1" m="1" x="3576"/>
        <item h="1" m="1" x="3577"/>
        <item h="1" m="1" x="3578"/>
        <item h="1" m="1" x="3581"/>
        <item h="1" m="1" x="3582"/>
        <item h="1" m="1" x="3583"/>
        <item h="1" m="1" x="3584"/>
        <item h="1" m="1" x="3586"/>
        <item h="1" m="1" x="3587"/>
        <item h="1" m="1" x="3588"/>
        <item h="1" m="1" x="3589"/>
        <item h="1" m="1" x="3590"/>
        <item h="1" m="1" x="3591"/>
        <item h="1" m="1" x="3592"/>
        <item h="1" m="1" x="3594"/>
        <item h="1" m="1" x="3595"/>
        <item h="1" m="1" x="3597"/>
        <item h="1" m="1" x="3598"/>
        <item h="1" m="1" x="3599"/>
        <item h="1" m="1" x="1383"/>
        <item h="1" m="1" x="3600"/>
        <item h="1" m="1" x="3601"/>
        <item h="1" m="1" x="3031"/>
        <item h="1" m="1" x="3106"/>
        <item h="1" m="1" x="3107"/>
        <item h="1" m="1" x="3113"/>
        <item h="1" m="1" x="3602"/>
        <item h="1" m="1" x="3603"/>
        <item h="1" m="1" x="3604"/>
        <item h="1" m="1" x="3288"/>
        <item h="1" m="1" x="3605"/>
        <item h="1" m="1" x="3606"/>
        <item h="1" m="1" x="3607"/>
        <item h="1" m="1" x="1951"/>
        <item h="1" m="1" x="3608"/>
        <item h="1" m="1" x="3609"/>
        <item h="1" m="1" x="3445"/>
        <item h="1" m="1" x="3446"/>
        <item h="1" m="1" x="1812"/>
        <item h="1" m="1" x="3610"/>
        <item h="1" m="1" x="3611"/>
        <item h="1" m="1" x="1887"/>
        <item h="1" m="1" x="3612"/>
        <item h="1" m="1" x="3613"/>
        <item h="1" m="1" x="3614"/>
        <item h="1" m="1" x="2024"/>
        <item h="1" m="1" x="1658"/>
        <item h="1" m="1" x="3615"/>
        <item h="1" m="1" x="1884"/>
        <item h="1" m="1" x="3616"/>
        <item h="1" m="1" x="3617"/>
        <item h="1" m="1" x="3618"/>
        <item h="1" m="1" x="2831"/>
        <item h="1" m="1" x="3425"/>
        <item h="1" m="1" x="3426"/>
        <item h="1" m="1" x="3619"/>
        <item h="1" m="1" x="3620"/>
        <item h="1" m="1" x="3621"/>
        <item h="1" m="1" x="3622"/>
        <item h="1" m="1" x="3623"/>
        <item h="1" m="1" x="1657"/>
        <item h="1" m="1" x="3624"/>
        <item h="1" m="1" x="3292"/>
        <item h="1" m="1" x="3625"/>
        <item h="1" m="1" x="1617"/>
        <item h="1" m="1" x="643"/>
        <item h="1" m="1" x="3295"/>
        <item h="1" m="1" x="3438"/>
        <item h="1" m="1" x="3628"/>
        <item h="1" m="1" x="3629"/>
        <item h="1" m="1" x="3631"/>
        <item h="1" m="1" x="3632"/>
        <item h="1" m="1" x="3633"/>
        <item h="1" m="1" x="3634"/>
        <item h="1" m="1" x="3635"/>
        <item h="1" m="1" x="2887"/>
        <item h="1" m="1" x="3636"/>
        <item h="1" m="1" x="3637"/>
        <item h="1" m="1" x="3639"/>
        <item h="1" m="1" x="3640"/>
        <item h="1" m="1" x="3641"/>
        <item h="1" m="1" x="3642"/>
        <item h="1" m="1" x="3644"/>
        <item h="1" m="1" x="3646"/>
        <item h="1" m="1" x="3647"/>
        <item h="1" m="1" x="3648"/>
        <item h="1" m="1" x="3649"/>
        <item h="1" m="1" x="3650"/>
        <item h="1" m="1" x="3651"/>
        <item h="1" m="1" x="3465"/>
        <item h="1" m="1" x="3466"/>
        <item h="1" m="1" x="3467"/>
        <item h="1" m="1" x="3468"/>
        <item h="1" m="1" x="3410"/>
        <item h="1" m="1" x="3427"/>
        <item h="1" m="1" x="3428"/>
        <item h="1" x="268"/>
        <item h="1" m="1" x="3429"/>
        <item h="1" m="1" x="3430"/>
        <item h="1" m="1" x="3431"/>
        <item h="1" m="1" x="3432"/>
        <item h="1" m="1" x="3297"/>
        <item h="1" m="1" x="2966"/>
        <item h="1" m="1" x="3298"/>
        <item h="1" m="1" x="2519"/>
        <item h="1" m="1" x="3299"/>
        <item h="1" m="1" x="3275"/>
        <item h="1" m="1" x="935"/>
        <item h="1" m="1" x="858"/>
        <item h="1" m="1" x="3435"/>
        <item h="1" x="337"/>
        <item h="1" m="1" x="2544"/>
        <item h="1" m="1" x="3436"/>
        <item h="1" m="1" x="3437"/>
        <item h="1" m="1" x="3154"/>
        <item h="1" m="1" x="2853"/>
        <item h="1" m="1" x="3302"/>
        <item h="1" m="1" x="1535"/>
        <item h="1" m="1" x="3439"/>
        <item h="1" m="1" x="3280"/>
        <item h="1" m="1" x="3440"/>
        <item h="1" m="1" x="3441"/>
        <item h="1" m="1" x="3442"/>
        <item h="1" m="1" x="2873"/>
        <item h="1" m="1" x="3444"/>
        <item h="1" m="1" x="3319"/>
        <item h="1" m="1" x="3320"/>
        <item h="1" m="1" x="3286"/>
        <item h="1" m="1" x="3327"/>
        <item h="1" m="1" x="3330"/>
        <item h="1" m="1" x="3331"/>
        <item h="1" m="1" x="3332"/>
        <item h="1" m="1" x="3333"/>
        <item h="1" m="1" x="3281"/>
        <item h="1" m="1" x="3282"/>
        <item h="1" m="1" x="3283"/>
        <item h="1" m="1" x="3284"/>
        <item h="1" m="1" x="3285"/>
        <item h="1" m="1" x="3338"/>
        <item h="1" m="1" x="3363"/>
        <item h="1" m="1" x="1694"/>
        <item h="1" m="1" x="2735"/>
        <item h="1" m="1" x="2322"/>
        <item h="1" m="1" x="3447"/>
        <item h="1" m="1" x="2106"/>
        <item h="1" m="1" x="2107"/>
        <item h="1" m="1" x="3448"/>
        <item h="1" m="1" x="3449"/>
        <item h="1" m="1" x="3450"/>
        <item h="1" m="1" x="3451"/>
        <item h="1" m="1" x="3452"/>
        <item h="1" m="1" x="3453"/>
        <item h="1" m="1" x="3455"/>
        <item h="1" m="1" x="3456"/>
        <item h="1" m="1" x="3457"/>
        <item h="1" m="1" x="3458"/>
        <item h="1" m="1" x="1656"/>
        <item h="1" m="1" x="3459"/>
        <item h="1" m="1" x="3460"/>
        <item h="1" m="1" x="2345"/>
        <item h="1" m="1" x="2114"/>
        <item h="1" m="1" x="3461"/>
        <item h="1" m="1" x="3291"/>
        <item h="1" m="1" x="1845"/>
        <item h="1" m="1" x="3462"/>
        <item h="1" m="1" x="3463"/>
        <item h="1" m="1" x="1807"/>
        <item h="1" m="1" x="3464"/>
        <item h="1" m="1" x="2935"/>
        <item h="1" m="1" x="2284"/>
        <item h="1" m="1" x="2940"/>
        <item h="1" m="1" x="2942"/>
        <item h="1" m="1" x="2518"/>
        <item h="1" x="157"/>
        <item h="1" m="1" x="3296"/>
        <item h="1" m="1" x="3171"/>
        <item h="1" m="1" x="3155"/>
        <item h="1" m="1" x="3303"/>
        <item h="1" m="1" x="3304"/>
        <item h="1" m="1" x="2776"/>
        <item h="1" m="1" x="2537"/>
        <item h="1" m="1" x="3305"/>
        <item h="1" m="1" x="3158"/>
        <item h="1" m="1" x="1093"/>
        <item h="1" m="1" x="2879"/>
        <item h="1" m="1" x="3308"/>
        <item h="1" m="1" x="3309"/>
        <item h="1" m="1" x="3310"/>
        <item h="1" m="1" x="2714"/>
        <item h="1" m="1" x="2172"/>
        <item h="1" m="1" x="3312"/>
        <item h="1" m="1" x="3011"/>
        <item h="1" m="1" x="3009"/>
        <item h="1" m="1" x="3313"/>
        <item h="1" m="1" x="3314"/>
        <item h="1" m="1" x="3316"/>
        <item h="1" m="1" x="3318"/>
        <item h="1" m="1" x="3321"/>
        <item h="1" m="1" x="3322"/>
        <item h="1" m="1" x="3323"/>
        <item h="1" m="1" x="3325"/>
        <item h="1" m="1" x="3326"/>
        <item h="1" m="1" x="3328"/>
        <item h="1" m="1" x="2570"/>
        <item h="1" m="1" x="3329"/>
        <item h="1" m="1" x="3334"/>
        <item h="1" m="1" x="3335"/>
        <item h="1" m="1" x="3336"/>
        <item h="1" m="1" x="2958"/>
        <item h="1" m="1" x="3036"/>
        <item h="1" m="1" x="1902"/>
        <item h="1" m="1" x="3337"/>
        <item h="1" m="1" x="2852"/>
        <item h="1" m="1" x="3340"/>
        <item h="1" m="1" x="3341"/>
        <item h="1" m="1" x="2885"/>
        <item h="1" m="1" x="3342"/>
        <item h="1" m="1" x="2078"/>
        <item h="1" m="1" x="3042"/>
        <item h="1" m="1" x="3043"/>
        <item h="1" m="1" x="3343"/>
        <item h="1" m="1" x="3344"/>
        <item h="1" m="1" x="3345"/>
        <item h="1" m="1" x="3346"/>
        <item h="1" m="1" x="3347"/>
        <item h="1" m="1" x="3348"/>
        <item h="1" m="1" x="3349"/>
        <item h="1" m="1" x="3350"/>
        <item h="1" m="1" x="3351"/>
        <item h="1" m="1" x="3162"/>
        <item h="1" m="1" x="1654"/>
        <item h="1" m="1" x="1690"/>
        <item h="1" m="1" x="2745"/>
        <item h="1" m="1" x="3353"/>
        <item h="1" m="1" x="1604"/>
        <item h="1" m="1" x="3208"/>
        <item h="1" m="1" x="3209"/>
        <item h="1" m="1" x="3354"/>
        <item h="1" m="1" x="2914"/>
        <item h="1" m="1" x="2919"/>
        <item h="1" m="1" x="3355"/>
        <item h="1" m="1" x="2498"/>
        <item h="1" m="1" x="3235"/>
        <item h="1" m="1" x="3356"/>
        <item h="1" m="1" x="3357"/>
        <item h="1" m="1" x="3358"/>
        <item h="1" m="1" x="3232"/>
        <item h="1" m="1" x="3233"/>
        <item h="1" m="1" x="3359"/>
        <item h="1" m="1" x="3237"/>
        <item h="1" m="1" x="3360"/>
        <item h="1" m="1" x="3229"/>
        <item h="1" m="1" x="3361"/>
        <item h="1" m="1" x="3228"/>
        <item h="1" m="1" x="3230"/>
        <item h="1" m="1" x="3231"/>
        <item h="1" m="1" x="3362"/>
        <item h="1" m="1" x="3364"/>
        <item h="1" m="1" x="3365"/>
        <item h="1" m="1" x="3366"/>
        <item h="1" m="1" x="3367"/>
        <item h="1" m="1" x="3181"/>
        <item h="1" m="1" x="3368"/>
        <item h="1" m="1" x="3369"/>
        <item h="1" m="1" x="3370"/>
        <item h="1" m="1" x="3371"/>
        <item h="1" m="1" x="3372"/>
        <item h="1" m="1" x="3373"/>
        <item h="1" m="1" x="2562"/>
        <item h="1" m="1" x="3374"/>
        <item h="1" m="1" x="3375"/>
        <item h="1" m="1" x="3092"/>
        <item h="1" m="1" x="3377"/>
        <item h="1" m="1" x="3378"/>
        <item h="1" m="1" x="3379"/>
        <item h="1" m="1" x="3198"/>
        <item h="1" m="1" x="3380"/>
        <item h="1" m="1" x="1840"/>
        <item h="1" m="1" x="1801"/>
        <item h="1" m="1" x="3381"/>
        <item h="1" m="1" x="3382"/>
        <item h="1" m="1" x="3383"/>
        <item h="1" m="1" x="3384"/>
        <item h="1" m="1" x="3385"/>
        <item h="1" m="1" x="1886"/>
        <item h="1" m="1" x="3225"/>
        <item h="1" m="1" x="3219"/>
        <item h="1" m="1" x="3386"/>
        <item h="1" m="1" x="3221"/>
        <item h="1" m="1" x="3216"/>
        <item h="1" m="1" x="3387"/>
        <item h="1" m="1" x="3388"/>
        <item h="1" m="1" x="3131"/>
        <item h="1" m="1" x="3389"/>
        <item h="1" m="1" x="3226"/>
        <item h="1" m="1" x="1685"/>
        <item h="1" m="1" x="1842"/>
        <item h="1" m="1" x="2920"/>
        <item h="1" m="1" x="3390"/>
        <item h="1" m="1" x="1938"/>
        <item h="1" m="1" x="3391"/>
        <item h="1" m="1" x="3392"/>
        <item h="1" m="1" x="3393"/>
        <item h="1" m="1" x="3236"/>
        <item h="1" m="1" x="3394"/>
        <item h="1" m="1" x="3395"/>
        <item h="1" m="1" x="3148"/>
        <item h="1" m="1" x="2943"/>
        <item h="1" m="1" x="3396"/>
        <item h="1" m="1" x="3397"/>
        <item h="1" m="1" x="2951"/>
        <item h="1" m="1" x="3161"/>
        <item h="1" m="1" x="1584"/>
        <item h="1" m="1" x="1583"/>
        <item h="1" m="1" x="1900"/>
        <item h="1" m="1" x="1439"/>
        <item h="1" m="1" x="3168"/>
        <item h="1" m="1" x="3169"/>
        <item h="1" m="1" x="3170"/>
        <item h="1" m="1" x="3094"/>
        <item h="1" m="1" x="3172"/>
        <item h="1" m="1" x="3173"/>
        <item h="1" m="1" x="3175"/>
        <item h="1" m="1" x="3176"/>
        <item h="1" m="1" x="1518"/>
        <item h="1" m="1" x="2854"/>
        <item h="1" m="1" x="2855"/>
        <item h="1" m="1" x="2778"/>
        <item h="1" m="1" x="1964"/>
        <item h="1" m="1" x="2550"/>
        <item h="1" m="1" x="2551"/>
        <item h="1" m="1" x="3180"/>
        <item h="1" m="1" x="3183"/>
        <item h="1" m="1" x="3185"/>
        <item h="1" m="1" x="3103"/>
        <item h="1" m="1" x="3186"/>
        <item h="1" m="1" x="3187"/>
        <item h="1" m="1" x="3188"/>
        <item h="1" m="1" x="3189"/>
        <item h="1" m="1" x="1215"/>
        <item h="1" m="1" x="2991"/>
        <item h="1" m="1" x="3191"/>
        <item h="1" m="1" x="2871"/>
        <item h="1" m="1" x="3192"/>
        <item h="1" m="1" x="3193"/>
        <item h="1" m="1" x="3194"/>
        <item h="1" m="1" x="3018"/>
        <item h="1" m="1" x="3195"/>
        <item h="1" m="1" x="3024"/>
        <item h="1" m="1" x="2142"/>
        <item h="1" m="1" x="3196"/>
        <item h="1" m="1" x="3197"/>
        <item h="1" m="1" x="3013"/>
        <item h="1" m="1" x="3117"/>
        <item h="1" m="1" x="3035"/>
        <item h="1" m="1" x="3116"/>
        <item h="1" m="1" x="3115"/>
        <item h="1" m="1" x="3034"/>
        <item h="1" m="1" x="3037"/>
        <item h="1" m="1" x="3199"/>
        <item h="1" m="1" x="1960"/>
        <item h="1" m="1" x="3200"/>
        <item h="1" m="1" x="3201"/>
        <item h="1" m="1" x="3202"/>
        <item h="1" m="1" x="3203"/>
        <item h="1" m="1" x="3204"/>
        <item h="1" m="1" x="2822"/>
        <item h="1" m="1" x="3205"/>
        <item h="1" m="1" x="3206"/>
        <item h="1" m="1" x="3207"/>
        <item h="1" m="1" x="1765"/>
        <item h="1" m="1" x="1733"/>
        <item h="1" m="1" x="3211"/>
        <item h="1" m="1" x="3213"/>
        <item h="1" m="1" x="3214"/>
        <item h="1" m="1" x="3215"/>
        <item h="1" m="1" x="3217"/>
        <item h="1" m="1" x="3218"/>
        <item h="1" m="1" x="3126"/>
        <item h="1" m="1" x="3222"/>
        <item h="1" m="1" x="3224"/>
        <item h="1" m="1" x="2488"/>
        <item h="1" m="1" x="3234"/>
        <item h="1" m="1" x="3238"/>
        <item h="1" m="1" x="2835"/>
        <item h="1" m="1" x="2836"/>
        <item h="1" m="1" x="3240"/>
        <item h="1" m="1" x="3241"/>
        <item h="1" m="1" x="1200"/>
        <item h="1" m="1" x="1519"/>
        <item h="1" m="1" x="3152"/>
        <item h="1" m="1" x="3242"/>
        <item h="1" m="1" x="2967"/>
        <item h="1" m="1" x="3243"/>
        <item h="1" m="1" x="3244"/>
        <item h="1" m="1" x="3245"/>
        <item h="1" m="1" x="3246"/>
        <item h="1" m="1" x="3247"/>
        <item h="1" m="1" x="3248"/>
        <item h="1" m="1" x="3250"/>
        <item h="1" m="1" x="3251"/>
        <item h="1" m="1" x="2214"/>
        <item h="1" m="1" x="3253"/>
        <item h="1" m="1" x="3254"/>
        <item h="1" m="1" x="3255"/>
        <item h="1" m="1" x="3256"/>
        <item h="1" x="367"/>
        <item h="1" m="1" x="3257"/>
        <item h="1" m="1" x="3258"/>
        <item h="1" m="1" x="3259"/>
        <item h="1" m="1" x="1877"/>
        <item h="1" m="1" x="3260"/>
        <item h="1" m="1" x="3261"/>
        <item h="1" m="1" x="3262"/>
        <item h="1" m="1" x="3137"/>
        <item h="1" m="1" x="2962"/>
        <item h="1" m="1" x="2964"/>
        <item h="1" m="1" x="2963"/>
        <item h="1" m="1" x="2848"/>
        <item h="1" m="1" x="2968"/>
        <item h="1" m="1" x="2433"/>
        <item h="1" m="1" x="3096"/>
        <item h="1" m="1" x="3097"/>
        <item h="1" m="1" x="3098"/>
        <item h="1" m="1" x="2973"/>
        <item h="1" m="1" x="2775"/>
        <item h="1" m="1" x="2777"/>
        <item h="1" m="1" x="2978"/>
        <item h="1" m="1" x="2856"/>
        <item h="1" m="1" x="2979"/>
        <item h="1" m="1" x="2982"/>
        <item h="1" m="1" x="2983"/>
        <item h="1" m="1" x="2549"/>
        <item h="1" m="1" x="2989"/>
        <item h="1" m="1" x="2990"/>
        <item h="1" m="1" x="3101"/>
        <item h="1" m="1" x="3102"/>
        <item h="1" m="1" x="2995"/>
        <item h="1" m="1" x="2996"/>
        <item h="1" m="1" x="3004"/>
        <item h="1" m="1" x="3005"/>
        <item h="1" m="1" x="2880"/>
        <item h="1" m="1" x="3008"/>
        <item h="1" m="1" x="3104"/>
        <item h="1" m="1" x="3022"/>
        <item h="1" m="1" x="3017"/>
        <item h="1" m="1" x="3020"/>
        <item h="1" m="1" x="3027"/>
        <item h="1" m="1" x="3033"/>
        <item h="1" m="1" x="3118"/>
        <item h="1" m="1" x="3041"/>
        <item h="1" m="1" x="3046"/>
        <item h="1" m="1" x="3051"/>
        <item h="1" m="1" x="3052"/>
        <item h="1" m="1" x="3053"/>
        <item h="1" m="1" x="3054"/>
        <item h="1" m="1" x="3055"/>
        <item h="1" m="1" x="3120"/>
        <item h="1" m="1" x="3121"/>
        <item h="1" m="1" x="3122"/>
        <item h="1" m="1" x="3123"/>
        <item h="1" m="1" x="2457"/>
        <item h="1" m="1" x="1736"/>
        <item h="1" m="1" x="1568"/>
        <item h="1" m="1" x="2897"/>
        <item h="1" m="1" x="1560"/>
        <item h="1" m="1" x="1569"/>
        <item h="1" m="1" x="1564"/>
        <item h="1" m="1" x="1565"/>
        <item h="1" m="1" x="1567"/>
        <item h="1" m="1" x="3125"/>
        <item h="1" m="1" x="1865"/>
        <item h="1" m="1" x="1866"/>
        <item h="1" m="1" x="3127"/>
        <item h="1" m="1" x="3128"/>
        <item h="1" m="1" x="3129"/>
        <item h="1" m="1" x="3130"/>
        <item h="1" m="1" x="1821"/>
        <item h="1" m="1" x="1822"/>
        <item h="1" m="1" x="3132"/>
        <item h="1" m="1" x="2901"/>
        <item h="1" m="1" x="2902"/>
        <item h="1" m="1" x="3134"/>
        <item h="1" m="1" x="1702"/>
        <item h="1" m="1" x="3140"/>
        <item h="1" m="1" x="2928"/>
        <item h="1" m="1" x="1570"/>
        <item h="1" m="1" x="1566"/>
        <item h="1" m="1" x="3085"/>
        <item h="1" m="1" x="3144"/>
        <item h="1" m="1" x="3147"/>
        <item h="1" m="1" x="3149"/>
        <item h="1" m="1" x="3150"/>
        <item h="1" m="1" x="2949"/>
        <item h="1" m="1" x="2844"/>
        <item h="1" m="1" x="2965"/>
        <item h="1" m="1" x="2769"/>
        <item h="1" m="1" x="2969"/>
        <item h="1" m="1" x="2971"/>
        <item h="1" m="1" x="2972"/>
        <item h="1" m="1" x="2975"/>
        <item h="1" x="84"/>
        <item h="1" m="1" x="2976"/>
        <item h="1" m="1" x="2977"/>
        <item h="1" m="1" x="2779"/>
        <item h="1" m="1" x="2858"/>
        <item h="1" m="1" x="2980"/>
        <item h="1" m="1" x="2784"/>
        <item h="1" m="1" x="2984"/>
        <item h="1" m="1" x="2545"/>
        <item h="1" m="1" x="2546"/>
        <item h="1" m="1" x="2986"/>
        <item h="1" m="1" x="2988"/>
        <item h="1" m="1" x="2992"/>
        <item h="1" m="1" x="2791"/>
        <item h="1" m="1" x="2993"/>
        <item h="1" m="1" x="2997"/>
        <item h="1" m="1" x="2998"/>
        <item h="1" m="1" x="2999"/>
        <item h="1" m="1" x="3000"/>
        <item h="1" m="1" x="2875"/>
        <item h="1" m="1" x="2876"/>
        <item h="1" m="1" x="2877"/>
        <item h="1" m="1" x="3001"/>
        <item h="1" m="1" x="2717"/>
        <item h="1" m="1" x="3002"/>
        <item h="1" m="1" x="2878"/>
        <item h="1" m="1" x="3006"/>
        <item h="1" x="371"/>
        <item h="1" m="1" x="3015"/>
        <item h="1" m="1" x="3019"/>
        <item h="1" m="1" x="3021"/>
        <item h="1" m="1" x="2569"/>
        <item h="1" m="1" x="3025"/>
        <item h="1" m="1" x="3026"/>
        <item h="1" m="1" x="3028"/>
        <item h="1" m="1" x="3029"/>
        <item h="1" m="1" x="3030"/>
        <item h="1" m="1" x="3040"/>
        <item h="1" m="1" x="3044"/>
        <item h="1" m="1" x="3045"/>
        <item h="1" m="1" x="3047"/>
        <item h="1" m="1" x="3048"/>
        <item h="1" m="1" x="3050"/>
        <item h="1" m="1" x="3056"/>
        <item h="1" m="1" x="2888"/>
        <item h="1" m="1" x="2808"/>
        <item h="1" m="1" x="2890"/>
        <item h="1" m="1" x="3057"/>
        <item h="1" m="1" x="3058"/>
        <item h="1" m="1" x="3059"/>
        <item h="1" m="1" x="1753"/>
        <item h="1" m="1" x="3060"/>
        <item h="1" m="1" x="2751"/>
        <item h="1" m="1" x="3061"/>
        <item h="1" m="1" x="2462"/>
        <item h="1" m="1" x="1563"/>
        <item h="1" m="1" x="3063"/>
        <item h="1" m="1" x="3064"/>
        <item h="1" m="1" x="1655"/>
        <item h="1" m="1" x="1602"/>
        <item h="1" m="1" x="1599"/>
        <item h="1" m="1" x="3066"/>
        <item h="1" m="1" x="3067"/>
        <item h="1" m="1" x="3068"/>
        <item h="1" m="1" x="3069"/>
        <item h="1" m="1" x="3070"/>
        <item h="1" m="1" x="3071"/>
        <item h="1" m="1" x="3072"/>
        <item h="1" m="1" x="3074"/>
        <item h="1" m="1" x="1897"/>
        <item h="1" m="1" x="3075"/>
        <item h="1" m="1" x="3076"/>
        <item h="1" m="1" x="3077"/>
        <item h="1" m="1" x="2909"/>
        <item h="1" m="1" x="3080"/>
        <item h="1" m="1" x="3081"/>
        <item h="1" m="1" x="3082"/>
        <item h="1" m="1" x="3083"/>
        <item h="1" m="1" x="3084"/>
        <item h="1" m="1" x="3086"/>
        <item h="1" m="1" x="2661"/>
        <item h="1" m="1" x="3087"/>
        <item h="1" m="1" x="3088"/>
        <item h="1" m="1" x="3090"/>
        <item h="1" m="1" x="3091"/>
        <item h="1" m="1" x="2684"/>
        <item h="1" m="1" x="2686"/>
        <item h="1" m="1" x="924"/>
        <item h="1" m="1" x="2959"/>
        <item h="1" m="1" x="2359"/>
        <item h="1" m="1" x="2847"/>
        <item h="1" x="215"/>
        <item h="1" m="1" x="2849"/>
        <item h="1" m="1" x="2693"/>
        <item h="1" m="1" x="2850"/>
        <item h="1" m="1" x="2770"/>
        <item h="1" m="1" x="2529"/>
        <item h="1" m="1" x="2694"/>
        <item h="1" m="1" x="2851"/>
        <item h="1" x="219"/>
        <item h="1" m="1" x="2774"/>
        <item h="1" m="1" x="2535"/>
        <item h="1" m="1" x="2702"/>
        <item h="1" m="1" x="2857"/>
        <item h="1" m="1" x="2860"/>
        <item h="1" m="1" x="2064"/>
        <item h="1" m="1" x="2781"/>
        <item h="1" m="1" x="2862"/>
        <item h="1" m="1" x="2782"/>
        <item h="1" m="1" x="2864"/>
        <item h="1" m="1" x="2866"/>
        <item h="1" m="1" x="2792"/>
        <item h="1" m="1" x="2793"/>
        <item h="1" m="1" x="2867"/>
        <item h="1" m="1" x="2868"/>
        <item h="1" m="1" x="2785"/>
        <item h="1" m="1" x="2786"/>
        <item h="1" m="1" x="2556"/>
        <item h="1" m="1" x="2711"/>
        <item h="1" m="1" x="2710"/>
        <item h="1" m="1" x="2394"/>
        <item h="1" m="1" x="2177"/>
        <item h="1" m="1" x="2176"/>
        <item h="1" m="1" x="2398"/>
        <item h="1" m="1" x="2397"/>
        <item h="1" m="1" x="2794"/>
        <item h="1" m="1" x="2574"/>
        <item h="1" m="1" x="2418"/>
        <item h="1" m="1" x="2419"/>
        <item h="1" m="1" x="2421"/>
        <item h="1" m="1" x="2420"/>
        <item h="1" m="1" x="2883"/>
        <item h="1" m="1" x="2577"/>
        <item h="1" m="1" x="2884"/>
        <item h="1" m="1" x="2886"/>
        <item h="1" m="1" x="2802"/>
        <item h="1" m="1" x="2804"/>
        <item h="1" m="1" x="2805"/>
        <item h="1" m="1" x="2450"/>
        <item h="1" m="1" x="2731"/>
        <item h="1" m="1" x="2451"/>
        <item h="1" m="1" x="1944"/>
        <item h="1" m="1" x="2599"/>
        <item h="1" m="1" x="2891"/>
        <item h="1" m="1" x="2892"/>
        <item h="1" m="1" x="2893"/>
        <item h="1" m="1" x="1791"/>
        <item h="1" m="1" x="2895"/>
        <item h="1" m="1" x="2898"/>
        <item h="1" m="1" x="2484"/>
        <item h="1" m="1" x="2900"/>
        <item h="1" m="1" x="2613"/>
        <item h="1" m="1" x="2903"/>
        <item h="1" m="1" x="2904"/>
        <item h="1" m="1" x="2905"/>
        <item h="1" m="1" x="2912"/>
        <item h="1" m="1" x="2915"/>
        <item h="1" m="1" x="2650"/>
        <item h="1" m="1" x="2924"/>
        <item h="1" m="1" x="2927"/>
        <item h="1" m="1" x="2652"/>
        <item h="1" m="1" x="2837"/>
        <item h="1" m="1" x="2929"/>
        <item h="1" m="1" x="2681"/>
        <item h="1" m="1" x="2933"/>
        <item h="1" m="1" x="2944"/>
        <item h="1" m="1" x="2137"/>
        <item h="1" m="1" x="2138"/>
        <item h="1" m="1" x="2361"/>
        <item h="1" m="1" x="2690"/>
        <item h="1" x="238"/>
        <item h="1" m="1" x="2763"/>
        <item h="1" m="1" x="2764"/>
        <item h="1" m="1" x="2765"/>
        <item h="1" m="1" x="2368"/>
        <item h="1" m="1" x="2771"/>
        <item h="1" m="1" x="2531"/>
        <item h="1" m="1" x="2530"/>
        <item h="1" m="1" x="2696"/>
        <item h="1" m="1" x="2697"/>
        <item h="1" m="1" x="2699"/>
        <item h="1" m="1" x="2703"/>
        <item h="1" m="1" x="2539"/>
        <item h="1" m="1" x="2541"/>
        <item h="1" m="1" x="1058"/>
        <item h="1" m="1" x="2780"/>
        <item h="1" m="1" x="2547"/>
        <item h="1" m="1" x="2548"/>
        <item h="1" m="1" x="2295"/>
        <item h="1" m="1" x="2783"/>
        <item h="1" m="1" x="2787"/>
        <item h="1" m="1" x="2708"/>
        <item h="1" m="1" x="2788"/>
        <item h="1" m="1" x="2790"/>
        <item h="1" m="1" x="2719"/>
        <item h="1" x="252"/>
        <item h="1" m="1" x="2560"/>
        <item h="1" m="1" x="2564"/>
        <item h="1" m="1" x="2071"/>
        <item h="1" m="1" x="2724"/>
        <item h="1" m="1" x="2572"/>
        <item h="1" m="1" x="2427"/>
        <item h="1" m="1" x="2576"/>
        <item h="1" m="1" x="2432"/>
        <item h="1" m="1" x="2800"/>
        <item h="1" m="1" x="2801"/>
        <item h="1" x="329"/>
        <item h="1" m="1" x="2730"/>
        <item h="1" m="1" x="2803"/>
        <item h="1" m="1" x="2807"/>
        <item h="1" m="1" x="2809"/>
        <item h="1" m="1" x="2810"/>
        <item h="1" m="1" x="2811"/>
        <item h="1" m="1" x="2458"/>
        <item h="1" m="1" x="2812"/>
        <item h="1" m="1" x="1783"/>
        <item h="1" m="1" x="1296"/>
        <item h="1" m="1" x="2813"/>
        <item h="1" m="1" x="2739"/>
        <item h="1" m="1" x="2814"/>
        <item h="1" m="1" x="2815"/>
        <item h="1" m="1" x="2085"/>
        <item h="1" m="1" x="2816"/>
        <item h="1" m="1" x="2817"/>
        <item h="1" m="1" x="2818"/>
        <item h="1" m="1" x="2819"/>
        <item h="1" m="1" x="2820"/>
        <item h="1" m="1" x="2821"/>
        <item h="1" m="1" x="2825"/>
        <item h="1" m="1" x="2826"/>
        <item h="1" m="1" x="1571"/>
        <item h="1" m="1" x="2827"/>
        <item h="1" m="1" x="2828"/>
        <item h="1" m="1" x="2829"/>
        <item h="1" m="1" x="2830"/>
        <item h="1" m="1" x="1894"/>
        <item h="1" m="1" x="2832"/>
        <item h="1" m="1" x="2833"/>
        <item h="1" m="1" x="2838"/>
        <item h="1" m="1" x="2839"/>
        <item h="1" m="1" x="2840"/>
        <item h="1" m="1" x="2841"/>
        <item h="1" m="1" x="2286"/>
        <item h="1" m="1" x="2759"/>
        <item h="1" m="1" x="2845"/>
        <item h="1" m="1" x="773"/>
        <item h="1" m="1" x="2846"/>
        <item h="1" m="1" x="2692"/>
        <item h="1" m="1" x="2532"/>
        <item h="1" m="1" x="2698"/>
        <item h="1" m="1" x="2376"/>
        <item h="1" m="1" x="2700"/>
        <item h="1" m="1" x="2701"/>
        <item h="1" m="1" x="2387"/>
        <item h="1" m="1" x="2296"/>
        <item h="1" m="1" x="2704"/>
        <item h="1" m="1" x="2507"/>
        <item h="1" m="1" x="2384"/>
        <item h="1" m="1" x="2385"/>
        <item h="1" m="1" x="2705"/>
        <item h="1" m="1" x="2555"/>
        <item h="1" m="1" x="2706"/>
        <item h="1" m="1" x="2709"/>
        <item h="1" m="1" x="2713"/>
        <item h="1" m="1" x="2715"/>
        <item h="1" m="1" x="1311"/>
        <item h="1" x="1"/>
        <item h="1" m="1" x="2399"/>
        <item h="1" m="1" x="2400"/>
        <item h="1" m="1" x="2406"/>
        <item h="1" m="1" x="2407"/>
        <item h="1" m="1" x="2186"/>
        <item h="1" m="1" x="2722"/>
        <item h="1" m="1" x="2568"/>
        <item h="1" m="1" x="2723"/>
        <item h="1" m="1" x="2573"/>
        <item h="1" m="1" x="2195"/>
        <item h="1" m="1" x="2571"/>
        <item h="1" m="1" x="2417"/>
        <item h="1" m="1" x="2725"/>
        <item h="1" m="1" x="2580"/>
        <item h="1" m="1" x="2726"/>
        <item h="1" m="1" x="2193"/>
        <item h="1" m="1" x="2581"/>
        <item h="1" m="1" x="2728"/>
        <item h="1" m="1" x="2729"/>
        <item h="1" m="1" x="2452"/>
        <item h="1" m="1" x="2596"/>
        <item h="1" m="1" x="2733"/>
        <item h="1" m="1" x="2075"/>
        <item h="1" m="1" x="2734"/>
        <item h="1" m="1" x="2736"/>
        <item h="1" m="1" x="1782"/>
        <item h="1" m="1" x="2740"/>
        <item h="1" m="1" x="2092"/>
        <item h="1" m="1" x="2093"/>
        <item h="1" m="1" x="2741"/>
        <item h="1" m="1" x="2742"/>
        <item h="1" m="1" x="2743"/>
        <item h="1" m="1" x="2744"/>
        <item h="1" m="1" x="2746"/>
        <item h="1" m="1" x="2747"/>
        <item h="1" m="1" x="2604"/>
        <item h="1" m="1" x="2605"/>
        <item h="1" m="1" x="2748"/>
        <item h="1" m="1" x="2482"/>
        <item h="1" m="1" x="2749"/>
        <item h="1" m="1" x="2750"/>
        <item h="1" m="1" x="1814"/>
        <item h="1" m="1" x="1815"/>
        <item h="1" m="1" x="1572"/>
        <item h="1" m="1" x="2121"/>
        <item h="1" m="1" x="2660"/>
        <item h="1" m="1" x="2754"/>
        <item h="1" m="1" x="2755"/>
        <item h="1" m="1" x="2677"/>
        <item h="1" m="1" x="2678"/>
        <item h="1" m="1" x="2510"/>
        <item h="1" m="1" x="2682"/>
        <item h="1" m="1" x="2760"/>
        <item h="1" m="1" x="2761"/>
        <item h="1" m="1" x="2521"/>
        <item h="1" m="1" x="2360"/>
        <item h="1" m="1" x="2363"/>
        <item h="1" m="1" x="2365"/>
        <item h="1" m="1" x="1790"/>
        <item h="1" m="1" x="2050"/>
        <item h="1" m="1" x="2366"/>
        <item h="1" m="1" x="2525"/>
        <item h="1" m="1" x="2527"/>
        <item h="1" m="1" x="2135"/>
        <item h="1" m="1" x="2533"/>
        <item h="1" m="1" x="2534"/>
        <item h="1" m="1" x="2538"/>
        <item h="1" m="1" x="2543"/>
        <item h="1" m="1" x="2383"/>
        <item h="1" m="1" x="2165"/>
        <item h="1" m="1" x="2392"/>
        <item h="1" x="253"/>
        <item h="1" x="254"/>
        <item h="1" x="255"/>
        <item h="1" x="256"/>
        <item h="1" m="1" x="2391"/>
        <item h="1" m="1" x="2558"/>
        <item h="1" m="1" x="2561"/>
        <item h="1" m="1" x="2563"/>
        <item h="1" m="1" x="2410"/>
        <item h="1" m="1" x="2411"/>
        <item h="1" m="1" x="2567"/>
        <item h="1" m="1" x="2206"/>
        <item h="1" m="1" x="2582"/>
        <item h="1" m="1" x="2583"/>
        <item h="1" m="1" x="2434"/>
        <item h="1" m="1" x="2306"/>
        <item h="1" m="1" x="2444"/>
        <item h="1" m="1" x="2440"/>
        <item h="1" m="1" x="2443"/>
        <item h="1" m="1" x="2442"/>
        <item h="1" m="1" x="2441"/>
        <item h="1" m="1" x="1242"/>
        <item h="1" m="1" x="2584"/>
        <item h="1" m="1" x="2585"/>
        <item h="1" m="1" x="2587"/>
        <item h="1" m="1" x="2588"/>
        <item h="1" m="1" x="2589"/>
        <item h="1" m="1" x="2590"/>
        <item h="1" m="1" x="2591"/>
        <item h="1" m="1" x="2592"/>
        <item h="1" m="1" x="2593"/>
        <item h="1" m="1" x="2594"/>
        <item h="1" m="1" x="2595"/>
        <item h="1" m="1" x="2074"/>
        <item h="1" m="1" x="2600"/>
        <item h="1" m="1" x="2601"/>
        <item h="1" m="1" x="2602"/>
        <item h="1" m="1" x="2603"/>
        <item h="1" m="1" x="1738"/>
        <item h="1" m="1" x="2324"/>
        <item h="1" m="1" x="2323"/>
        <item h="1" m="1" x="2464"/>
        <item h="1" m="1" x="1562"/>
        <item h="1" m="1" x="2329"/>
        <item h="1" m="1" x="1740"/>
        <item h="1" m="1" x="2465"/>
        <item h="1" m="1" x="2086"/>
        <item h="1" m="1" x="2606"/>
        <item h="1" m="1" x="2607"/>
        <item h="1" m="1" x="2608"/>
        <item h="1" m="1" x="2609"/>
        <item h="1" m="1" x="2610"/>
        <item h="1" m="1" x="2612"/>
        <item h="1" m="1" x="2487"/>
        <item h="1" m="1" x="2614"/>
        <item h="1" m="1" x="2615"/>
        <item h="1" m="1" x="2616"/>
        <item h="1" m="1" x="2617"/>
        <item h="1" m="1" x="2618"/>
        <item h="1" m="1" x="2619"/>
        <item h="1" m="1" x="2620"/>
        <item h="1" m="1" x="2621"/>
        <item h="1" m="1" x="2622"/>
        <item h="1" m="1" x="2623"/>
        <item h="1" m="1" x="2624"/>
        <item h="1" m="1" x="2625"/>
        <item h="1" m="1" x="2626"/>
        <item h="1" m="1" x="2627"/>
        <item h="1" m="1" x="2628"/>
        <item h="1" m="1" x="2629"/>
        <item h="1" m="1" x="2630"/>
        <item h="1" m="1" x="2631"/>
        <item h="1" m="1" x="2632"/>
        <item h="1" m="1" x="2633"/>
        <item h="1" m="1" x="2634"/>
        <item h="1" m="1" x="2635"/>
        <item h="1" m="1" x="2636"/>
        <item h="1" m="1" x="2637"/>
        <item h="1" m="1" x="2638"/>
        <item h="1" m="1" x="2639"/>
        <item h="1" m="1" x="2640"/>
        <item h="1" m="1" x="2641"/>
        <item h="1" m="1" x="2642"/>
        <item h="1" m="1" x="2643"/>
        <item h="1" m="1" x="2644"/>
        <item h="1" m="1" x="2645"/>
        <item h="1" m="1" x="2646"/>
        <item h="1" m="1" x="2647"/>
        <item h="1" m="1" x="1943"/>
        <item h="1" m="1" x="1760"/>
        <item h="1" m="1" x="1737"/>
        <item h="1" m="1" x="2651"/>
        <item h="1" m="1" x="2653"/>
        <item h="1" m="1" x="2655"/>
        <item h="1" m="1" x="2656"/>
        <item h="1" m="1" x="2657"/>
        <item h="1" m="1" x="2658"/>
        <item h="1" m="1" x="2659"/>
        <item h="1" m="1" x="1561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669"/>
        <item h="1" m="1" x="2670"/>
        <item h="1" m="1" x="2671"/>
        <item h="1" m="1" x="2672"/>
        <item h="1" m="1" x="2673"/>
        <item h="1" m="1" x="2674"/>
        <item h="1" m="1" x="2675"/>
        <item h="1" m="1" x="1810"/>
        <item h="1" m="1" x="2679"/>
        <item h="1" m="1" x="2680"/>
        <item h="1" m="1" x="1809"/>
        <item h="1" m="1" x="2683"/>
        <item h="1" m="1" x="1582"/>
        <item h="1" m="1" x="1664"/>
        <item h="1" m="1" x="2367"/>
        <item h="1" m="1" x="2369"/>
        <item h="1" m="1" x="2370"/>
        <item h="1" m="1" x="2371"/>
        <item h="1" m="1" x="2372"/>
        <item h="1" m="1" x="2373"/>
        <item h="1" m="1" x="2375"/>
        <item h="1" m="1" x="2378"/>
        <item h="1" m="1" x="2293"/>
        <item h="1" m="1" x="2386"/>
        <item h="1" m="1" x="2160"/>
        <item h="1" m="1" x="2389"/>
        <item h="1" m="1" x="2390"/>
        <item h="1" m="1" x="2170"/>
        <item h="1" m="1" x="2393"/>
        <item h="1" m="1" x="2180"/>
        <item h="1" m="1" x="2401"/>
        <item h="1" m="1" x="2402"/>
        <item h="1" m="1" x="2403"/>
        <item h="1" m="1" x="2404"/>
        <item h="1" m="1" x="2405"/>
        <item h="1" m="1" x="2408"/>
        <item h="1" m="1" x="2409"/>
        <item h="1" m="1" x="2412"/>
        <item h="1" m="1" x="2413"/>
        <item h="1" m="1" x="2414"/>
        <item h="1" m="1" x="2415"/>
        <item h="1" m="1" x="2422"/>
        <item h="1" m="1" x="2424"/>
        <item h="1" m="1" x="2425"/>
        <item h="1" m="1" x="2428"/>
        <item h="1" m="1" x="1946"/>
        <item h="1" m="1" x="2435"/>
        <item h="1" m="1" x="2436"/>
        <item h="1" m="1" x="2437"/>
        <item h="1" m="1" x="2438"/>
        <item h="1" m="1" x="2439"/>
        <item h="1" m="1" x="2218"/>
        <item h="1" m="1" x="2445"/>
        <item h="1" m="1" x="2446"/>
        <item h="1" m="1" x="2447"/>
        <item h="1" m="1" x="2305"/>
        <item h="1" m="1" x="2448"/>
        <item h="1" m="1" x="2449"/>
        <item h="1" m="1" x="1841"/>
        <item h="1" m="1" x="2307"/>
        <item h="1" m="1" x="1595"/>
        <item h="1" m="1" x="1591"/>
        <item h="1" m="1" x="2454"/>
        <item h="1" m="1" x="2455"/>
        <item h="1" m="1" x="2456"/>
        <item h="1" m="1" x="2235"/>
        <item h="1" m="1" x="2234"/>
        <item h="1" m="1" x="1878"/>
        <item h="1" m="1" x="1784"/>
        <item h="1" m="1" x="2459"/>
        <item h="1" m="1" x="2460"/>
        <item h="1" m="1" x="2461"/>
        <item h="1" m="1" x="2463"/>
        <item h="1" m="1" x="1803"/>
        <item h="1" m="1" x="1597"/>
        <item h="1" m="1" x="2466"/>
        <item h="1" m="1" x="2467"/>
        <item h="1" m="1" x="2261"/>
        <item h="1" m="1" x="2468"/>
        <item h="1" m="1" x="2469"/>
        <item h="1" m="1" x="2470"/>
        <item h="1" m="1" x="2471"/>
        <item h="1" m="1" x="2472"/>
        <item h="1" m="1" x="2473"/>
        <item h="1" m="1" x="2475"/>
        <item h="1" m="1" x="2477"/>
        <item h="1" m="1" x="1372"/>
        <item h="1" m="1" x="2091"/>
        <item h="1" m="1" x="2478"/>
        <item h="1" m="1" x="2479"/>
        <item h="1" m="1" x="2333"/>
        <item h="1" m="1" x="2334"/>
        <item h="1" m="1" x="1880"/>
        <item h="1" m="1" x="2481"/>
        <item h="1" m="1" x="2483"/>
        <item h="1" m="1" x="1724"/>
        <item h="1" m="1" x="2485"/>
        <item h="1" m="1" x="2486"/>
        <item h="1" m="1" x="1962"/>
        <item h="1" m="1" x="1954"/>
        <item h="1" m="1" x="1816"/>
        <item h="1" m="1" x="2494"/>
        <item h="1" m="1" x="1937"/>
        <item h="1" m="1" x="2495"/>
        <item h="1" m="1" x="2496"/>
        <item h="1" m="1" x="2499"/>
        <item h="1" m="1" x="2500"/>
        <item h="1" m="1" x="2501"/>
        <item h="1" m="1" x="2502"/>
        <item h="1" m="1" x="2503"/>
        <item h="1" m="1" x="2504"/>
        <item h="1" m="1" x="1936"/>
        <item h="1" m="1" x="2508"/>
        <item h="1" m="1" x="2511"/>
        <item h="1" m="1" x="1605"/>
        <item h="1" m="1" x="2522"/>
        <item h="1" m="1" x="2143"/>
        <item h="1" m="1" x="2146"/>
        <item h="1" m="1" x="2289"/>
        <item h="1" m="1" x="2148"/>
        <item h="1" m="1" x="2290"/>
        <item h="1" m="1" x="2291"/>
        <item h="1" m="1" x="2292"/>
        <item h="1" m="1" x="1522"/>
        <item h="1" m="1" x="2153"/>
        <item h="1" m="1" x="2154"/>
        <item h="1" m="1" x="2294"/>
        <item h="1" m="1" x="2155"/>
        <item h="1" m="1" x="2065"/>
        <item h="1" m="1" x="2157"/>
        <item h="1" m="1" x="2159"/>
        <item h="1" m="1" x="2297"/>
        <item h="1" m="1" x="2298"/>
        <item h="1" m="1" x="2299"/>
        <item h="1" m="1" x="2300"/>
        <item h="1" m="1" x="2168"/>
        <item h="1" m="1" x="2169"/>
        <item h="1" m="1" x="2174"/>
        <item h="1" m="1" x="2175"/>
        <item h="1" m="1" x="2173"/>
        <item h="1" m="1" x="1835"/>
        <item h="1" m="1" x="2178"/>
        <item h="1" m="1" x="2179"/>
        <item h="1" m="1" x="2181"/>
        <item h="1" m="1" x="2196"/>
        <item h="1" m="1" x="2197"/>
        <item h="1" m="1" x="2198"/>
        <item h="1" m="1" x="2199"/>
        <item h="1" m="1" x="2303"/>
        <item h="1" m="1" x="1949"/>
        <item h="1" m="1" x="1252"/>
        <item h="1" m="1" x="2304"/>
        <item h="1" m="1" x="2217"/>
        <item h="1" m="1" x="2213"/>
        <item h="1" m="1" x="2220"/>
        <item h="1" m="1" x="2221"/>
        <item h="1" m="1" x="2222"/>
        <item h="1" m="1" x="2223"/>
        <item h="1" m="1" x="2227"/>
        <item h="1" m="1" x="2210"/>
        <item h="1" m="1" x="2211"/>
        <item h="1" m="1" x="2308"/>
        <item h="1" m="1" x="2309"/>
        <item h="1" m="1" x="2310"/>
        <item h="1" m="1" x="2311"/>
        <item h="1" m="1" x="2312"/>
        <item h="1" m="1" x="2313"/>
        <item h="1" m="1" x="2314"/>
        <item h="1" m="1" x="2316"/>
        <item h="1" m="1" x="1608"/>
        <item h="1" m="1" x="1804"/>
        <item h="1" m="1" x="2317"/>
        <item h="1" m="1" x="2318"/>
        <item h="1" m="1" x="2319"/>
        <item h="1" m="1" x="2320"/>
        <item h="1" m="1" x="2321"/>
        <item h="1" m="1" x="1611"/>
        <item h="1" m="1" x="1879"/>
        <item h="1" m="1" x="2325"/>
        <item h="1" m="1" x="2326"/>
        <item h="1" m="1" x="2327"/>
        <item h="1" m="1" x="2328"/>
        <item h="1" m="1" x="2330"/>
        <item h="1" m="1" x="2331"/>
        <item h="1" m="1" x="2332"/>
        <item h="1" m="1" x="2335"/>
        <item h="1" m="1" x="2336"/>
        <item h="1" m="1" x="2337"/>
        <item h="1" m="1" x="2338"/>
        <item h="1" m="1" x="1872"/>
        <item h="1" m="1" x="2339"/>
        <item h="1" m="1" x="2340"/>
        <item h="1" m="1" x="2341"/>
        <item h="1" m="1" x="2342"/>
        <item h="1" m="1" x="1618"/>
        <item h="1" m="1" x="1612"/>
        <item h="1" m="1" x="1616"/>
        <item h="1" m="1" x="1614"/>
        <item h="1" m="1" x="1912"/>
        <item h="1" m="1" x="1904"/>
        <item h="1" m="1" x="1691"/>
        <item h="1" m="1" x="1692"/>
        <item h="1" m="1" x="1722"/>
        <item h="1" m="1" x="2343"/>
        <item h="1" m="1" x="2344"/>
        <item h="1" m="1" x="1703"/>
        <item h="1" m="1" x="1693"/>
        <item h="1" m="1" x="2346"/>
        <item h="1" m="1" x="2347"/>
        <item h="1" m="1" x="1817"/>
        <item h="1" m="1" x="1766"/>
        <item h="1" m="1" x="1767"/>
        <item h="1" m="1" x="1768"/>
        <item h="1" m="1" x="2276"/>
        <item h="1" m="1" x="742"/>
        <item h="1" m="1" x="2349"/>
        <item h="1" m="1" x="2350"/>
        <item h="1" m="1" x="2351"/>
        <item h="1" m="1" x="2352"/>
        <item h="1" m="1" x="2353"/>
        <item h="1" m="1" x="2354"/>
        <item h="1" m="1" x="2355"/>
        <item h="1" m="1" x="1754"/>
        <item h="1" m="1" x="2356"/>
        <item h="1" m="1" x="1805"/>
        <item h="1" m="1" x="2357"/>
        <item h="1" m="1" x="2358"/>
        <item h="1" m="1" x="2144"/>
        <item h="1" x="347"/>
        <item h="1" m="1" x="1531"/>
        <item h="1" m="1" x="2149"/>
        <item h="1" m="1" x="2150"/>
        <item h="1" m="1" x="1483"/>
        <item h="1" m="1" x="2054"/>
        <item h="1" m="1" x="2056"/>
        <item h="1" m="1" x="1876"/>
        <item h="1" m="1" x="2061"/>
        <item h="1" m="1" x="2066"/>
        <item h="1" m="1" x="2156"/>
        <item h="1" m="1" x="1857"/>
        <item h="1" m="1" x="2161"/>
        <item h="1" m="1" x="2162"/>
        <item h="1" m="1" x="2163"/>
        <item h="1" m="1" x="2166"/>
        <item h="1" m="1" x="2167"/>
        <item h="1" m="1" x="1226"/>
        <item h="1" m="1" x="2039"/>
        <item h="1" m="1" x="1546"/>
        <item h="1" m="1" x="1895"/>
        <item h="1" m="1" x="2182"/>
        <item h="1" m="1" x="2183"/>
        <item h="1" m="1" x="2184"/>
        <item h="1" m="1" x="2187"/>
        <item h="1" m="1" x="2188"/>
        <item h="1" m="1" x="2190"/>
        <item h="1" m="1" x="2191"/>
        <item h="1" m="1" x="2192"/>
        <item h="1" m="1" x="2200"/>
        <item h="1" m="1" x="2201"/>
        <item h="1" m="1" x="2202"/>
        <item h="1" m="1" x="2203"/>
        <item h="1" m="1" x="2204"/>
        <item h="1" m="1" x="2205"/>
        <item h="1" m="1" x="2207"/>
        <item h="1" m="1" x="2209"/>
        <item h="1" m="1" x="1956"/>
        <item h="1" m="1" x="2212"/>
        <item h="1" m="1" x="2215"/>
        <item h="1" m="1" x="2216"/>
        <item h="1" m="1" x="2219"/>
        <item h="1" m="1" x="2224"/>
        <item h="1" m="1" x="2225"/>
        <item h="1" m="1" x="2226"/>
        <item h="1" m="1" x="1917"/>
        <item h="1" m="1" x="2229"/>
        <item h="1" m="1" x="2230"/>
        <item h="1" m="1" x="2231"/>
        <item h="1" m="1" x="2232"/>
        <item h="1" m="1" x="2233"/>
        <item h="1" m="1" x="1559"/>
        <item h="1" m="1" x="1606"/>
        <item h="1" m="1" x="2236"/>
        <item h="1" m="1" x="2237"/>
        <item h="1" m="1" x="2238"/>
        <item h="1" m="1" x="2239"/>
        <item h="1" m="1" x="2240"/>
        <item h="1" m="1" x="2241"/>
        <item h="1" m="1" x="2242"/>
        <item h="1" m="1" x="2244"/>
        <item h="1" m="1" x="2245"/>
        <item h="1" m="1" x="2246"/>
        <item h="1" m="1" x="2247"/>
        <item h="1" m="1" x="2248"/>
        <item h="1" m="1" x="2249"/>
        <item h="1" m="1" x="2250"/>
        <item h="1" m="1" x="2251"/>
        <item h="1" m="1" x="2252"/>
        <item h="1" m="1" x="1723"/>
        <item h="1" m="1" x="2253"/>
        <item h="1" x="293"/>
        <item h="1" m="1" x="1860"/>
        <item h="1" m="1" x="1862"/>
        <item h="1" m="1" x="2042"/>
        <item h="1" m="1" x="2255"/>
        <item h="1" m="1" x="1615"/>
        <item h="1" m="1" x="2256"/>
        <item h="1" m="1" x="2257"/>
        <item h="1" m="1" x="2041"/>
        <item h="1" m="1" x="2258"/>
        <item h="1" m="1" x="1579"/>
        <item h="1" m="1" x="2259"/>
        <item h="1" m="1" x="2260"/>
        <item h="1" m="1" x="2262"/>
        <item h="1" m="1" x="2263"/>
        <item h="1" m="1" x="2264"/>
        <item h="1" m="1" x="2265"/>
        <item h="1" m="1" x="2266"/>
        <item h="1" m="1" x="2267"/>
        <item h="1" m="1" x="1749"/>
        <item h="1" m="1" x="2268"/>
        <item h="1" m="1" x="2269"/>
        <item h="1" m="1" x="2270"/>
        <item h="1" m="1" x="2271"/>
        <item h="1" m="1" x="2272"/>
        <item h="1" m="1" x="2273"/>
        <item h="1" m="1" x="2274"/>
        <item h="1" m="1" x="2275"/>
        <item h="1" m="1" x="2109"/>
        <item h="1" m="1" x="2110"/>
        <item h="1" m="1" x="2111"/>
        <item h="1" m="1" x="1730"/>
        <item h="1" m="1" x="2277"/>
        <item h="1" m="1" x="2278"/>
        <item h="1" m="1" x="2279"/>
        <item h="1" m="1" x="2280"/>
        <item h="1" m="1" x="1095"/>
        <item h="1" m="1" x="2130"/>
        <item h="1" m="1" x="2076"/>
        <item h="1" m="1" x="2281"/>
        <item h="1" m="1" x="1558"/>
        <item h="1" m="1" x="1588"/>
        <item h="1" m="1" x="2282"/>
        <item h="1" m="1" x="2285"/>
        <item h="1" m="1" x="2025"/>
        <item h="1" m="1" x="2029"/>
        <item h="1" m="1" x="2030"/>
        <item h="1" m="1" x="2051"/>
        <item h="1" m="1" x="2052"/>
        <item h="1" m="1" x="2053"/>
        <item h="1" m="1" x="2055"/>
        <item h="1" x="152"/>
        <item h="1" x="153"/>
        <item h="1" m="1" x="1521"/>
        <item h="1" m="1" x="2058"/>
        <item h="1" m="1" x="2059"/>
        <item h="1" m="1" x="1680"/>
        <item h="1" m="1" x="2015"/>
        <item h="1" m="1" x="2062"/>
        <item h="1" m="1" x="2063"/>
        <item h="1" m="1" x="2067"/>
        <item h="1" m="1" x="961"/>
        <item h="1" m="1" x="1829"/>
        <item h="1" m="1" x="2036"/>
        <item h="1" x="291"/>
        <item h="1" m="1" x="1232"/>
        <item h="1" m="1" x="2069"/>
        <item h="1" m="1" x="1910"/>
        <item h="1" m="1" x="1911"/>
        <item h="1" m="1" x="2070"/>
        <item h="1" m="1" x="879"/>
        <item h="1" m="1" x="2073"/>
        <item h="1" m="1" x="1918"/>
        <item h="1" m="1" x="1919"/>
        <item h="1" m="1" x="1920"/>
        <item h="1" m="1" x="1105"/>
        <item h="1" m="1" x="2077"/>
        <item h="1" m="1" x="2079"/>
        <item h="1" m="1" x="2080"/>
        <item h="1" m="1" x="2081"/>
        <item h="1" m="1" x="1744"/>
        <item h="1" m="1" x="2082"/>
        <item h="1" m="1" x="2084"/>
        <item h="1" m="1" x="1581"/>
        <item h="1" m="1" x="1026"/>
        <item h="1" m="1" x="2087"/>
        <item h="1" m="1" x="2088"/>
        <item h="1" m="1" x="2089"/>
        <item h="1" m="1" x="2090"/>
        <item h="1" m="1" x="2094"/>
        <item h="1" m="1" x="2095"/>
        <item h="1" m="1" x="2096"/>
        <item h="1" m="1" x="2097"/>
        <item h="1" m="1" x="2098"/>
        <item h="1" m="1" x="2099"/>
        <item h="1" m="1" x="2100"/>
        <item h="1" m="1" x="2102"/>
        <item h="1" m="1" x="1859"/>
        <item h="1" m="1" x="2103"/>
        <item h="1" m="1" x="2104"/>
        <item h="1" m="1" x="2105"/>
        <item h="1" m="1" x="1725"/>
        <item h="1" m="1" x="2112"/>
        <item h="1" m="1" x="1122"/>
        <item h="1" m="1" x="1882"/>
        <item h="1" m="1" x="1596"/>
        <item h="1" m="1" x="2115"/>
        <item h="1" m="1" x="2117"/>
        <item h="1" m="1" x="2118"/>
        <item h="1" m="1" x="2119"/>
        <item h="1" m="1" x="2120"/>
        <item h="1" m="1" x="1368"/>
        <item h="1" m="1" x="2122"/>
        <item h="1" m="1" x="2123"/>
        <item h="1" m="1" x="2124"/>
        <item h="1" m="1" x="2125"/>
        <item h="1" m="1" x="2126"/>
        <item h="1" m="1" x="2127"/>
        <item h="1" m="1" x="2128"/>
        <item h="1" m="1" x="2129"/>
        <item h="1" m="1" x="2131"/>
        <item h="1" m="1" x="1557"/>
        <item h="1" m="1" x="2132"/>
        <item h="1" m="1" x="1356"/>
        <item h="1" m="1" x="2139"/>
        <item h="1" m="1" x="2140"/>
        <item h="1" m="1" x="1520"/>
        <item h="1" m="1" x="1353"/>
        <item h="1" m="1" x="1963"/>
        <item h="1" m="1" x="1965"/>
        <item h="1" m="1" x="1577"/>
        <item h="1" m="1" x="1575"/>
        <item h="1" m="1" x="1576"/>
        <item h="1" m="1" x="1573"/>
        <item h="1" m="1" x="1574"/>
        <item h="1" m="1" x="1966"/>
        <item h="1" m="1" x="1967"/>
        <item h="1" m="1" x="1968"/>
        <item h="1" m="1" x="1969"/>
        <item h="1" m="1" x="1970"/>
        <item h="1" m="1" x="1603"/>
        <item h="1" m="1" x="1609"/>
        <item h="1" m="1" x="1971"/>
        <item h="1" m="1" x="1972"/>
        <item h="1" m="1" x="1973"/>
        <item h="1" m="1" x="1974"/>
        <item h="1" m="1" x="1975"/>
        <item h="1" m="1" x="1976"/>
        <item h="1" m="1" x="1977"/>
        <item h="1" m="1" x="1978"/>
        <item h="1" m="1" x="1979"/>
        <item h="1" m="1" x="1980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637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1999"/>
        <item h="1" m="1" x="2000"/>
        <item h="1" m="1" x="2001"/>
        <item h="1" m="1" x="2002"/>
        <item h="1" m="1" x="2003"/>
        <item h="1" m="1" x="2004"/>
        <item h="1" m="1" x="2005"/>
        <item h="1" m="1" x="1653"/>
        <item h="1" m="1" x="2006"/>
        <item h="1" m="1" x="2007"/>
        <item h="1" m="1" x="2008"/>
        <item h="1" m="1" x="2009"/>
        <item h="1" m="1" x="2010"/>
        <item h="1" m="1" x="1516"/>
        <item h="1" m="1" x="2011"/>
        <item h="1" m="1" x="960"/>
        <item h="1" m="1" x="1672"/>
        <item h="1" m="1" x="1673"/>
        <item h="1" m="1" x="2013"/>
        <item h="1" m="1" x="2014"/>
        <item h="1" m="1" x="1684"/>
        <item h="1" m="1" x="2016"/>
        <item h="1" m="1" x="2017"/>
        <item h="1" m="1" x="2018"/>
        <item h="1" m="1" x="2019"/>
        <item h="1" m="1" x="2020"/>
        <item h="1" m="1" x="1714"/>
        <item h="1" m="1" x="2021"/>
        <item h="1" m="1" x="1195"/>
        <item h="1" m="1" x="2022"/>
        <item h="1" m="1" x="1742"/>
        <item h="1" m="1" x="1747"/>
        <item h="1" m="1" x="1750"/>
        <item h="1" m="1" x="1758"/>
        <item h="1" m="1" x="1066"/>
        <item h="1" m="1" x="1408"/>
        <item h="1" m="1" x="1076"/>
        <item h="1" m="1" x="2031"/>
        <item h="1" m="1" x="1826"/>
        <item h="1" m="1" x="1827"/>
        <item h="1" m="1" x="1832"/>
        <item h="1" m="1" x="1836"/>
        <item h="1" m="1" x="2038"/>
        <item h="1" x="292"/>
        <item h="1" m="1" x="2040"/>
        <item h="1" m="1" x="1851"/>
        <item h="1" m="1" x="1858"/>
        <item h="1" m="1" x="1861"/>
        <item h="1" m="1" x="1875"/>
        <item h="1" m="1" x="1443"/>
        <item h="1" m="1" x="2043"/>
        <item h="1" m="1" x="1915"/>
        <item h="1" m="1" x="1914"/>
        <item h="1" m="1" x="1913"/>
        <item h="1" m="1" x="1924"/>
        <item h="1" m="1" x="1930"/>
        <item h="1" m="1" x="1934"/>
        <item h="1" x="375"/>
        <item h="1" m="1" x="2045"/>
        <item h="1" m="1" x="1947"/>
        <item h="1" m="1" x="1952"/>
        <item h="1" m="1" x="2047"/>
        <item h="1" m="1" x="2048"/>
        <item h="1" m="1" x="1958"/>
        <item h="1" m="1" x="1959"/>
        <item h="1" m="1" x="1127"/>
        <item h="1" m="1" x="1578"/>
        <item h="1" m="1" x="1580"/>
        <item h="1" m="1" x="1484"/>
        <item h="1" m="1" x="1600"/>
        <item h="1" m="1" x="1601"/>
        <item h="1" m="1" x="989"/>
        <item h="1" m="1" x="1619"/>
        <item h="1" m="1" x="1620"/>
        <item h="1" m="1" x="1621"/>
        <item h="1" m="1" x="1622"/>
        <item h="1" m="1" x="1623"/>
        <item h="1" m="1" x="1624"/>
        <item h="1" m="1" x="1625"/>
        <item h="1" m="1" x="1626"/>
        <item h="1" m="1" x="1627"/>
        <item h="1" m="1" x="1628"/>
        <item h="1" m="1" x="1629"/>
        <item h="1" m="1" x="1630"/>
        <item h="1" m="1" x="1631"/>
        <item h="1" m="1" x="1632"/>
        <item h="1" m="1" x="1633"/>
        <item h="1" m="1" x="1634"/>
        <item h="1" m="1" x="1635"/>
        <item h="1" m="1" x="1636"/>
        <item h="1" m="1" x="1638"/>
        <item h="1" m="1" x="1639"/>
        <item h="1" m="1" x="1640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650"/>
        <item h="1" m="1" x="1659"/>
        <item h="1" m="1" x="1660"/>
        <item h="1" m="1" x="1661"/>
        <item h="1" m="1" x="1667"/>
        <item h="1" m="1" x="1186"/>
        <item h="1" m="1" x="1524"/>
        <item h="1" m="1" x="958"/>
        <item h="1" m="1" x="1675"/>
        <item h="1" m="1" x="1695"/>
        <item h="1" m="1" x="1696"/>
        <item h="1" m="1" x="1345"/>
        <item h="1" x="156"/>
        <item h="1" m="1" x="1716"/>
        <item h="1" m="1" x="1718"/>
        <item h="1" m="1" x="1719"/>
        <item h="1" m="1" x="1741"/>
        <item h="1" m="1" x="1746"/>
        <item h="1" m="1" x="1752"/>
        <item h="1" m="1" x="1769"/>
        <item h="1" m="1" x="1770"/>
        <item h="1" m="1" x="1771"/>
        <item h="1" m="1" x="1799"/>
        <item h="1" m="1" x="1070"/>
        <item h="1" m="1" x="1071"/>
        <item h="1" m="1" x="1808"/>
        <item h="1" m="1" x="1820"/>
        <item h="1" m="1" x="1205"/>
        <item h="1" m="1" x="1825"/>
        <item h="1" x="221"/>
        <item h="1" m="1" x="1830"/>
        <item h="1" m="1" x="1831"/>
        <item h="1" m="1" x="1834"/>
        <item h="1" m="1" x="1837"/>
        <item h="1" m="1" x="1838"/>
        <item h="1" m="1" x="1839"/>
        <item h="1" m="1" x="1850"/>
        <item h="1" m="1" x="1430"/>
        <item h="1" m="1" x="1852"/>
        <item h="1" m="1" x="1853"/>
        <item h="1" m="1" x="1854"/>
        <item h="1" m="1" x="1855"/>
        <item h="1" m="1" x="1856"/>
        <item h="1" m="1" x="1863"/>
        <item h="1" m="1" x="1867"/>
        <item h="1" m="1" x="1868"/>
        <item h="1" m="1" x="1869"/>
        <item h="1" m="1" x="1870"/>
        <item h="1" m="1" x="1871"/>
        <item h="1" m="1" x="1094"/>
        <item h="1" m="1" x="1883"/>
        <item h="1" m="1" x="1885"/>
        <item h="1" m="1" x="1344"/>
        <item h="1" m="1" x="968"/>
        <item h="1" m="1" x="1896"/>
        <item h="1" m="1" x="1899"/>
        <item h="1" m="1" x="1921"/>
        <item h="1" m="1" x="1922"/>
        <item h="1" m="1" x="1926"/>
        <item h="1" m="1" x="1927"/>
        <item h="1" m="1" x="1928"/>
        <item h="1" m="1" x="1929"/>
        <item h="1" m="1" x="1118"/>
        <item h="1" m="1" x="1932"/>
        <item h="1" m="1" x="1953"/>
        <item h="1" m="1" x="1955"/>
        <item h="1" m="1" x="1473"/>
        <item h="1" m="1" x="1474"/>
        <item h="1" m="1" x="1475"/>
        <item h="1" m="1" x="1476"/>
        <item h="1" m="1" x="957"/>
        <item h="1" m="1" x="1477"/>
        <item h="1" m="1" x="1478"/>
        <item h="1" m="1" x="1479"/>
        <item h="1" m="1" x="1480"/>
        <item h="1" m="1" x="1481"/>
        <item h="1" m="1" x="1482"/>
        <item h="1" m="1" x="1485"/>
        <item h="1" m="1" x="1486"/>
        <item h="1" m="1" x="1487"/>
        <item h="1" m="1" x="1489"/>
        <item h="1" m="1" x="1490"/>
        <item h="1" m="1" x="1491"/>
        <item h="1" m="1" x="1492"/>
        <item h="1" m="1" x="1493"/>
        <item h="1" m="1" x="1494"/>
        <item h="1" m="1" x="669"/>
        <item h="1" m="1" x="1495"/>
        <item h="1" m="1" x="1496"/>
        <item h="1" m="1" x="1497"/>
        <item h="1" m="1" x="1498"/>
        <item h="1" m="1" x="1499"/>
        <item h="1" m="1" x="1500"/>
        <item h="1" m="1" x="1502"/>
        <item h="1" m="1" x="1503"/>
        <item h="1" m="1" x="1504"/>
        <item h="1" m="1" x="1505"/>
        <item h="1" m="1" x="1506"/>
        <item h="1" m="1" x="1507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166"/>
        <item h="1" m="1" x="913"/>
        <item h="1" m="1" x="1523"/>
        <item h="1" m="1" x="1526"/>
        <item h="1" m="1" x="1527"/>
        <item h="1" m="1" x="1528"/>
        <item h="1" m="1" x="1529"/>
        <item h="1" m="1" x="1394"/>
        <item h="1" m="1" x="1404"/>
        <item h="1" m="1" x="1401"/>
        <item h="1" m="1" x="1533"/>
        <item h="1" m="1" x="1407"/>
        <item h="1" m="1" x="1069"/>
        <item h="1" m="1" x="1411"/>
        <item h="1" m="1" x="1202"/>
        <item h="1" m="1" x="1207"/>
        <item h="1" m="1" x="1208"/>
        <item h="1" m="1" x="1209"/>
        <item h="1" m="1" x="1414"/>
        <item h="1" m="1" x="1415"/>
        <item h="1" m="1" x="1416"/>
        <item h="1" m="1" x="1421"/>
        <item h="1" m="1" x="1428"/>
        <item h="1" m="1" x="1425"/>
        <item h="1" m="1" x="1538"/>
        <item h="1" m="1" x="1539"/>
        <item h="1" m="1" x="1540"/>
        <item h="1" m="1" x="1541"/>
        <item h="1" m="1" x="1542"/>
        <item h="1" m="1" x="671"/>
        <item h="1" m="1" x="1544"/>
        <item h="1" m="1" x="1545"/>
        <item h="1" m="1" x="1442"/>
        <item h="1" m="1" x="1441"/>
        <item h="1" m="1" x="1547"/>
        <item h="1" m="1" x="1548"/>
        <item h="1" m="1" x="1549"/>
        <item h="1" m="1" x="1444"/>
        <item h="1" m="1" x="1235"/>
        <item h="1" m="1" x="1236"/>
        <item h="1" m="1" x="1446"/>
        <item h="1" m="1" x="1449"/>
        <item h="1" m="1" x="1240"/>
        <item h="1" m="1" x="1241"/>
        <item h="1" m="1" x="1454"/>
        <item h="1" m="1" x="1453"/>
        <item h="1" m="1" x="1456"/>
        <item h="1" m="1" x="1462"/>
        <item h="1" m="1" x="1343"/>
        <item h="1" m="1" x="1551"/>
        <item h="1" m="1" x="878"/>
        <item h="1" x="388"/>
        <item h="1" m="1" x="1464"/>
        <item h="1" m="1" x="1342"/>
        <item h="1" m="1" x="1341"/>
        <item h="1" m="1" x="1553"/>
        <item h="1" m="1" x="1554"/>
        <item h="1" m="1" x="972"/>
        <item h="1" m="1" x="703"/>
        <item h="1" m="1" x="1351"/>
        <item h="1" m="1" x="978"/>
        <item h="1" m="1" x="979"/>
        <item h="1" m="1" x="982"/>
        <item h="1" m="1" x="1352"/>
        <item h="1" m="1" x="1354"/>
        <item h="1" m="1" x="1163"/>
        <item h="1" m="1" x="1355"/>
        <item h="1" m="1" x="1357"/>
        <item h="1" m="1" x="1358"/>
        <item h="1" m="1" x="1359"/>
        <item h="1" m="1" x="1360"/>
        <item h="1" m="1" x="1361"/>
        <item h="1" m="1" x="1335"/>
        <item h="1" m="1" x="1362"/>
        <item h="1" m="1" x="1334"/>
        <item h="1" m="1" x="658"/>
        <item h="1" m="1" x="1363"/>
        <item h="1" m="1" x="1364"/>
        <item h="1" m="1" x="1365"/>
        <item h="1" m="1" x="1366"/>
        <item h="1" m="1" x="780"/>
        <item h="1" m="1" x="1367"/>
        <item h="1" m="1" x="1369"/>
        <item h="1" m="1" x="1340"/>
        <item h="1" x="39"/>
        <item h="1" m="1" x="1370"/>
        <item h="1" m="1" x="1371"/>
        <item h="1" m="1" x="1373"/>
        <item h="1" m="1" x="1332"/>
        <item h="1" m="1" x="1374"/>
        <item h="1" m="1" x="1375"/>
        <item h="1" m="1" x="1376"/>
        <item h="1" m="1" x="1377"/>
        <item h="1" m="1" x="1378"/>
        <item h="1" m="1" x="1379"/>
        <item h="1" m="1" x="1381"/>
        <item h="1" m="1" x="1382"/>
        <item h="1" m="1" x="999"/>
        <item h="1" m="1" x="1384"/>
        <item h="1" m="1" x="1385"/>
        <item h="1" m="1" x="1386"/>
        <item h="1" m="1" x="1387"/>
        <item h="1" m="1" x="1388"/>
        <item h="1" m="1" x="1337"/>
        <item h="1" m="1" x="1336"/>
        <item h="1" m="1" x="1389"/>
        <item h="1" m="1" x="1390"/>
        <item h="1" m="1" x="1391"/>
        <item h="1" m="1" x="1185"/>
        <item h="1" m="1" x="1333"/>
        <item h="1" m="1" x="1392"/>
        <item h="1" m="1" x="1339"/>
        <item h="1" m="1" x="1192"/>
        <item h="1" x="117"/>
        <item h="1" m="1" x="1393"/>
        <item h="1" m="1" x="1395"/>
        <item h="1" m="1" x="1397"/>
        <item h="1" m="1" x="1398"/>
        <item h="1" m="1" x="1039"/>
        <item h="1" m="1" x="1405"/>
        <item h="1" m="1" x="1409"/>
        <item h="1" m="1" x="1410"/>
        <item h="1" m="1" x="1074"/>
        <item h="1" m="1" x="1412"/>
        <item h="1" m="1" x="1078"/>
        <item h="1" m="1" x="1413"/>
        <item h="1" m="1" x="1417"/>
        <item h="1" m="1" x="1418"/>
        <item h="1" m="1" x="1419"/>
        <item h="1" m="1" x="1420"/>
        <item h="1" m="1" x="1423"/>
        <item h="1" m="1" x="1424"/>
        <item h="1" m="1" x="1427"/>
        <item h="1" m="1" x="1083"/>
        <item h="1" m="1" x="1429"/>
        <item h="1" m="1" x="953"/>
        <item h="1" m="1" x="1431"/>
        <item h="1" m="1" x="1432"/>
        <item h="1" m="1" x="1433"/>
        <item h="1" m="1" x="1434"/>
        <item h="1" m="1" x="1435"/>
        <item h="1" m="1" x="1436"/>
        <item h="1" m="1" x="1437"/>
        <item h="1" m="1" x="1438"/>
        <item h="1" m="1" x="1088"/>
        <item h="1" m="1" x="1101"/>
        <item h="1" m="1" x="1102"/>
        <item h="1" m="1" x="1445"/>
        <item h="1" m="1" x="1447"/>
        <item h="1" m="1" x="1448"/>
        <item h="1" m="1" x="1451"/>
        <item h="1" m="1" x="1452"/>
        <item h="1" m="1" x="1455"/>
        <item h="1" x="369"/>
        <item h="1" m="1" x="1457"/>
        <item h="1" m="1" x="1458"/>
        <item h="1" m="1" x="1459"/>
        <item h="1" m="1" x="1460"/>
        <item h="1" m="1" x="1461"/>
        <item h="1" m="1" x="1465"/>
        <item h="1" m="1" x="1466"/>
        <item h="1" m="1" x="1467"/>
        <item h="1" m="1" x="1468"/>
        <item h="1" m="1" x="1469"/>
        <item h="1" m="1" x="1470"/>
        <item h="1" m="1" x="1471"/>
        <item h="1" m="1" x="1472"/>
        <item h="1" m="1" x="1310"/>
        <item h="1" m="1" x="980"/>
        <item h="1" m="1" x="1287"/>
        <item h="1" m="1" x="1159"/>
        <item h="1" m="1" x="912"/>
        <item h="1" m="1" x="1286"/>
        <item h="1" m="1" x="987"/>
        <item h="1" m="1" x="1167"/>
        <item h="1" m="1" x="1259"/>
        <item h="1" m="1" x="1263"/>
        <item h="1" m="1" x="1326"/>
        <item h="1" m="1" x="1320"/>
        <item h="1" m="1" x="1319"/>
        <item h="1" m="1" x="1306"/>
        <item h="1" m="1" x="1318"/>
        <item h="1" m="1" x="1317"/>
        <item h="1" m="1" x="1316"/>
        <item h="1" m="1" x="1315"/>
        <item h="1" m="1" x="1314"/>
        <item h="1" m="1" x="1331"/>
        <item h="1" m="1" x="1330"/>
        <item h="1" m="1" x="1329"/>
        <item h="1" m="1" x="1298"/>
        <item h="1" m="1" x="1297"/>
        <item h="1" m="1" x="1327"/>
        <item h="1" m="1" x="1285"/>
        <item h="1" m="1" x="1295"/>
        <item h="1" m="1" x="1292"/>
        <item h="1" m="1" x="1304"/>
        <item h="1" m="1" x="1303"/>
        <item h="1" m="1" x="1301"/>
        <item h="1" m="1" x="1302"/>
        <item h="1" m="1" x="998"/>
        <item h="1" m="1" x="1300"/>
        <item h="1" m="1" x="1299"/>
        <item h="1" m="1" x="1309"/>
        <item h="1" m="1" x="1308"/>
        <item h="1" m="1" x="1307"/>
        <item h="1" m="1" x="1283"/>
        <item h="1" m="1" x="1282"/>
        <item h="1" m="1" x="1281"/>
        <item h="1" m="1" x="1264"/>
        <item h="1" m="1" x="1015"/>
        <item h="1" x="76"/>
        <item h="1" m="1" x="1275"/>
        <item h="1" m="1" x="1016"/>
        <item h="1" m="1" x="1183"/>
        <item h="1" m="1" x="1280"/>
        <item h="1" m="1" x="1279"/>
        <item h="1" m="1" x="1291"/>
        <item h="1" m="1" x="1290"/>
        <item h="1" m="1" x="1289"/>
        <item h="1" m="1" x="1288"/>
        <item h="1" m="1" x="1278"/>
        <item h="1" m="1" x="1277"/>
        <item h="1" m="1" x="952"/>
        <item h="1" m="1" x="1191"/>
        <item h="1" m="1" x="1312"/>
        <item h="1" m="1" x="1321"/>
        <item h="1" m="1" x="1194"/>
        <item h="1" m="1" x="1041"/>
        <item h="1" m="1" x="1044"/>
        <item h="1" m="1" x="1045"/>
        <item h="1" m="1" x="1199"/>
        <item h="1" m="1" x="1258"/>
        <item h="1" m="1" x="1262"/>
        <item h="1" m="1" x="1077"/>
        <item h="1" m="1" x="1274"/>
        <item h="1" m="1" x="1273"/>
        <item h="1" m="1" x="1272"/>
        <item h="1" m="1" x="1271"/>
        <item h="1" m="1" x="1325"/>
        <item h="1" m="1" x="1324"/>
        <item h="1" m="1" x="1223"/>
        <item h="1" m="1" x="1221"/>
        <item h="1" m="1" x="1222"/>
        <item h="1" m="1" x="1220"/>
        <item h="1" m="1" x="1322"/>
        <item h="1" m="1" x="1293"/>
        <item h="1" m="1" x="1260"/>
        <item h="1" m="1" x="1294"/>
        <item h="1" m="1" x="1097"/>
        <item h="1" m="1" x="1096"/>
        <item h="1" m="1" x="1284"/>
        <item h="1" m="1" x="1328"/>
        <item h="1" m="1" x="1230"/>
        <item h="1" m="1" x="1104"/>
        <item h="1" m="1" x="951"/>
        <item h="1" m="1" x="1313"/>
        <item h="1" m="1" x="1269"/>
        <item h="1" m="1" x="1268"/>
        <item h="1" m="1" x="1323"/>
        <item h="1" m="1" x="950"/>
        <item h="1" m="1" x="1266"/>
        <item h="1" m="1" x="1243"/>
        <item h="1" m="1" x="1257"/>
        <item h="1" m="1" x="1119"/>
        <item h="1" m="1" x="877"/>
        <item h="1" m="1" x="1276"/>
        <item h="1" m="1" x="1128"/>
        <item h="1" m="1" x="971"/>
        <item h="1" m="1" x="977"/>
        <item h="1" m="1" x="1129"/>
        <item h="1" m="1" x="1130"/>
        <item h="1" m="1" x="1131"/>
        <item h="1" m="1" x="1132"/>
        <item h="1" m="1" x="1133"/>
        <item h="1" m="1" x="1135"/>
        <item h="1" m="1" x="1136"/>
        <item h="1" m="1" x="1137"/>
        <item h="1" m="1" x="1138"/>
        <item h="1" m="1" x="1139"/>
        <item h="1" m="1" x="1140"/>
        <item h="1" m="1" x="1141"/>
        <item h="1" m="1" x="1142"/>
        <item h="1" m="1" x="1143"/>
        <item h="1" m="1" x="1144"/>
        <item h="1" m="1" x="1145"/>
        <item h="1" m="1" x="1146"/>
        <item h="1" m="1" x="1147"/>
        <item h="1" m="1" x="1148"/>
        <item h="1" m="1" x="1149"/>
        <item h="1" m="1" x="1150"/>
        <item h="1" m="1" x="1151"/>
        <item h="1" m="1" x="1152"/>
        <item h="1" m="1" x="1153"/>
        <item h="1" m="1" x="1154"/>
        <item h="1" m="1" x="1155"/>
        <item h="1" m="1" x="1156"/>
        <item h="1" m="1" x="1157"/>
        <item h="1" m="1" x="1158"/>
        <item h="1" m="1" x="1160"/>
        <item h="1" m="1" x="1161"/>
        <item h="1" x="24"/>
        <item h="1" m="1" x="990"/>
        <item h="1" m="1" x="914"/>
        <item h="1" m="1" x="922"/>
        <item h="1" m="1" x="1164"/>
        <item h="1" m="1" x="1165"/>
        <item h="1" m="1" x="997"/>
        <item h="1" m="1" x="996"/>
        <item h="1" m="1" x="1168"/>
        <item h="1" m="1" x="1169"/>
        <item h="1" m="1" x="1170"/>
        <item h="1" m="1" x="1171"/>
        <item h="1" m="1" x="1172"/>
        <item h="1" m="1" x="1173"/>
        <item h="1" m="1" x="1174"/>
        <item h="1" m="1" x="1175"/>
        <item h="1" m="1" x="995"/>
        <item h="1" m="1" x="1176"/>
        <item h="1" m="1" x="991"/>
        <item h="1" m="1" x="1177"/>
        <item h="1" m="1" x="992"/>
        <item h="1" m="1" x="1178"/>
        <item h="1" m="1" x="1179"/>
        <item h="1" m="1" x="1180"/>
        <item h="1" m="1" x="1181"/>
        <item h="1" m="1" x="1182"/>
        <item h="1" m="1" x="993"/>
        <item h="1" m="1" x="994"/>
        <item h="1" m="1" x="726"/>
        <item h="1" x="78"/>
        <item h="1" x="81"/>
        <item h="1" m="1" x="915"/>
        <item h="1" x="86"/>
        <item h="1" m="1" x="1184"/>
        <item h="1" m="1" x="1188"/>
        <item h="1" m="1" x="1189"/>
        <item h="1" m="1" x="946"/>
        <item h="1" m="1" x="1034"/>
        <item h="1" m="1" x="1035"/>
        <item h="1" m="1" x="1036"/>
        <item h="1" m="1" x="1037"/>
        <item h="1" x="174"/>
        <item h="1" m="1" x="1197"/>
        <item h="1" m="1" x="1042"/>
        <item h="1" m="1" x="1198"/>
        <item h="1" m="1" x="1049"/>
        <item h="1" m="1" x="1050"/>
        <item h="1" m="1" x="1051"/>
        <item h="1" m="1" x="1052"/>
        <item h="1" m="1" x="1064"/>
        <item h="1" m="1" x="551"/>
        <item h="1" m="1" x="1068"/>
        <item h="1" m="1" x="1203"/>
        <item h="1" m="1" x="1211"/>
        <item h="1" m="1" x="1212"/>
        <item h="1" m="1" x="1213"/>
        <item h="1" m="1" x="1218"/>
        <item h="1" m="1" x="1219"/>
        <item h="1" m="1" x="1224"/>
        <item h="1" m="1" x="1085"/>
        <item h="1" m="1" x="1092"/>
        <item h="1" m="1" x="1090"/>
        <item h="1" x="318"/>
        <item h="1" x="338"/>
        <item h="1" m="1" x="1227"/>
        <item h="1" m="1" x="1228"/>
        <item h="1" m="1" x="1103"/>
        <item h="1" m="1" x="1237"/>
        <item h="1" m="1" x="1106"/>
        <item h="1" m="1" x="1238"/>
        <item h="1" m="1" x="1107"/>
        <item h="1" m="1" x="1111"/>
        <item h="1" m="1" x="1117"/>
        <item h="1" m="1" x="1113"/>
        <item h="1" m="1" x="1114"/>
        <item h="1" m="1" x="1115"/>
        <item h="1" m="1" x="1116"/>
        <item h="1" m="1" x="1244"/>
        <item h="1" m="1" x="1245"/>
        <item h="1" m="1" x="766"/>
        <item h="1" m="1" x="1246"/>
        <item h="1" m="1" x="1247"/>
        <item h="1" m="1" x="1248"/>
        <item h="1" m="1" x="1250"/>
        <item h="1" m="1" x="1253"/>
        <item h="1" m="1" x="1254"/>
        <item h="1" m="1" x="1255"/>
        <item h="1" m="1" x="1256"/>
        <item h="1" m="1" x="592"/>
        <item h="1" m="1" x="1125"/>
        <item h="1" m="1" x="1126"/>
        <item h="1" m="1" x="931"/>
        <item h="1" m="1" x="969"/>
        <item h="1" m="1" x="970"/>
        <item h="1" m="1" x="421"/>
        <item h="1" m="1" x="973"/>
        <item h="1" m="1" x="974"/>
        <item h="1" m="1" x="975"/>
        <item h="1" m="1" x="955"/>
        <item h="1" m="1" x="981"/>
        <item h="1" m="1" x="929"/>
        <item h="1" m="1" x="984"/>
        <item h="1" m="1" x="985"/>
        <item h="1" m="1" x="986"/>
        <item h="1" m="1" x="928"/>
        <item h="1" m="1" x="988"/>
        <item h="1" m="1" x="949"/>
        <item h="1" m="1" x="1000"/>
        <item h="1" m="1" x="1001"/>
        <item h="1" m="1" x="1002"/>
        <item h="1" m="1" x="1003"/>
        <item h="1" m="1" x="1004"/>
        <item h="1" m="1" x="1005"/>
        <item h="1" m="1" x="1006"/>
        <item h="1" m="1" x="1007"/>
        <item h="1" m="1" x="1008"/>
        <item h="1" m="1" x="1009"/>
        <item h="1" m="1" x="1010"/>
        <item h="1" m="1" x="1011"/>
        <item h="1" m="1" x="1012"/>
        <item h="1" m="1" x="1013"/>
        <item h="1" m="1" x="937"/>
        <item h="1" m="1" x="1014"/>
        <item h="1" m="1" x="1017"/>
        <item h="1" m="1" x="964"/>
        <item h="1" m="1" x="1018"/>
        <item h="1" m="1" x="1019"/>
        <item h="1" m="1" x="1020"/>
        <item h="1" m="1" x="1022"/>
        <item h="1" m="1" x="1023"/>
        <item h="1" m="1" x="1024"/>
        <item h="1" m="1" x="1025"/>
        <item h="1" m="1" x="940"/>
        <item h="1" m="1" x="938"/>
        <item h="1" m="1" x="944"/>
        <item h="1" m="1" x="943"/>
        <item h="1" m="1" x="1030"/>
        <item h="1" m="1" x="927"/>
        <item h="1" m="1" x="1032"/>
        <item h="1" m="1" x="1033"/>
        <item h="1" m="1" x="1038"/>
        <item h="1" x="121"/>
        <item h="1" m="1" x="1040"/>
        <item h="1" x="155"/>
        <item h="1" x="180"/>
        <item h="1" m="1" x="1043"/>
        <item h="1" m="1" x="1046"/>
        <item h="1" m="1" x="1047"/>
        <item h="1" m="1" x="1048"/>
        <item h="1" m="1" x="1053"/>
        <item h="1" m="1" x="1054"/>
        <item h="1" m="1" x="1055"/>
        <item h="1" m="1" x="747"/>
        <item h="1" m="1" x="1057"/>
        <item h="1" m="1" x="750"/>
        <item h="1" m="1" x="1067"/>
        <item h="1" m="1" x="1075"/>
        <item h="1" m="1" x="1079"/>
        <item h="1" m="1" x="1081"/>
        <item h="1" m="1" x="521"/>
        <item h="1" m="1" x="1082"/>
        <item h="1" m="1" x="528"/>
        <item h="1" m="1" x="1086"/>
        <item h="1" m="1" x="1087"/>
        <item h="1" m="1" x="948"/>
        <item h="1" m="1" x="947"/>
        <item h="1" m="1" x="855"/>
        <item h="1" x="324"/>
        <item h="1" x="316"/>
        <item h="1" m="1" x="1089"/>
        <item h="1" m="1" x="1091"/>
        <item h="1" x="302"/>
        <item h="1" m="1" x="1099"/>
        <item h="1" m="1" x="1100"/>
        <item h="1" m="1" x="760"/>
        <item h="1" m="1" x="761"/>
        <item h="1" m="1" x="930"/>
        <item h="1" x="360"/>
        <item h="1" m="1" x="1108"/>
        <item h="1" m="1" x="1109"/>
        <item h="1" m="1" x="1110"/>
        <item h="1" m="1" x="554"/>
        <item h="1" m="1" x="1112"/>
        <item h="1" m="1" x="572"/>
        <item h="1" m="1" x="702"/>
        <item h="1" m="1" x="701"/>
        <item h="1" m="1" x="1123"/>
        <item h="1" m="1" x="1124"/>
        <item h="1" m="1" x="582"/>
        <item h="1" m="1" x="419"/>
        <item h="1" m="1" x="903"/>
        <item h="1" m="1" x="892"/>
        <item h="1" m="1" x="893"/>
        <item h="1" x="14"/>
        <item h="1" x="23"/>
        <item h="1" m="1" x="911"/>
        <item h="1" m="1" x="942"/>
        <item h="1" m="1" x="901"/>
        <item h="1" m="1" x="923"/>
        <item h="1" m="1" x="603"/>
        <item h="1" m="1" x="902"/>
        <item h="1" m="1" x="896"/>
        <item h="1" m="1" x="898"/>
        <item h="1" m="1" x="926"/>
        <item h="1" m="1" x="908"/>
        <item h="1" m="1" x="797"/>
        <item h="1" m="1" x="798"/>
        <item h="1" m="1" x="904"/>
        <item h="1" m="1" x="894"/>
        <item h="1" m="1" x="794"/>
        <item h="1" m="1" x="897"/>
        <item h="1" m="1" x="899"/>
        <item h="1" m="1" x="941"/>
        <item h="1" m="1" x="816"/>
        <item h="1" m="1" x="821"/>
        <item h="1" m="1" x="745"/>
        <item h="1" x="141"/>
        <item h="1" x="146"/>
        <item h="1" m="1" x="817"/>
        <item h="1" m="1" x="818"/>
        <item h="1" x="126"/>
        <item h="1" m="1" x="825"/>
        <item h="1" m="1" x="909"/>
        <item h="1" m="1" x="900"/>
        <item h="1" m="1" x="917"/>
        <item h="1" m="1" x="895"/>
        <item h="1" m="1" x="919"/>
        <item h="1" m="1" x="918"/>
        <item h="1" x="119"/>
        <item h="1" m="1" x="838"/>
        <item h="1" m="1" x="836"/>
        <item h="1" m="1" x="840"/>
        <item h="1" m="1" x="698"/>
        <item h="1" m="1" x="916"/>
        <item h="1" m="1" x="907"/>
        <item h="1" m="1" x="965"/>
        <item h="1" m="1" x="847"/>
        <item h="1" x="278"/>
        <item h="1" x="279"/>
        <item h="1" x="332"/>
        <item h="1" m="1" x="857"/>
        <item h="1" m="1" x="856"/>
        <item h="1" m="1" x="932"/>
        <item h="1" x="322"/>
        <item h="1" x="323"/>
        <item h="1" x="296"/>
        <item h="1" x="352"/>
        <item h="1" x="356"/>
        <item h="1" x="361"/>
        <item h="1" m="1" x="861"/>
        <item h="1" m="1" x="862"/>
        <item h="1" m="1" x="863"/>
        <item h="1" m="1" x="865"/>
        <item h="1" m="1" x="866"/>
        <item h="1" m="1" x="567"/>
        <item h="1" m="1" x="871"/>
        <item h="1" m="1" x="872"/>
        <item h="1" m="1" x="873"/>
        <item h="1" m="1" x="874"/>
        <item h="1" m="1" x="699"/>
        <item h="1" m="1" x="934"/>
        <item h="1" m="1" x="933"/>
        <item h="1" m="1" x="880"/>
        <item h="1" m="1" x="881"/>
        <item h="1" m="1" x="882"/>
        <item h="1" m="1" x="906"/>
        <item h="1" m="1" x="905"/>
        <item h="1" m="1" x="920"/>
        <item h="1" m="1" x="884"/>
        <item h="1" m="1" x="886"/>
        <item h="1" m="1" x="887"/>
        <item h="1" m="1" x="888"/>
        <item h="1" m="1" x="889"/>
        <item h="1" m="1" x="890"/>
        <item h="1" m="1" x="586"/>
        <item h="1" m="1" x="595"/>
        <item h="1" m="1" x="885"/>
        <item h="1" m="1" x="769"/>
        <item h="1" m="1" x="770"/>
        <item h="1" m="1" x="771"/>
        <item h="1" m="1" x="772"/>
        <item h="1" m="1" x="774"/>
        <item h="1" x="32"/>
        <item h="1" x="33"/>
        <item h="1" m="1" x="776"/>
        <item h="1" m="1" x="777"/>
        <item h="1" m="1" x="778"/>
        <item h="1" m="1" x="779"/>
        <item h="1" m="1" x="781"/>
        <item h="1" m="1" x="719"/>
        <item h="1" m="1" x="720"/>
        <item h="1" m="1" x="783"/>
        <item h="1" m="1" x="784"/>
        <item h="1" m="1" x="785"/>
        <item h="1" m="1" x="786"/>
        <item h="1" m="1" x="430"/>
        <item h="1" x="42"/>
        <item h="1" m="1" x="787"/>
        <item h="1" m="1" x="788"/>
        <item h="1" m="1" x="789"/>
        <item h="1" m="1" x="791"/>
        <item h="1" m="1" x="792"/>
        <item h="1" x="41"/>
        <item h="1" m="1" x="795"/>
        <item h="1" m="1" x="796"/>
        <item h="1" m="1" x="799"/>
        <item h="1" m="1" x="800"/>
        <item h="1" m="1" x="801"/>
        <item h="1" m="1" x="715"/>
        <item h="1" m="1" x="716"/>
        <item h="1" m="1" x="803"/>
        <item h="1" x="43"/>
        <item h="1" m="1" x="804"/>
        <item h="1" m="1" x="805"/>
        <item h="1" m="1" x="806"/>
        <item h="1" m="1" x="808"/>
        <item h="1" m="1" x="809"/>
        <item h="1" m="1" x="813"/>
        <item h="1" m="1" x="814"/>
        <item h="1" m="1" x="815"/>
        <item h="1" x="147"/>
        <item h="1" m="1" x="819"/>
        <item h="1" m="1" x="823"/>
        <item h="1" m="1" x="824"/>
        <item h="1" m="1" x="500"/>
        <item h="1" m="1" x="695"/>
        <item h="1" m="1" x="827"/>
        <item h="1" m="1" x="828"/>
        <item h="1" m="1" x="829"/>
        <item h="1" m="1" x="830"/>
        <item h="1" m="1" x="831"/>
        <item h="1" m="1" x="832"/>
        <item h="1" m="1" x="833"/>
        <item h="1" m="1" x="834"/>
        <item h="1" m="1" x="835"/>
        <item h="1" x="216"/>
        <item h="1" x="217"/>
        <item h="1" m="1" x="746"/>
        <item h="1" m="1" x="839"/>
        <item h="1" x="127"/>
        <item h="1" m="1" x="841"/>
        <item h="1" m="1" x="842"/>
        <item h="1" m="1" x="843"/>
        <item h="1" m="1" x="844"/>
        <item h="1" m="1" x="846"/>
        <item h="1" m="1" x="756"/>
        <item h="1" m="1" x="523"/>
        <item h="1" m="1" x="527"/>
        <item h="1" x="280"/>
        <item h="1" m="1" x="848"/>
        <item h="1" m="1" x="849"/>
        <item h="1" m="1" x="850"/>
        <item h="1" m="1" x="851"/>
        <item h="1" m="1" x="853"/>
        <item h="1" x="295"/>
        <item h="1" m="1" x="697"/>
        <item h="1" x="294"/>
        <item h="1" x="320"/>
        <item h="1" x="321"/>
        <item h="1" x="312"/>
        <item h="1" x="339"/>
        <item h="1" m="1" x="859"/>
        <item h="1" m="1" x="860"/>
        <item h="1" m="1" x="696"/>
        <item h="1" x="351"/>
        <item h="1" x="362"/>
        <item h="1" m="1" x="864"/>
        <item h="1" m="1" x="867"/>
        <item h="1" m="1" x="765"/>
        <item h="1" m="1" x="868"/>
        <item h="1" m="1" x="869"/>
        <item h="1" m="1" x="870"/>
        <item h="1" x="387"/>
        <item h="1" m="1" x="883"/>
        <item h="1" m="1" x="693"/>
        <item h="1" x="410"/>
        <item h="1" x="411"/>
        <item h="1" m="1" x="891"/>
        <item h="1" m="1" x="704"/>
        <item h="1" m="1" x="705"/>
        <item h="1" m="1" x="423"/>
        <item h="1" x="29"/>
        <item h="1" m="1" x="706"/>
        <item h="1" m="1" x="707"/>
        <item h="1" m="1" x="708"/>
        <item h="1" m="1" x="709"/>
        <item h="1" m="1" x="710"/>
        <item h="1" m="1" x="711"/>
        <item h="1" m="1" x="712"/>
        <item h="1" x="46"/>
        <item h="1" m="1" x="713"/>
        <item h="1" m="1" x="714"/>
        <item h="1" m="1" x="717"/>
        <item h="1" m="1" x="718"/>
        <item h="1" x="44"/>
        <item h="1" m="1" x="721"/>
        <item h="1" m="1" x="722"/>
        <item h="1" m="1" x="724"/>
        <item h="1" m="1" x="725"/>
        <item h="1" m="1" x="727"/>
        <item h="1" m="1" x="728"/>
        <item h="1" m="1" x="729"/>
        <item h="1" m="1" x="730"/>
        <item h="1" m="1" x="731"/>
        <item h="1" m="1" x="465"/>
        <item h="1" m="1" x="734"/>
        <item h="1" m="1" x="735"/>
        <item h="1" m="1" x="736"/>
        <item h="1" m="1" x="737"/>
        <item h="1" m="1" x="738"/>
        <item h="1" m="1" x="739"/>
        <item h="1" m="1" x="740"/>
        <item h="1" m="1" x="741"/>
        <item h="1" x="144"/>
        <item h="1" x="133"/>
        <item h="1" m="1" x="478"/>
        <item h="1" m="1" x="488"/>
        <item h="1" m="1" x="486"/>
        <item h="1" m="1" x="489"/>
        <item h="1" m="1" x="491"/>
        <item h="1" m="1" x="492"/>
        <item h="1" x="173"/>
        <item h="1" x="172"/>
        <item h="1" m="1" x="688"/>
        <item h="1" m="1" x="748"/>
        <item h="1" m="1" x="752"/>
        <item h="1" m="1" x="753"/>
        <item h="1" m="1" x="686"/>
        <item h="1" m="1" x="683"/>
        <item h="1" m="1" x="690"/>
        <item h="1" m="1" x="687"/>
        <item h="1" m="1" x="689"/>
        <item h="1" m="1" x="754"/>
        <item h="1" m="1" x="516"/>
        <item h="1" m="1" x="517"/>
        <item h="1" m="1" x="522"/>
        <item h="1" m="1" x="524"/>
        <item h="1" m="1" x="685"/>
        <item h="1" m="1" x="537"/>
        <item h="1" m="1" x="757"/>
        <item h="1" m="1" x="607"/>
        <item h="1" x="311"/>
        <item h="1" x="301"/>
        <item h="1" m="1" x="691"/>
        <item h="1" x="331"/>
        <item h="1" m="1" x="545"/>
        <item h="1" x="334"/>
        <item h="1" m="1" x="759"/>
        <item h="1" m="1" x="762"/>
        <item h="1" m="1" x="763"/>
        <item h="1" m="1" x="556"/>
        <item h="1" m="1" x="557"/>
        <item h="1" m="1" x="558"/>
        <item h="1" m="1" x="559"/>
        <item h="1" m="1" x="563"/>
        <item h="1" m="1" x="564"/>
        <item h="1" m="1" x="568"/>
        <item h="1" m="1" x="682"/>
        <item h="1" m="1" x="692"/>
        <item h="1" x="385"/>
        <item h="1" m="1" x="768"/>
        <item h="1" m="1" x="577"/>
        <item h="1" m="1" x="594"/>
        <item h="1" m="1" x="681"/>
        <item h="1" m="1" x="593"/>
        <item h="1" m="1" x="581"/>
        <item h="1" m="1" x="583"/>
        <item h="1" x="416"/>
        <item h="1" m="1" x="584"/>
        <item h="1" m="1" x="591"/>
        <item h="1" m="1" x="590"/>
        <item h="1" m="1" x="663"/>
        <item h="1" m="1" x="428"/>
        <item h="1" m="1" x="427"/>
        <item h="1" m="1" x="600"/>
        <item h="1" m="1" x="424"/>
        <item h="1" m="1" x="425"/>
        <item h="1" m="1" x="426"/>
        <item h="1" m="1" x="674"/>
        <item h="1" m="1" x="608"/>
        <item h="1" x="15"/>
        <item h="1" m="1" x="670"/>
        <item h="1" m="1" x="680"/>
        <item h="1" m="1" x="601"/>
        <item h="1" m="1" x="439"/>
        <item h="1" m="1" x="612"/>
        <item h="1" m="1" x="611"/>
        <item h="1" m="1" x="610"/>
        <item h="1" m="1" x="609"/>
        <item h="1" m="1" x="440"/>
        <item h="1" m="1" x="599"/>
        <item h="1" m="1" x="598"/>
        <item h="1" m="1" x="597"/>
        <item h="1" m="1" x="441"/>
        <item h="1" m="1" x="438"/>
        <item h="1" m="1" x="437"/>
        <item h="1" m="1" x="615"/>
        <item h="1" m="1" x="632"/>
        <item h="1" m="1" x="642"/>
        <item h="1" m="1" x="434"/>
        <item h="1" m="1" x="644"/>
        <item h="1" m="1" x="436"/>
        <item h="1" x="59"/>
        <item h="1" m="1" x="435"/>
        <item h="1" m="1" x="653"/>
        <item h="1" m="1" x="652"/>
        <item h="1" m="1" x="651"/>
        <item h="1" m="1" x="649"/>
        <item h="1" m="1" x="673"/>
        <item h="1" m="1" x="675"/>
        <item h="1" m="1" x="431"/>
        <item h="1" m="1" x="672"/>
        <item h="1" m="1" x="679"/>
        <item h="1" m="1" x="678"/>
        <item h="1" m="1" x="677"/>
        <item h="1" m="1" x="432"/>
        <item h="1" m="1" x="664"/>
        <item h="1" m="1" x="659"/>
        <item h="1" m="1" x="660"/>
        <item h="1" m="1" x="433"/>
        <item h="1" m="1" x="657"/>
        <item h="1" m="1" x="640"/>
        <item h="1" m="1" x="641"/>
        <item h="1" m="1" x="631"/>
        <item h="1" m="1" x="630"/>
        <item h="1" m="1" x="636"/>
        <item h="1" m="1" x="668"/>
        <item h="1" m="1" x="466"/>
        <item h="1" m="1" x="470"/>
        <item h="1" m="1" x="614"/>
        <item h="1" x="114"/>
        <item h="1" x="116"/>
        <item h="1" m="1" x="648"/>
        <item h="1" m="1" x="647"/>
        <item h="1" m="1" x="490"/>
        <item h="1" m="1" x="480"/>
        <item h="1" m="1" x="606"/>
        <item h="1" m="1" x="483"/>
        <item h="1" x="149"/>
        <item h="1" m="1" x="626"/>
        <item h="1" m="1" x="499"/>
        <item h="1" m="1" x="497"/>
        <item h="1" x="201"/>
        <item h="1" m="1" x="667"/>
        <item h="1" m="1" x="666"/>
        <item h="1" m="1" x="665"/>
        <item h="1" m="1" x="621"/>
        <item h="1" x="230"/>
        <item h="1" m="1" x="505"/>
        <item h="1" m="1" x="506"/>
        <item h="1" m="1" x="617"/>
        <item h="1" x="235"/>
        <item h="1" m="1" x="662"/>
        <item h="1" m="1" x="645"/>
        <item h="1" m="1" x="618"/>
        <item h="1" m="1" x="661"/>
        <item h="1" m="1" x="627"/>
        <item h="1" m="1" x="514"/>
        <item h="1" m="1" x="628"/>
        <item h="1" x="245"/>
        <item h="1" m="1" x="518"/>
        <item h="1" m="1" x="519"/>
        <item h="1" x="262"/>
        <item h="1" m="1" x="531"/>
        <item h="1" m="1" x="655"/>
        <item h="1" m="1" x="526"/>
        <item h="1" m="1" x="529"/>
        <item h="1" x="287"/>
        <item h="1" x="288"/>
        <item h="1" x="286"/>
        <item h="1" m="1" x="541"/>
        <item h="1" x="315"/>
        <item h="1" x="304"/>
        <item h="1" x="305"/>
        <item h="1" x="308"/>
        <item h="1" x="309"/>
        <item h="1" x="310"/>
        <item h="1" x="330"/>
        <item h="1" m="1" x="676"/>
        <item h="1" x="335"/>
        <item h="1" m="1" x="546"/>
        <item h="1" x="341"/>
        <item h="1" m="1" x="547"/>
        <item h="1" m="1" x="548"/>
        <item h="1" m="1" x="549"/>
        <item h="1" m="1" x="646"/>
        <item h="1" m="1" x="550"/>
        <item h="1" x="353"/>
        <item h="1" m="1" x="605"/>
        <item h="1" m="1" x="638"/>
        <item h="1" m="1" x="637"/>
        <item h="1" m="1" x="623"/>
        <item h="1" m="1" x="622"/>
        <item h="1" m="1" x="602"/>
        <item h="1" m="1" x="562"/>
        <item h="1" m="1" x="553"/>
        <item h="1" m="1" x="555"/>
        <item h="1" m="1" x="569"/>
        <item h="1" m="1" x="570"/>
        <item h="1" m="1" x="565"/>
        <item h="1" m="1" x="656"/>
        <item h="1" x="378"/>
        <item h="1" m="1" x="625"/>
        <item h="1" m="1" x="624"/>
        <item h="1" m="1" x="588"/>
        <item h="1" m="1" x="635"/>
        <item h="1" m="1" x="589"/>
        <item h="1" m="1" x="634"/>
        <item h="1" m="1" x="579"/>
        <item h="1" m="1" x="580"/>
        <item h="1" x="414"/>
        <item h="1" m="1" x="633"/>
        <item h="1" m="1" x="578"/>
        <item h="1" x="5"/>
        <item h="1" m="1" x="422"/>
        <item h="1" x="27"/>
        <item h="1" x="28"/>
        <item h="1" m="1" x="442"/>
        <item h="1" m="1" x="443"/>
        <item h="1" m="1" x="444"/>
        <item h="1" m="1" x="445"/>
        <item h="1" m="1" x="447"/>
        <item h="1" m="1" x="448"/>
        <item h="1" m="1" x="449"/>
        <item h="1" m="1" x="450"/>
        <item h="1" m="1" x="451"/>
        <item h="1" m="1" x="452"/>
        <item h="1" m="1" x="453"/>
        <item h="1" m="1" x="454"/>
        <item h="1" m="1" x="455"/>
        <item h="1" m="1" x="456"/>
        <item h="1" m="1" x="457"/>
        <item h="1" m="1" x="458"/>
        <item h="1" m="1" x="459"/>
        <item h="1" m="1" x="460"/>
        <item h="1" m="1" x="461"/>
        <item h="1" m="1" x="462"/>
        <item h="1" m="1" x="463"/>
        <item h="1" m="1" x="464"/>
        <item h="1" x="79"/>
        <item h="1" x="85"/>
        <item h="1" m="1" x="467"/>
        <item h="1" m="1" x="468"/>
        <item h="1" m="1" x="469"/>
        <item h="1" m="1" x="472"/>
        <item h="1" m="1" x="474"/>
        <item h="1" x="100"/>
        <item h="1" x="99"/>
        <item h="1" x="102"/>
        <item h="1" x="103"/>
        <item h="1" x="101"/>
        <item h="1" x="111"/>
        <item h="1" x="115"/>
        <item h="1" x="112"/>
        <item h="1" x="113"/>
        <item h="1" x="130"/>
        <item h="1" x="139"/>
        <item h="1" x="124"/>
        <item h="1" m="1" x="485"/>
        <item h="1" m="1" x="487"/>
        <item h="1" x="120"/>
        <item h="1" x="162"/>
        <item h="1" x="163"/>
        <item h="1" x="164"/>
        <item h="1" m="1" x="493"/>
        <item h="1" m="1" x="494"/>
        <item h="1" x="167"/>
        <item h="1" x="168"/>
        <item h="1" m="1" x="495"/>
        <item h="1" m="1" x="496"/>
        <item h="1" x="170"/>
        <item h="1" x="171"/>
        <item h="1" x="179"/>
        <item h="1" x="182"/>
        <item h="1" x="183"/>
        <item h="1" x="181"/>
        <item h="1" x="184"/>
        <item h="1" x="185"/>
        <item h="1" x="194"/>
        <item h="1" x="193"/>
        <item h="1" x="192"/>
        <item h="1" x="189"/>
        <item h="1" x="190"/>
        <item h="1" x="191"/>
        <item h="1" x="187"/>
        <item h="1" x="188"/>
        <item h="1" x="186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m="1" x="502"/>
        <item h="1" m="1" x="503"/>
        <item h="1" m="1" x="504"/>
        <item h="1" x="236"/>
        <item h="1" m="1" x="512"/>
        <item h="1" m="1" x="513"/>
        <item h="1" m="1" x="515"/>
        <item h="1" x="246"/>
        <item h="1" x="258"/>
        <item h="1" x="259"/>
        <item h="1" m="1" x="536"/>
        <item h="1" m="1" x="538"/>
        <item h="1" x="283"/>
        <item h="1" m="1" x="539"/>
        <item h="1" m="1" x="540"/>
        <item h="1" x="290"/>
        <item h="1" m="1" x="542"/>
        <item h="1" m="1" x="543"/>
        <item h="1" x="306"/>
        <item h="1" x="307"/>
        <item h="1" x="317"/>
        <item h="1" x="300"/>
        <item h="1" x="297"/>
        <item h="1" x="336"/>
        <item h="1" m="1" x="552"/>
        <item h="1" m="1" x="560"/>
        <item h="1" m="1" x="561"/>
        <item h="1" m="1" x="566"/>
        <item h="1" m="1" x="571"/>
        <item h="1" x="379"/>
        <item h="1" x="381"/>
        <item h="1" x="377"/>
        <item h="1" x="399"/>
        <item h="1" m="1" x="576"/>
        <item h="1" m="1" x="585"/>
        <item h="1" m="1" x="587"/>
        <item h="1" x="412"/>
        <item h="1" x="0"/>
        <item h="1" x="2"/>
        <item h="1" x="3"/>
        <item h="1" x="4"/>
        <item h="1" x="6"/>
        <item h="1" x="8"/>
        <item h="1" x="9"/>
        <item h="1" x="10"/>
        <item h="1" x="11"/>
        <item h="1" x="12"/>
        <item h="1" x="16"/>
        <item h="1" x="17"/>
        <item h="1" x="18"/>
        <item h="1" x="30"/>
        <item h="1" x="31"/>
        <item h="1" x="34"/>
        <item h="1" x="35"/>
        <item h="1" x="36"/>
        <item h="1" x="37"/>
        <item h="1" x="38"/>
        <item h="1" x="47"/>
        <item h="1" x="48"/>
        <item h="1" x="49"/>
        <item h="1" x="50"/>
        <item h="1" x="51"/>
        <item h="1" x="52"/>
        <item h="1" x="53"/>
        <item h="1" x="55"/>
        <item h="1" x="56"/>
        <item h="1" x="57"/>
        <item h="1" x="58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70"/>
        <item h="1" x="71"/>
        <item h="1" x="74"/>
        <item h="1" x="90"/>
        <item h="1" x="94"/>
        <item h="1" x="95"/>
        <item h="1" x="97"/>
        <item h="1" x="98"/>
        <item h="1" x="104"/>
        <item h="1" x="105"/>
        <item h="1" x="110"/>
        <item h="1" x="122"/>
        <item h="1" x="125"/>
        <item h="1" x="129"/>
        <item h="1" x="148"/>
        <item h="1" x="150"/>
        <item h="1" x="151"/>
        <item h="1" x="154"/>
        <item h="1" x="158"/>
        <item h="1" x="159"/>
        <item h="1" x="160"/>
        <item h="1" x="161"/>
        <item h="1" x="176"/>
        <item h="1" x="177"/>
        <item h="1" x="178"/>
        <item h="1" x="195"/>
        <item h="1" x="196"/>
        <item h="1" x="197"/>
        <item h="1" x="198"/>
        <item h="1" x="199"/>
        <item h="1" x="211"/>
        <item h="1" x="213"/>
        <item h="1" x="214"/>
        <item h="1" x="226"/>
        <item h="1" x="227"/>
        <item h="1" x="228"/>
        <item h="1" x="229"/>
        <item h="1" x="232"/>
        <item h="1" x="233"/>
        <item h="1" x="234"/>
        <item h="1" x="240"/>
        <item h="1" x="242"/>
        <item h="1" x="243"/>
        <item h="1" x="270"/>
        <item h="1" x="272"/>
        <item h="1" x="275"/>
        <item h="1" x="277"/>
        <item h="1" x="281"/>
        <item h="1" x="282"/>
        <item h="1" x="284"/>
        <item h="1" x="285"/>
        <item h="1" x="313"/>
        <item h="1" x="314"/>
        <item h="1" x="325"/>
        <item h="1" x="327"/>
        <item h="1" x="340"/>
        <item h="1" x="343"/>
        <item h="1" x="345"/>
        <item h="1" x="346"/>
        <item h="1" x="355"/>
        <item h="1" x="363"/>
        <item h="1" x="364"/>
        <item h="1" x="365"/>
        <item h="1" x="372"/>
        <item h="1" x="389"/>
        <item h="1" x="391"/>
        <item h="1" x="397"/>
        <item h="1" x="400"/>
        <item h="1" x="402"/>
        <item h="1" x="403"/>
        <item h="1" x="404"/>
        <item h="1" x="405"/>
        <item h="1" x="406"/>
        <item h="1" x="407"/>
        <item h="1" x="408"/>
        <item h="1" x="409"/>
        <item h="1" x="413"/>
        <item h="1" x="415"/>
        <item h="1" x="417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7"/>
    </i>
    <i r="1">
      <x v="8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6">
    <format dxfId="221">
      <pivotArea field="27" type="button" dataOnly="0" labelOnly="1" outline="0" axis="axisPage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dataOnly="0" labelOnly="1" grandRow="1" outline="0" fieldPosition="0"/>
    </format>
    <format dxfId="215">
      <pivotArea dataOnly="0" labelOnly="1" outline="0" axis="axisValues" fieldPosition="0"/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dataOnly="0" labelOnly="1" grandRow="1" outline="0" fieldPosition="0"/>
    </format>
    <format dxfId="211">
      <pivotArea dataOnly="0" labelOnly="1" outline="0" axis="axisValues" fieldPosition="0"/>
    </format>
    <format dxfId="210">
      <pivotArea grandRow="1" outline="0" collapsedLevelsAreSubtotals="1" fieldPosition="0"/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dataOnly="0" labelOnly="1" grandRow="1" outline="0" fieldPosition="0"/>
    </format>
    <format dxfId="206">
      <pivotArea dataOnly="0" labelOnly="1" outline="0" axis="axisValues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grandRow="1" outline="0" fieldPosition="0"/>
    </format>
    <format dxfId="202">
      <pivotArea dataOnly="0" labelOnly="1" outline="0" axis="axisValues" fieldPosition="0"/>
    </format>
    <format dxfId="201">
      <pivotArea type="all" dataOnly="0" outline="0" fieldPosition="0"/>
    </format>
    <format>
      <pivotArea type="all" dataOnly="0" outline="0" fieldPosition="0"/>
    </format>
    <format dxfId="200">
      <pivotArea grandRow="1" outline="0" collapsedLevelsAreSubtotals="1" fieldPosition="0"/>
    </format>
    <format dxfId="199">
      <pivotArea type="all" dataOnly="0" outline="0" fieldPosition="0"/>
    </format>
    <format dxfId="198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dataOnly="0" labelOnly="1" grandRow="1" outline="0" fieldPosition="0"/>
    </format>
    <format dxfId="193">
      <pivotArea dataOnly="0" labelOnly="1" outline="0" axis="axisValues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dataOnly="0" labelOnly="1" grandRow="1" outline="0" fieldPosition="0"/>
    </format>
    <format dxfId="189">
      <pivotArea dataOnly="0" labelOnly="1" outline="0" axis="axisValues" fieldPosition="0"/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field="44" type="button" dataOnly="0" labelOnly="1" outline="0" axis="axisRow" fieldPosition="0"/>
    </format>
    <format dxfId="185">
      <pivotArea dataOnly="0" labelOnly="1" fieldPosition="0">
        <references count="1">
          <reference field="44" count="1">
            <x v="0"/>
          </reference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 dxfId="182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181">
      <pivotArea dataOnly="0" labelOnly="1" grandRow="1" outline="0" fieldPosition="0"/>
    </format>
    <format dxfId="180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179">
      <pivotArea dataOnly="0" labelOnly="1" fieldPosition="0">
        <references count="1">
          <reference field="44" count="1">
            <x v="0"/>
          </reference>
        </references>
      </pivotArea>
    </format>
    <format dxfId="178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  <format dxfId="177">
      <pivotArea dataOnly="0" labelOnly="1" fieldPosition="0">
        <references count="1">
          <reference field="44" count="1">
            <x v="0"/>
          </reference>
        </references>
      </pivotArea>
    </format>
    <format dxfId="176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68:K77" firstHeaderRow="1" firstDataRow="2" firstDataCol="1"/>
  <pivotFields count="45">
    <pivotField showAll="0"/>
    <pivotField showAll="0"/>
    <pivotField showAll="0"/>
    <pivotField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axis="axisRow" showAll="0">
      <items count="9">
        <item x="0"/>
        <item x="3"/>
        <item x="1"/>
        <item x="2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8"/>
        <item x="5"/>
        <item x="3"/>
        <item x="6"/>
        <item x="7"/>
        <item x="4"/>
        <item m="1" x="10"/>
        <item x="1"/>
        <item x="2"/>
        <item h="1" x="9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290">
      <pivotArea outline="0" collapsedLevelsAreSubtotals="1" fieldPosition="0"/>
    </format>
    <format dxfId="289">
      <pivotArea dataOnly="0" labelOnly="1" grandCol="1" outline="0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type="origin" dataOnly="0" labelOnly="1" outline="0" fieldPosition="0"/>
    </format>
    <format dxfId="285">
      <pivotArea type="topRight" dataOnly="0" labelOnly="1" outline="0" fieldPosition="0"/>
    </format>
    <format dxfId="284">
      <pivotArea dataOnly="0" labelOnly="1" grandRow="1" outline="0" fieldPosition="0"/>
    </format>
    <format dxfId="283">
      <pivotArea dataOnly="0" labelOnly="1" grandCol="1" outline="0" fieldPosition="0"/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type="origin" dataOnly="0" labelOnly="1" outline="0" fieldPosition="0"/>
    </format>
    <format dxfId="279">
      <pivotArea type="topRight" dataOnly="0" labelOnly="1" outline="0" fieldPosition="0"/>
    </format>
    <format dxfId="278">
      <pivotArea dataOnly="0" labelOnly="1" grandRow="1" outline="0" fieldPosition="0"/>
    </format>
    <format dxfId="277">
      <pivotArea dataOnly="0" labelOnly="1" grandCol="1" outline="0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type="topRight" dataOnly="0" labelOnly="1" outline="0" fieldPosition="0"/>
    </format>
    <format dxfId="272">
      <pivotArea dataOnly="0" labelOnly="1" grandRow="1" outline="0" fieldPosition="0"/>
    </format>
    <format dxfId="271">
      <pivotArea dataOnly="0" labelOnly="1" grandCol="1" outline="0" fieldPosition="0"/>
    </format>
    <format dxfId="270">
      <pivotArea type="all" dataOnly="0" outline="0" fieldPosition="0"/>
    </format>
    <format dxfId="269">
      <pivotArea outline="0" collapsedLevelsAreSubtotals="1" fieldPosition="0"/>
    </format>
    <format dxfId="268">
      <pivotArea type="origin" dataOnly="0" labelOnly="1" outline="0" fieldPosition="0"/>
    </format>
    <format dxfId="267">
      <pivotArea type="topRight" dataOnly="0" labelOnly="1" outline="0" fieldPosition="0"/>
    </format>
    <format dxfId="266">
      <pivotArea dataOnly="0" labelOnly="1" grandRow="1" outline="0" fieldPosition="0"/>
    </format>
    <format dxfId="265">
      <pivotArea dataOnly="0" labelOnly="1" grandCol="1" outline="0" fieldPosition="0"/>
    </format>
    <format dxfId="264">
      <pivotArea type="all" dataOnly="0" outline="0" fieldPosition="0"/>
    </format>
    <format dxfId="263">
      <pivotArea outline="0" collapsedLevelsAreSubtotals="1" fieldPosition="0"/>
    </format>
    <format dxfId="262">
      <pivotArea type="origin" dataOnly="0" labelOnly="1" outline="0" fieldPosition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type="origin" dataOnly="0" labelOnly="1" outline="0" fieldPosition="0"/>
    </format>
    <format dxfId="258">
      <pivotArea dataOnly="0" labelOnly="1" grandRow="1" outline="0" fieldPosition="0"/>
    </format>
    <format dxfId="257">
      <pivotArea outline="0" collapsedLevelsAreSubtotals="1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dataOnly="0" labelOnly="1" grandCol="1" outline="0" fieldPosition="0"/>
    </format>
    <format>
      <pivotArea dataOnly="0" labelOnly="1" grandCol="1" outline="0" fieldPosition="0"/>
    </format>
    <format dxfId="253">
      <pivotArea dataOnly="0" labelOnly="1" grandCol="1" outline="0" fieldPosition="0"/>
    </format>
    <format dxfId="252">
      <pivotArea outline="0" collapsedLevelsAreSubtotals="1" fieldPosition="0"/>
    </format>
    <format dxfId="251">
      <pivotArea dataOnly="0" labelOnly="1" grandCol="1" outline="0" fieldPosition="0"/>
    </format>
    <format dxfId="250">
      <pivotArea type="all" dataOnly="0" outline="0" fieldPosition="0"/>
    </format>
    <format dxfId="249">
      <pivotArea outline="0" collapsedLevelsAreSubtotals="1" fieldPosition="0"/>
    </format>
    <format dxfId="248">
      <pivotArea type="origin" dataOnly="0" labelOnly="1" outline="0" fieldPosition="0"/>
    </format>
    <format dxfId="247">
      <pivotArea type="topRight" dataOnly="0" labelOnly="1" outline="0" fieldPosition="0"/>
    </format>
    <format dxfId="246">
      <pivotArea dataOnly="0" labelOnly="1" grandRow="1" outline="0" fieldPosition="0"/>
    </format>
    <format dxfId="245">
      <pivotArea dataOnly="0" labelOnly="1" grandCol="1" outline="0" fieldPosition="0"/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dataOnly="0" labelOnly="1" grandRow="1" outline="0" fieldPosition="0"/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type="origin" dataOnly="0" labelOnly="1" outline="0" fieldPosition="0"/>
    </format>
    <format dxfId="235">
      <pivotArea field="42" type="button" dataOnly="0" labelOnly="1" outline="0" axis="axisCol" fieldPosition="0"/>
    </format>
    <format dxfId="234">
      <pivotArea type="topRight" dataOnly="0" labelOnly="1" outline="0" fieldPosition="0"/>
    </format>
    <format dxfId="233">
      <pivotArea dataOnly="0" labelOnly="1" grandRow="1" outline="0" fieldPosition="0"/>
    </format>
    <format dxfId="232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231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230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29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228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227">
      <pivotArea collapsedLevelsAreSubtotals="1" fieldPosition="0">
        <references count="1">
          <reference field="5" count="1">
            <x v="4"/>
          </reference>
        </references>
      </pivotArea>
    </format>
    <format dxfId="226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0"/>
        </references>
      </pivotArea>
    </format>
    <format>
      <pivotArea dataOnly="0" labelOnly="1" grandCol="1" outline="0" fieldPosition="0"/>
    </format>
    <format dxfId="225">
      <pivotArea type="origin" dataOnly="0" labelOnly="1" outline="0" fieldPosition="0"/>
    </format>
    <format dxfId="224">
      <pivotArea field="5" type="button" dataOnly="0" labelOnly="1" outline="0" axis="axisRow" fieldPosition="0"/>
    </format>
    <format dxfId="223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22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3" cacheId="147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3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compact="0" showAll="0"/>
    <pivotField axis="axisRow" compact="0" showAll="0">
      <items count="9">
        <item x="0"/>
        <item x="3"/>
        <item x="1"/>
        <item x="2"/>
        <item x="4"/>
        <item x="5"/>
        <item x="6"/>
        <item x="7"/>
        <item t="default"/>
      </items>
    </pivotField>
    <pivotField dataField="1" compact="0" showAll="0">
      <items count="9">
        <item x="0"/>
        <item x="3"/>
        <item x="1"/>
        <item x="4"/>
        <item x="5"/>
        <item x="6"/>
        <item x="2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0"/>
        <item x="3"/>
        <item x="1"/>
        <item x="2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4">
    <format dxfId="383">
      <pivotArea outline="0" collapsedLevelsAreSubtotals="1" fieldPosition="0"/>
    </format>
    <format dxfId="382">
      <pivotArea dataOnly="0" labelOnly="1" grandCol="1" outline="0" fieldPosition="0"/>
    </format>
    <format dxfId="381">
      <pivotArea type="all" dataOnly="0" outline="0" fieldPosition="0"/>
    </format>
    <format dxfId="380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79">
      <pivotArea dataOnly="0" labelOnly="1" grandCol="1" outline="0" fieldPosition="0"/>
    </format>
    <format dxfId="378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77">
      <pivotArea dataOnly="0" labelOnly="1" grandCol="1" outline="0" fieldPosition="0"/>
    </format>
    <format dxfId="376">
      <pivotArea type="origin" dataOnly="0" labelOnly="1" outline="0" fieldPosition="0"/>
    </format>
    <format dxfId="375">
      <pivotArea field="18" type="button" dataOnly="0" labelOnly="1" outline="0" axis="axisCol" fieldPosition="0"/>
    </format>
    <format dxfId="374">
      <pivotArea type="all" dataOnly="0" outline="0" fieldPosition="0"/>
    </format>
    <format dxfId="373">
      <pivotArea outline="0" collapsedLevelsAreSubtotals="1" fieldPosition="0"/>
    </format>
    <format dxfId="372">
      <pivotArea type="origin" dataOnly="0" labelOnly="1" outline="0" fieldPosition="0"/>
    </format>
    <format dxfId="371">
      <pivotArea field="18" type="button" dataOnly="0" labelOnly="1" outline="0" axis="axisCol" fieldPosition="0"/>
    </format>
    <format dxfId="370">
      <pivotArea type="topRight" dataOnly="0" labelOnly="1" outline="0" fieldPosition="0"/>
    </format>
    <format dxfId="369">
      <pivotArea dataOnly="0" labelOnly="1" grandRow="1" outline="0" fieldPosition="0"/>
    </format>
    <format dxfId="36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67">
      <pivotArea dataOnly="0" labelOnly="1" grandCol="1" outline="0" fieldPosition="0"/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type="origin" dataOnly="0" labelOnly="1" outline="0" fieldPosition="0"/>
    </format>
    <format dxfId="363">
      <pivotArea field="18" type="button" dataOnly="0" labelOnly="1" outline="0" axis="axisCol" fieldPosition="0"/>
    </format>
    <format dxfId="362">
      <pivotArea type="topRight" dataOnly="0" labelOnly="1" outline="0" fieldPosition="0"/>
    </format>
    <format dxfId="361">
      <pivotArea dataOnly="0" labelOnly="1" grandRow="1" outline="0" fieldPosition="0"/>
    </format>
    <format dxfId="36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59">
      <pivotArea dataOnly="0" labelOnly="1" grandCol="1" outline="0" fieldPosition="0"/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type="origin" dataOnly="0" labelOnly="1" outline="0" fieldPosition="0"/>
    </format>
    <format dxfId="355">
      <pivotArea field="18" type="button" dataOnly="0" labelOnly="1" outline="0" axis="axisCol" fieldPosition="0"/>
    </format>
    <format dxfId="354">
      <pivotArea type="topRight" dataOnly="0" labelOnly="1" outline="0" fieldPosition="0"/>
    </format>
    <format dxfId="353">
      <pivotArea dataOnly="0" labelOnly="1" grandRow="1" outline="0" fieldPosition="0"/>
    </format>
    <format dxfId="35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51">
      <pivotArea dataOnly="0" labelOnly="1" grandCol="1" outline="0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18" type="button" dataOnly="0" labelOnly="1" outline="0" axis="axisCol" fieldPosition="0"/>
    </format>
    <format dxfId="346">
      <pivotArea type="topRight" dataOnly="0" labelOnly="1" outline="0" fieldPosition="0"/>
    </format>
    <format dxfId="345">
      <pivotArea dataOnly="0" labelOnly="1" grandRow="1" outline="0" fieldPosition="0"/>
    </format>
    <format dxfId="34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43">
      <pivotArea dataOnly="0" labelOnly="1" grandCol="1" outline="0" fieldPosition="0"/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type="origin" dataOnly="0" labelOnly="1" outline="0" fieldPosition="0"/>
    </format>
    <format dxfId="339">
      <pivotArea dataOnly="0" labelOnly="1" grandRow="1" outline="0" fieldPosition="0"/>
    </format>
    <format dxfId="33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37">
      <pivotArea dataOnly="0" labelOnly="1" grandCol="1" outline="0" fieldPosition="0"/>
    </format>
    <format dxfId="336">
      <pivotArea outline="0" collapsedLevelsAreSubtotals="1" fieldPosition="0"/>
    </format>
    <format dxfId="33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34">
      <pivotArea dataOnly="0" labelOnly="1" grandCol="1" outline="0" fieldPosition="0"/>
    </format>
    <format dxfId="333">
      <pivotArea type="origin" dataOnly="0" labelOnly="1" outline="0" fieldPosition="0"/>
    </format>
    <format dxfId="332">
      <pivotArea dataOnly="0" labelOnly="1" grandRow="1" outline="0" fieldPosition="0"/>
    </format>
    <format dxfId="331">
      <pivotArea outline="0" collapsedLevelsAreSubtotals="1" fieldPosition="0"/>
    </format>
    <format dxfId="33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29">
      <pivotArea dataOnly="0" labelOnly="1" grandCol="1" outline="0" fieldPosition="0"/>
    </format>
    <format dxfId="328">
      <pivotArea type="all" dataOnly="0" outline="0" fieldPosition="0"/>
    </format>
    <format dxfId="327">
      <pivotArea outline="0" collapsedLevelsAreSubtotals="1" fieldPosition="0"/>
    </format>
    <format dxfId="326">
      <pivotArea type="origin" dataOnly="0" labelOnly="1" outline="0" fieldPosition="0"/>
    </format>
    <format dxfId="325">
      <pivotArea field="18" type="button" dataOnly="0" labelOnly="1" outline="0" axis="axisCol" fieldPosition="0"/>
    </format>
    <format dxfId="324">
      <pivotArea type="topRight" dataOnly="0" labelOnly="1" outline="0" fieldPosition="0"/>
    </format>
    <format dxfId="323">
      <pivotArea dataOnly="0" labelOnly="1" grandRow="1" outline="0" fieldPosition="0"/>
    </format>
    <format dxfId="32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21">
      <pivotArea dataOnly="0" labelOnly="1" grandCol="1" outline="0" fieldPosition="0"/>
    </format>
    <format>
      <pivotArea type="all" dataOnly="0" outline="0" fieldPosition="0"/>
    </format>
    <format dxfId="320">
      <pivotArea type="origin" dataOnly="0" labelOnly="1" outline="0" fieldPosition="0"/>
    </format>
    <format dxfId="319">
      <pivotArea field="18" type="button" dataOnly="0" labelOnly="1" outline="0" axis="axisCol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field="18" type="button" dataOnly="0" labelOnly="1" outline="0" axis="axisCol" fieldPosition="0"/>
    </format>
    <format dxfId="315">
      <pivotArea type="topRight" dataOnly="0" labelOnly="1" outline="0" fieldPosition="0"/>
    </format>
    <format dxfId="31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13">
      <pivotArea dataOnly="0" labelOnly="1" grandCol="1" outline="0" fieldPosition="0"/>
    </format>
    <format dxfId="312">
      <pivotArea type="origin" dataOnly="0" labelOnly="1" outline="0" fieldPosition="0"/>
    </format>
    <format dxfId="311">
      <pivotArea dataOnly="0" labelOnly="1" grandRow="1" outline="0" fieldPosition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type="origin" dataOnly="0" labelOnly="1" outline="0" fieldPosition="0"/>
    </format>
    <format dxfId="307">
      <pivotArea field="18" type="button" dataOnly="0" labelOnly="1" outline="0" axis="axisCol" fieldPosition="0"/>
    </format>
    <format dxfId="306">
      <pivotArea type="topRight" dataOnly="0" labelOnly="1" outline="0" fieldPosition="0"/>
    </format>
    <format dxfId="305">
      <pivotArea dataOnly="0" labelOnly="1" grandRow="1" outline="0" fieldPosition="0"/>
    </format>
    <format dxfId="30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03">
      <pivotArea dataOnly="0" labelOnly="1" grandCol="1" outline="0" fieldPosition="0"/>
    </format>
    <format dxfId="302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301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300">
      <pivotArea field="6" type="button" dataOnly="0" labelOnly="1" outline="0"/>
    </format>
    <format dxfId="299">
      <pivotArea fieldPosition="0">
        <references count="1">
          <reference field="5" count="2">
            <x v="5"/>
            <x v="6"/>
          </reference>
        </references>
      </pivotArea>
    </format>
    <format dxfId="298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297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96">
      <pivotArea fieldPosition="0">
        <references count="1">
          <reference field="5" count="1">
            <x v="4"/>
          </reference>
        </references>
      </pivotArea>
    </format>
    <format dxfId="295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294">
      <pivotArea type="origin" dataOnly="0" labelOnly="1" outline="0" fieldPosition="0"/>
    </format>
    <format dxfId="293">
      <pivotArea field="5" type="button" dataOnly="0" labelOnly="1" outline="0" axis="axisRow" fieldPosition="0"/>
    </format>
    <format dxfId="292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91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6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42:U100" firstHeaderRow="1" firstDataRow="2" firstDataCol="1"/>
  <pivotFields count="45">
    <pivotField showAll="0"/>
    <pivotField showAll="0"/>
    <pivotField showAll="0"/>
    <pivotField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4">
        <item x="0"/>
        <item x="18"/>
        <item x="5"/>
        <item x="9"/>
        <item m="1" x="69"/>
        <item m="1" x="57"/>
        <item m="1" x="84"/>
        <item x="12"/>
        <item x="32"/>
        <item m="1" x="78"/>
        <item m="1" x="80"/>
        <item m="1" x="62"/>
        <item x="13"/>
        <item m="1" x="96"/>
        <item x="34"/>
        <item x="14"/>
        <item x="16"/>
        <item x="17"/>
        <item x="6"/>
        <item x="2"/>
        <item x="56"/>
        <item x="35"/>
        <item x="33"/>
        <item x="24"/>
        <item x="10"/>
        <item m="1" x="64"/>
        <item m="1" x="58"/>
        <item x="8"/>
        <item x="29"/>
        <item x="25"/>
        <item x="20"/>
        <item x="27"/>
        <item m="1" x="66"/>
        <item x="26"/>
        <item m="1" x="70"/>
        <item m="1" x="63"/>
        <item x="30"/>
        <item x="31"/>
        <item m="1" x="59"/>
        <item x="21"/>
        <item m="1" x="79"/>
        <item x="36"/>
        <item x="37"/>
        <item x="23"/>
        <item x="15"/>
        <item x="42"/>
        <item m="1" x="74"/>
        <item m="1" x="76"/>
        <item m="1" x="102"/>
        <item x="41"/>
        <item x="39"/>
        <item x="38"/>
        <item m="1" x="93"/>
        <item x="43"/>
        <item x="44"/>
        <item x="45"/>
        <item x="47"/>
        <item x="11"/>
        <item m="1" x="67"/>
        <item x="3"/>
        <item x="19"/>
        <item m="1" x="90"/>
        <item x="28"/>
        <item m="1" x="75"/>
        <item m="1" x="71"/>
        <item x="46"/>
        <item m="1" x="73"/>
        <item m="1" x="98"/>
        <item x="48"/>
        <item x="49"/>
        <item m="1" x="61"/>
        <item m="1" x="77"/>
        <item m="1" x="101"/>
        <item x="4"/>
        <item x="40"/>
        <item m="1" x="81"/>
        <item x="1"/>
        <item m="1" x="72"/>
        <item m="1" x="95"/>
        <item m="1" x="88"/>
        <item m="1" x="68"/>
        <item x="22"/>
        <item m="1" x="65"/>
        <item m="1" x="94"/>
        <item m="1" x="86"/>
        <item m="1" x="100"/>
        <item m="1" x="99"/>
        <item m="1" x="97"/>
        <item m="1" x="60"/>
        <item x="51"/>
        <item m="1" x="91"/>
        <item m="1" x="92"/>
        <item m="1" x="87"/>
        <item x="7"/>
        <item x="50"/>
        <item m="1" x="89"/>
        <item m="1" x="82"/>
        <item x="54"/>
        <item m="1" x="85"/>
        <item x="53"/>
        <item x="52"/>
        <item m="1" x="83"/>
        <item x="5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5"/>
        <item x="4"/>
        <item x="6"/>
        <item x="3"/>
        <item h="1" x="7"/>
        <item x="1"/>
        <item x="2"/>
        <item x="0"/>
        <item h="1" m="1" x="9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57">
    <i>
      <x v="42"/>
    </i>
    <i>
      <x v="14"/>
    </i>
    <i>
      <x v="30"/>
    </i>
    <i>
      <x v="18"/>
    </i>
    <i>
      <x v="15"/>
    </i>
    <i>
      <x v="94"/>
    </i>
    <i>
      <x v="12"/>
    </i>
    <i>
      <x v="17"/>
    </i>
    <i>
      <x v="2"/>
    </i>
    <i>
      <x v="97"/>
    </i>
    <i>
      <x v="41"/>
    </i>
    <i>
      <x v="3"/>
    </i>
    <i>
      <x v="56"/>
    </i>
    <i>
      <x v="31"/>
    </i>
    <i>
      <x v="54"/>
    </i>
    <i>
      <x/>
    </i>
    <i>
      <x v="55"/>
    </i>
    <i>
      <x v="51"/>
    </i>
    <i>
      <x v="44"/>
    </i>
    <i>
      <x v="8"/>
    </i>
    <i>
      <x v="23"/>
    </i>
    <i>
      <x v="33"/>
    </i>
    <i>
      <x v="22"/>
    </i>
    <i>
      <x v="24"/>
    </i>
    <i>
      <x v="53"/>
    </i>
    <i>
      <x v="27"/>
    </i>
    <i>
      <x v="19"/>
    </i>
    <i>
      <x v="36"/>
    </i>
    <i>
      <x v="50"/>
    </i>
    <i>
      <x v="49"/>
    </i>
    <i>
      <x v="37"/>
    </i>
    <i>
      <x v="21"/>
    </i>
    <i>
      <x v="69"/>
    </i>
    <i>
      <x v="7"/>
    </i>
    <i>
      <x v="99"/>
    </i>
    <i>
      <x v="65"/>
    </i>
    <i>
      <x v="68"/>
    </i>
    <i>
      <x v="43"/>
    </i>
    <i>
      <x v="1"/>
    </i>
    <i>
      <x v="28"/>
    </i>
    <i>
      <x v="81"/>
    </i>
    <i>
      <x v="59"/>
    </i>
    <i>
      <x v="62"/>
    </i>
    <i>
      <x v="100"/>
    </i>
    <i>
      <x v="16"/>
    </i>
    <i>
      <x v="89"/>
    </i>
    <i>
      <x v="60"/>
    </i>
    <i>
      <x v="39"/>
    </i>
    <i>
      <x v="93"/>
    </i>
    <i>
      <x v="102"/>
    </i>
    <i>
      <x v="45"/>
    </i>
    <i>
      <x v="76"/>
    </i>
    <i>
      <x v="29"/>
    </i>
    <i>
      <x v="73"/>
    </i>
    <i>
      <x v="57"/>
    </i>
    <i>
      <x v="74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49">
    <format dxfId="608">
      <pivotArea field="25" grandCol="1" collapsedLevelsAreSubtotals="1" axis="axisRow" fieldPosition="0">
        <references count="1">
          <reference field="25" count="0"/>
        </references>
      </pivotArea>
    </format>
    <format dxfId="607">
      <pivotArea type="all" dataOnly="0" outline="0" fieldPosition="0"/>
    </format>
    <format dxfId="606">
      <pivotArea outline="0" collapsedLevelsAreSubtotals="1" fieldPosition="0"/>
    </format>
    <format dxfId="605">
      <pivotArea type="origin" dataOnly="0" labelOnly="1" outline="0" fieldPosition="0"/>
    </format>
    <format dxfId="604">
      <pivotArea field="25" type="button" dataOnly="0" labelOnly="1" outline="0" axis="axisRow" fieldPosition="0"/>
    </format>
    <format dxfId="603">
      <pivotArea dataOnly="0" labelOnly="1" fieldPosition="0">
        <references count="1">
          <reference field="25" count="0"/>
        </references>
      </pivotArea>
    </format>
    <format dxfId="602">
      <pivotArea dataOnly="0" labelOnly="1" grandRow="1" outline="0" fieldPosition="0"/>
    </format>
    <format dxfId="601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600">
      <pivotArea dataOnly="0" labelOnly="1" grandCol="1" outline="0" fieldPosition="0"/>
    </format>
    <format dxfId="599">
      <pivotArea outline="0" collapsedLevelsAreSubtotals="1" fieldPosition="0"/>
    </format>
    <format dxfId="598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597">
      <pivotArea dataOnly="0" labelOnly="1" grandCol="1" outline="0" fieldPosition="0"/>
    </format>
    <format dxfId="596">
      <pivotArea field="25" grandCol="1" collapsedLevelsAreSubtotals="1" axis="axisRow" fieldPosition="0">
        <references count="1">
          <reference field="25" count="0"/>
        </references>
      </pivotArea>
    </format>
    <format dxfId="595">
      <pivotArea type="origin" dataOnly="0" labelOnly="1" outline="0" fieldPosition="0"/>
    </format>
    <format dxfId="594">
      <pivotArea field="25" type="button" dataOnly="0" labelOnly="1" outline="0" axis="axisRow" fieldPosition="0"/>
    </format>
    <format dxfId="593">
      <pivotArea dataOnly="0" labelOnly="1" fieldPosition="0">
        <references count="1">
          <reference field="25" count="0"/>
        </references>
      </pivotArea>
    </format>
    <format dxfId="592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591">
      <pivotArea type="origin" dataOnly="0" labelOnly="1" outline="0" fieldPosition="0"/>
    </format>
    <format dxfId="590">
      <pivotArea field="25" type="button" dataOnly="0" labelOnly="1" outline="0" axis="axisRow" fieldPosition="0"/>
    </format>
    <format dxfId="589">
      <pivotArea dataOnly="0" labelOnly="1" fieldPosition="0">
        <references count="1">
          <reference field="25" count="0"/>
        </references>
      </pivotArea>
    </format>
    <format dxfId="588">
      <pivotArea dataOnly="0" labelOnly="1" grandRow="1" outline="0" fieldPosition="0"/>
    </format>
    <format dxfId="587">
      <pivotArea type="all" dataOnly="0" outline="0" fieldPosition="0"/>
    </format>
    <format dxfId="586">
      <pivotArea outline="0" collapsedLevelsAreSubtotals="1" fieldPosition="0"/>
    </format>
    <format dxfId="585">
      <pivotArea type="origin" dataOnly="0" labelOnly="1" outline="0" fieldPosition="0"/>
    </format>
    <format dxfId="584">
      <pivotArea field="36" type="button" dataOnly="0" labelOnly="1" outline="0" axis="axisCol" fieldPosition="0"/>
    </format>
    <format dxfId="583">
      <pivotArea type="topRight" dataOnly="0" labelOnly="1" outline="0" fieldPosition="0"/>
    </format>
    <format dxfId="582">
      <pivotArea field="25" type="button" dataOnly="0" labelOnly="1" outline="0" axis="axisRow" fieldPosition="0"/>
    </format>
    <format dxfId="581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580">
      <pivotArea dataOnly="0" labelOnly="1" grandRow="1" outline="0" fieldPosition="0"/>
    </format>
    <format dxfId="579">
      <pivotArea dataOnly="0" labelOnly="1" fieldPosition="0">
        <references count="1">
          <reference field="36" count="0"/>
        </references>
      </pivotArea>
    </format>
    <format dxfId="578">
      <pivotArea dataOnly="0" labelOnly="1" grandCol="1" outline="0" fieldPosition="0"/>
    </format>
    <format dxfId="577">
      <pivotArea type="all" dataOnly="0" outline="0" fieldPosition="0"/>
    </format>
    <format dxfId="576">
      <pivotArea outline="0" collapsedLevelsAreSubtotals="1" fieldPosition="0"/>
    </format>
    <format dxfId="575">
      <pivotArea type="origin" dataOnly="0" labelOnly="1" outline="0" fieldPosition="0"/>
    </format>
    <format dxfId="574">
      <pivotArea field="36" type="button" dataOnly="0" labelOnly="1" outline="0" axis="axisCol" fieldPosition="0"/>
    </format>
    <format dxfId="573">
      <pivotArea type="topRight" dataOnly="0" labelOnly="1" outline="0" fieldPosition="0"/>
    </format>
    <format dxfId="572">
      <pivotArea field="25" type="button" dataOnly="0" labelOnly="1" outline="0" axis="axisRow" fieldPosition="0"/>
    </format>
    <format dxfId="571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570">
      <pivotArea dataOnly="0" labelOnly="1" grandRow="1" outline="0" fieldPosition="0"/>
    </format>
    <format dxfId="569">
      <pivotArea dataOnly="0" labelOnly="1" fieldPosition="0">
        <references count="1">
          <reference field="36" count="0"/>
        </references>
      </pivotArea>
    </format>
    <format dxfId="568">
      <pivotArea dataOnly="0" labelOnly="1" grandCol="1" outline="0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type="origin" dataOnly="0" labelOnly="1" outline="0" fieldPosition="0"/>
    </format>
    <format dxfId="564">
      <pivotArea field="36" type="button" dataOnly="0" labelOnly="1" outline="0" axis="axisCol" fieldPosition="0"/>
    </format>
    <format dxfId="563">
      <pivotArea type="topRight" dataOnly="0" labelOnly="1" outline="0" fieldPosition="0"/>
    </format>
    <format dxfId="562">
      <pivotArea field="25" type="button" dataOnly="0" labelOnly="1" outline="0" axis="axisRow" fieldPosition="0"/>
    </format>
    <format dxfId="561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560">
      <pivotArea dataOnly="0" labelOnly="1" grandRow="1" outline="0" fieldPosition="0"/>
    </format>
    <format dxfId="559">
      <pivotArea dataOnly="0" labelOnly="1" fieldPosition="0">
        <references count="1">
          <reference field="36" count="0"/>
        </references>
      </pivotArea>
    </format>
    <format dxfId="558">
      <pivotArea dataOnly="0" labelOnly="1" grandCol="1" outline="0" fieldPosition="0"/>
    </format>
    <format dxfId="557">
      <pivotArea type="all" dataOnly="0" outline="0" fieldPosition="0"/>
    </format>
    <format dxfId="556">
      <pivotArea outline="0" collapsedLevelsAreSubtotals="1" fieldPosition="0"/>
    </format>
    <format dxfId="555">
      <pivotArea type="origin" dataOnly="0" labelOnly="1" outline="0" fieldPosition="0"/>
    </format>
    <format dxfId="554">
      <pivotArea field="36" type="button" dataOnly="0" labelOnly="1" outline="0" axis="axisCol" fieldPosition="0"/>
    </format>
    <format dxfId="553">
      <pivotArea type="topRight" dataOnly="0" labelOnly="1" outline="0" fieldPosition="0"/>
    </format>
    <format dxfId="552">
      <pivotArea field="25" type="button" dataOnly="0" labelOnly="1" outline="0" axis="axisRow" fieldPosition="0"/>
    </format>
    <format dxfId="551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550">
      <pivotArea dataOnly="0" labelOnly="1" grandRow="1" outline="0" fieldPosition="0"/>
    </format>
    <format dxfId="549">
      <pivotArea dataOnly="0" labelOnly="1" fieldPosition="0">
        <references count="1">
          <reference field="36" count="0"/>
        </references>
      </pivotArea>
    </format>
    <format dxfId="548">
      <pivotArea dataOnly="0" labelOnly="1" grandCol="1" outline="0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544">
      <pivotArea dataOnly="0" labelOnly="1" fieldPosition="0">
        <references count="1">
          <reference field="36" count="0"/>
        </references>
      </pivotArea>
    </format>
    <format dxfId="543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542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541">
      <pivotArea outline="0" collapsedLevelsAreSubtotals="1" fieldPosition="0"/>
    </format>
    <format dxfId="540">
      <pivotArea dataOnly="0" labelOnly="1" fieldPosition="0">
        <references count="1">
          <reference field="36" count="0"/>
        </references>
      </pivotArea>
    </format>
    <format dxfId="539">
      <pivotArea dataOnly="0" labelOnly="1" grandCol="1" outline="0" fieldPosition="0"/>
    </format>
    <format dxfId="538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537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536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535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534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533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532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531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530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529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528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527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526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525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524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523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522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521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520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type="origin" dataOnly="0" labelOnly="1" outline="0" fieldPosition="0"/>
    </format>
    <format dxfId="516">
      <pivotArea field="36" type="button" dataOnly="0" labelOnly="1" outline="0" axis="axisCol" fieldPosition="0"/>
    </format>
    <format dxfId="515">
      <pivotArea type="topRight" dataOnly="0" labelOnly="1" outline="0" fieldPosition="0"/>
    </format>
    <format dxfId="514">
      <pivotArea field="25" type="button" dataOnly="0" labelOnly="1" outline="0" axis="axisRow" fieldPosition="0"/>
    </format>
    <format dxfId="513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512">
      <pivotArea dataOnly="0" labelOnly="1" grandRow="1" outline="0" fieldPosition="0"/>
    </format>
    <format dxfId="511">
      <pivotArea dataOnly="0" labelOnly="1" fieldPosition="0">
        <references count="1">
          <reference field="36" count="0"/>
        </references>
      </pivotArea>
    </format>
    <format dxfId="510">
      <pivotArea dataOnly="0" labelOnly="1" grandCol="1" outline="0" fieldPosition="0"/>
    </format>
    <format dxfId="509">
      <pivotArea type="all" dataOnly="0" outline="0" fieldPosition="0"/>
    </format>
    <format dxfId="508">
      <pivotArea outline="0" collapsedLevelsAreSubtotals="1" fieldPosition="0"/>
    </format>
    <format dxfId="507">
      <pivotArea field="36" type="button" dataOnly="0" labelOnly="1" outline="0" axis="axisCol" fieldPosition="0"/>
    </format>
    <format dxfId="506">
      <pivotArea type="topRight" dataOnly="0" labelOnly="1" outline="0" fieldPosition="0"/>
    </format>
    <format dxfId="505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504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503">
      <pivotArea dataOnly="0" labelOnly="1" fieldPosition="0">
        <references count="1">
          <reference field="36" count="0"/>
        </references>
      </pivotArea>
    </format>
    <format dxfId="502">
      <pivotArea dataOnly="0" labelOnly="1" grandCol="1" outline="0" fieldPosition="0"/>
    </format>
    <format dxfId="501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500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499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498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497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496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495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494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493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492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491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490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489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488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487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486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485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484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483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482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481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480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479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478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477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476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475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474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473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472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471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470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469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468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467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466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465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464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463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462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461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460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459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458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457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456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455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454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453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452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451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450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449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448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447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446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445">
      <pivotArea type="origin" dataOnly="0" labelOnly="1" outline="0" fieldPosition="0"/>
    </format>
    <format dxfId="444">
      <pivotArea field="25" type="button" dataOnly="0" labelOnly="1" outline="0" axis="axisRow" fieldPosition="0"/>
    </format>
    <format dxfId="443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442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441">
      <pivotArea dataOnly="0" labelOnly="1" grandRow="1" outline="0" fieldPosition="0"/>
    </format>
    <format dxfId="440">
      <pivotArea type="origin" dataOnly="0" labelOnly="1" outline="0" fieldPosition="0"/>
    </format>
    <format dxfId="439">
      <pivotArea field="25" type="button" dataOnly="0" labelOnly="1" outline="0" axis="axisRow" fieldPosition="0"/>
    </format>
    <format dxfId="438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437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436">
      <pivotArea dataOnly="0" labelOnly="1" grandRow="1" outline="0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type="origin" dataOnly="0" labelOnly="1" outline="0" fieldPosition="0"/>
    </format>
    <format dxfId="432">
      <pivotArea field="36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25" type="button" dataOnly="0" labelOnly="1" outline="0" axis="axisRow" fieldPosition="0"/>
    </format>
    <format dxfId="429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428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427">
      <pivotArea dataOnly="0" labelOnly="1" grandRow="1" outline="0" fieldPosition="0"/>
    </format>
    <format dxfId="426">
      <pivotArea dataOnly="0" labelOnly="1" fieldPosition="0">
        <references count="1">
          <reference field="36" count="0"/>
        </references>
      </pivotArea>
    </format>
    <format dxfId="425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424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423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422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421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420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419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418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417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416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415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414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413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41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41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41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409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40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407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406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40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404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40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402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401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400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399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398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9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396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39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394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393">
      <pivotArea type="origin" dataOnly="0" labelOnly="1" outline="0" fieldPosition="0"/>
    </format>
    <format dxfId="392">
      <pivotArea field="25" type="button" dataOnly="0" labelOnly="1" outline="0" axis="axisRow" fieldPosition="0"/>
    </format>
    <format dxfId="39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390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389">
      <pivotArea dataOnly="0" labelOnly="1" grandRow="1" outline="0" fieldPosition="0"/>
    </format>
    <format dxfId="388">
      <pivotArea type="origin" dataOnly="0" labelOnly="1" outline="0" fieldPosition="0"/>
    </format>
    <format dxfId="387">
      <pivotArea field="25" type="button" dataOnly="0" labelOnly="1" outline="0" axis="axisRow" fieldPosition="0"/>
    </format>
    <format dxfId="38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385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384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7" cacheId="147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M4:S22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1"/>
        <item h="1" m="1" x="9"/>
        <item x="5"/>
        <item x="4"/>
        <item x="6"/>
        <item x="2"/>
        <item x="0"/>
        <item h="1" m="1" x="8"/>
        <item x="3"/>
        <item h="1" x="7"/>
        <item t="default"/>
      </items>
    </pivotField>
    <pivotField showAll="0"/>
    <pivotField showAll="0"/>
    <pivotField axis="axisRow" subtotalTop="0" showAll="0" sortType="descending">
      <items count="7">
        <item x="5"/>
        <item x="0"/>
        <item x="1"/>
        <item x="3"/>
        <item x="2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8"/>
        <item x="5"/>
        <item m="1" x="10"/>
        <item x="1"/>
        <item x="2"/>
        <item h="1" x="9"/>
        <item x="6"/>
        <item h="1" x="7"/>
        <item h="1" x="4"/>
        <item h="1" x="3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17">
    <i>
      <x v="4"/>
    </i>
    <i r="1">
      <x v="1"/>
    </i>
    <i t="default">
      <x v="4"/>
    </i>
    <i>
      <x v="1"/>
    </i>
    <i r="1">
      <x v="4"/>
    </i>
    <i t="default">
      <x v="1"/>
    </i>
    <i>
      <x v="3"/>
    </i>
    <i r="1">
      <x v="1"/>
    </i>
    <i t="default">
      <x v="3"/>
    </i>
    <i>
      <x v="6"/>
    </i>
    <i r="1">
      <x v="1"/>
    </i>
    <i r="1">
      <x v="5"/>
    </i>
    <i t="default">
      <x v="6"/>
    </i>
    <i>
      <x/>
    </i>
    <i r="1">
      <x v="5"/>
    </i>
    <i t="default">
      <x/>
    </i>
    <i t="grand">
      <x/>
    </i>
  </rowItems>
  <colFields count="1">
    <field x="36"/>
  </colFields>
  <colItems count="6">
    <i>
      <x/>
    </i>
    <i>
      <x v="2"/>
    </i>
    <i>
      <x v="4"/>
    </i>
    <i>
      <x v="5"/>
    </i>
    <i>
      <x v="6"/>
    </i>
    <i t="grand">
      <x/>
    </i>
  </colItems>
  <dataFields count="1">
    <dataField name="Contagem de RESPONSÁVEL" fld="42" subtotal="count" baseField="0" baseItem="0" numFmtId="3"/>
  </dataFields>
  <formats count="284">
    <format dxfId="868">
      <pivotArea field="39" type="button" dataOnly="0" labelOnly="1" outline="0" axis="axisRow" fieldPosition="1"/>
    </format>
    <format dxfId="867">
      <pivotArea outline="0" collapsedLevelsAreSubtotals="1" fieldPosition="0"/>
    </format>
    <format dxfId="866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865">
      <pivotArea dataOnly="0" labelOnly="1" grandCol="1" outline="0" fieldPosition="0"/>
    </format>
    <format dxfId="864">
      <pivotArea dataOnly="0" labelOnly="1" fieldPosition="0">
        <references count="1">
          <reference field="42" count="0"/>
        </references>
      </pivotArea>
    </format>
    <format dxfId="863">
      <pivotArea dataOnly="0" labelOnly="1" fieldPosition="0">
        <references count="1">
          <reference field="42" count="0"/>
        </references>
      </pivotArea>
    </format>
    <format dxfId="862">
      <pivotArea dataOnly="0" labelOnly="1" fieldPosition="0">
        <references count="1">
          <reference field="42" count="0"/>
        </references>
      </pivotArea>
    </format>
    <format dxfId="861">
      <pivotArea dataOnly="0" labelOnly="1" fieldPosition="0">
        <references count="1">
          <reference field="39" count="0"/>
        </references>
      </pivotArea>
    </format>
    <format dxfId="860">
      <pivotArea dataOnly="0" labelOnly="1" outline="0" fieldPosition="0">
        <references count="1">
          <reference field="42" count="0"/>
        </references>
      </pivotArea>
    </format>
    <format dxfId="859">
      <pivotArea type="origin" dataOnly="0" labelOnly="1" outline="0" fieldPosition="0"/>
    </format>
    <format dxfId="858">
      <pivotArea field="42" type="button" dataOnly="0" labelOnly="1" outline="0" axis="axisRow" fieldPosition="0"/>
    </format>
    <format dxfId="857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856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855">
      <pivotArea dataOnly="0" labelOnly="1" fieldPosition="0">
        <references count="1">
          <reference field="42" count="0"/>
        </references>
      </pivotArea>
    </format>
    <format dxfId="854">
      <pivotArea dataOnly="0" labelOnly="1" fieldPosition="0">
        <references count="1">
          <reference field="42" count="0"/>
        </references>
      </pivotArea>
    </format>
    <format dxfId="853">
      <pivotArea dataOnly="0" labelOnly="1" fieldPosition="0">
        <references count="1">
          <reference field="42" count="0"/>
        </references>
      </pivotArea>
    </format>
    <format dxfId="852">
      <pivotArea dataOnly="0" labelOnly="1" fieldPosition="0">
        <references count="1">
          <reference field="42" count="0"/>
        </references>
      </pivotArea>
    </format>
    <format dxfId="851">
      <pivotArea collapsedLevelsAreSubtotals="1" fieldPosition="0">
        <references count="1">
          <reference field="42" count="1">
            <x v="3"/>
          </reference>
        </references>
      </pivotArea>
    </format>
    <format dxfId="850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849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848">
      <pivotArea type="origin" dataOnly="0" labelOnly="1" outline="0" fieldPosition="0"/>
    </format>
    <format dxfId="847">
      <pivotArea field="42" type="button" dataOnly="0" labelOnly="1" outline="0" axis="axisRow" fieldPosition="0"/>
    </format>
    <format dxfId="846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845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844">
      <pivotArea dataOnly="0" labelOnly="1" grandRow="1" outline="0" fieldPosition="0"/>
    </format>
    <format dxfId="843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842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841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840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839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838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837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836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835">
      <pivotArea field="36" type="button" dataOnly="0" labelOnly="1" outline="0" axis="axisCol" fieldPosition="0"/>
    </format>
    <format dxfId="834">
      <pivotArea type="origin" dataOnly="0" labelOnly="1" outline="0" fieldPosition="0"/>
    </format>
    <format dxfId="833">
      <pivotArea type="all" dataOnly="0" outline="0" fieldPosition="0"/>
    </format>
    <format dxfId="832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831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830">
      <pivotArea dataOnly="0" labelOnly="1" grandRow="1" outline="0" fieldPosition="0"/>
    </format>
    <format dxfId="829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828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827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826">
      <pivotArea dataOnly="0" labelOnly="1" fieldPosition="0">
        <references count="1">
          <reference field="42" count="0"/>
        </references>
      </pivotArea>
    </format>
    <format dxfId="825">
      <pivotArea dataOnly="0" labelOnly="1" grandRow="1" outline="0" fieldPosition="0"/>
    </format>
    <format dxfId="824">
      <pivotArea type="all" dataOnly="0" outline="0" fieldPosition="0"/>
    </format>
    <format dxfId="823">
      <pivotArea outline="0" collapsedLevelsAreSubtotals="1" fieldPosition="0"/>
    </format>
    <format dxfId="822">
      <pivotArea type="origin" dataOnly="0" labelOnly="1" outline="0" fieldPosition="0"/>
    </format>
    <format dxfId="821">
      <pivotArea field="36" type="button" dataOnly="0" labelOnly="1" outline="0" axis="axisCol" fieldPosition="0"/>
    </format>
    <format dxfId="820">
      <pivotArea type="topRight" dataOnly="0" labelOnly="1" outline="0" fieldPosition="0"/>
    </format>
    <format dxfId="819">
      <pivotArea field="42" type="button" dataOnly="0" labelOnly="1" outline="0" axis="axisRow" fieldPosition="0"/>
    </format>
    <format dxfId="818">
      <pivotArea dataOnly="0" labelOnly="1" fieldPosition="0">
        <references count="1">
          <reference field="42" count="0"/>
        </references>
      </pivotArea>
    </format>
    <format dxfId="817">
      <pivotArea dataOnly="0" labelOnly="1" fieldPosition="0">
        <references count="1">
          <reference field="42" count="0" defaultSubtotal="1"/>
        </references>
      </pivotArea>
    </format>
    <format dxfId="816">
      <pivotArea dataOnly="0" labelOnly="1" grandRow="1" outline="0" fieldPosition="0"/>
    </format>
    <format dxfId="815">
      <pivotArea dataOnly="0" labelOnly="1" fieldPosition="0">
        <references count="1">
          <reference field="36" count="0"/>
        </references>
      </pivotArea>
    </format>
    <format dxfId="814">
      <pivotArea dataOnly="0" labelOnly="1" grandCol="1" outline="0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type="origin" dataOnly="0" labelOnly="1" outline="0" fieldPosition="0"/>
    </format>
    <format dxfId="810">
      <pivotArea field="36" type="button" dataOnly="0" labelOnly="1" outline="0" axis="axisCol" fieldPosition="0"/>
    </format>
    <format dxfId="809">
      <pivotArea type="topRight" dataOnly="0" labelOnly="1" outline="0" fieldPosition="0"/>
    </format>
    <format dxfId="808">
      <pivotArea field="42" type="button" dataOnly="0" labelOnly="1" outline="0" axis="axisRow" fieldPosition="0"/>
    </format>
    <format dxfId="807">
      <pivotArea dataOnly="0" labelOnly="1" fieldPosition="0">
        <references count="1">
          <reference field="42" count="0"/>
        </references>
      </pivotArea>
    </format>
    <format dxfId="806">
      <pivotArea dataOnly="0" labelOnly="1" fieldPosition="0">
        <references count="1">
          <reference field="42" count="0" defaultSubtotal="1"/>
        </references>
      </pivotArea>
    </format>
    <format dxfId="805">
      <pivotArea dataOnly="0" labelOnly="1" grandRow="1" outline="0" fieldPosition="0"/>
    </format>
    <format dxfId="804">
      <pivotArea dataOnly="0" labelOnly="1" fieldPosition="0">
        <references count="1">
          <reference field="36" count="0"/>
        </references>
      </pivotArea>
    </format>
    <format dxfId="803">
      <pivotArea dataOnly="0" labelOnly="1" grandCol="1" outline="0" fieldPosition="0"/>
    </format>
    <format dxfId="802">
      <pivotArea type="all" dataOnly="0" outline="0" fieldPosition="0"/>
    </format>
    <format dxfId="801">
      <pivotArea outline="0" collapsedLevelsAreSubtotals="1" fieldPosition="0"/>
    </format>
    <format dxfId="800">
      <pivotArea type="origin" dataOnly="0" labelOnly="1" outline="0" fieldPosition="0"/>
    </format>
    <format dxfId="799">
      <pivotArea field="36" type="button" dataOnly="0" labelOnly="1" outline="0" axis="axisCol" fieldPosition="0"/>
    </format>
    <format dxfId="798">
      <pivotArea type="topRight" dataOnly="0" labelOnly="1" outline="0" fieldPosition="0"/>
    </format>
    <format dxfId="797">
      <pivotArea field="42" type="button" dataOnly="0" labelOnly="1" outline="0" axis="axisRow" fieldPosition="0"/>
    </format>
    <format dxfId="796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795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794">
      <pivotArea dataOnly="0" labelOnly="1" grandRow="1" outline="0" fieldPosition="0"/>
    </format>
    <format dxfId="793">
      <pivotArea dataOnly="0" labelOnly="1" fieldPosition="0">
        <references count="1">
          <reference field="36" count="0"/>
        </references>
      </pivotArea>
    </format>
    <format dxfId="792">
      <pivotArea dataOnly="0" labelOnly="1" grandCol="1" outline="0" fieldPosition="0"/>
    </format>
    <format dxfId="791">
      <pivotArea type="all" dataOnly="0" outline="0" fieldPosition="0"/>
    </format>
    <format dxfId="790">
      <pivotArea outline="0" collapsedLevelsAreSubtotals="1" fieldPosition="0"/>
    </format>
    <format dxfId="789">
      <pivotArea type="origin" dataOnly="0" labelOnly="1" outline="0" fieldPosition="0"/>
    </format>
    <format dxfId="788">
      <pivotArea field="36" type="button" dataOnly="0" labelOnly="1" outline="0" axis="axisCol" fieldPosition="0"/>
    </format>
    <format dxfId="787">
      <pivotArea type="topRight" dataOnly="0" labelOnly="1" outline="0" fieldPosition="0"/>
    </format>
    <format dxfId="786">
      <pivotArea field="42" type="button" dataOnly="0" labelOnly="1" outline="0" axis="axisRow" fieldPosition="0"/>
    </format>
    <format dxfId="785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784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783">
      <pivotArea dataOnly="0" labelOnly="1" grandRow="1" outline="0" fieldPosition="0"/>
    </format>
    <format dxfId="782">
      <pivotArea dataOnly="0" labelOnly="1" fieldPosition="0">
        <references count="1">
          <reference field="36" count="0"/>
        </references>
      </pivotArea>
    </format>
    <format dxfId="781">
      <pivotArea dataOnly="0" labelOnly="1" grandCol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dataOnly="0" labelOnly="1" fieldPosition="0">
        <references count="1">
          <reference field="36" count="0"/>
        </references>
      </pivotArea>
    </format>
    <format dxfId="777">
      <pivotArea dataOnly="0" labelOnly="1" grandCol="1" outline="0" fieldPosition="0"/>
    </format>
    <format dxfId="776">
      <pivotArea dataOnly="0" labelOnly="1" fieldPosition="0">
        <references count="1">
          <reference field="42" count="0"/>
        </references>
      </pivotArea>
    </format>
    <format dxfId="775">
      <pivotArea outline="0" collapsedLevelsAreSubtotals="1" fieldPosition="0"/>
    </format>
    <format dxfId="774">
      <pivotArea dataOnly="0" labelOnly="1" fieldPosition="0">
        <references count="1">
          <reference field="36" count="0"/>
        </references>
      </pivotArea>
    </format>
    <format dxfId="773">
      <pivotArea dataOnly="0" labelOnly="1" grandCol="1" outline="0" fieldPosition="0"/>
    </format>
    <format dxfId="772">
      <pivotArea outline="0" collapsedLevelsAreSubtotals="1" fieldPosition="0"/>
    </format>
    <format dxfId="771">
      <pivotArea dataOnly="0" labelOnly="1" fieldPosition="0">
        <references count="1">
          <reference field="36" count="0"/>
        </references>
      </pivotArea>
    </format>
    <format dxfId="770">
      <pivotArea dataOnly="0" labelOnly="1" grandCol="1" outline="0" fieldPosition="0"/>
    </format>
    <format dxfId="769">
      <pivotArea outline="0" collapsedLevelsAreSubtotals="1" fieldPosition="0"/>
    </format>
    <format dxfId="768">
      <pivotArea dataOnly="0" labelOnly="1" fieldPosition="0">
        <references count="1">
          <reference field="36" count="0"/>
        </references>
      </pivotArea>
    </format>
    <format dxfId="767">
      <pivotArea dataOnly="0" labelOnly="1" grandCol="1" outline="0" fieldPosition="0"/>
    </format>
    <format dxfId="766">
      <pivotArea type="all" dataOnly="0" outline="0" fieldPosition="0"/>
    </format>
    <format dxfId="765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764">
      <pivotArea dataOnly="0" labelOnly="1" fieldPosition="0">
        <references count="1">
          <reference field="42" count="0"/>
        </references>
      </pivotArea>
    </format>
    <format dxfId="763">
      <pivotArea type="all" dataOnly="0" outline="0" fieldPosition="0"/>
    </format>
    <format dxfId="762">
      <pivotArea outline="0" collapsedLevelsAreSubtotals="1" fieldPosition="0"/>
    </format>
    <format dxfId="761">
      <pivotArea type="origin" dataOnly="0" labelOnly="1" outline="0" fieldPosition="0"/>
    </format>
    <format dxfId="760">
      <pivotArea field="36" type="button" dataOnly="0" labelOnly="1" outline="0" axis="axisCol" fieldPosition="0"/>
    </format>
    <format dxfId="759">
      <pivotArea type="topRight" dataOnly="0" labelOnly="1" outline="0" fieldPosition="0"/>
    </format>
    <format dxfId="758">
      <pivotArea field="42" type="button" dataOnly="0" labelOnly="1" outline="0" axis="axisRow" fieldPosition="0"/>
    </format>
    <format dxfId="757">
      <pivotArea dataOnly="0" labelOnly="1" fieldPosition="0">
        <references count="1">
          <reference field="42" count="0"/>
        </references>
      </pivotArea>
    </format>
    <format dxfId="756">
      <pivotArea dataOnly="0" labelOnly="1" fieldPosition="0">
        <references count="1">
          <reference field="42" count="0" defaultSubtotal="1"/>
        </references>
      </pivotArea>
    </format>
    <format dxfId="755">
      <pivotArea dataOnly="0" labelOnly="1" grandRow="1" outline="0" fieldPosition="0"/>
    </format>
    <format dxfId="75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75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752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751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750">
      <pivotArea dataOnly="0" labelOnly="1" fieldPosition="0">
        <references count="1">
          <reference field="36" count="0"/>
        </references>
      </pivotArea>
    </format>
    <format dxfId="749">
      <pivotArea dataOnly="0" labelOnly="1" grandCol="1" outline="0" fieldPosition="0"/>
    </format>
    <format>
      <pivotArea type="all" dataOnly="0" outline="0" fieldPosition="0"/>
    </format>
    <format dxfId="748">
      <pivotArea type="origin" dataOnly="0" labelOnly="1" outline="0" fieldPosition="0"/>
    </format>
    <format dxfId="747">
      <pivotArea field="36" type="button" dataOnly="0" labelOnly="1" outline="0" axis="axisCol" fieldPosition="0"/>
    </format>
    <format dxfId="746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745">
      <pivotArea dataOnly="0" labelOnly="1" grandCol="1" outline="0" fieldPosition="0"/>
    </format>
    <format dxfId="744">
      <pivotArea collapsedLevelsAreSubtotals="1" fieldPosition="0">
        <references count="1">
          <reference field="42" count="1">
            <x v="1"/>
          </reference>
        </references>
      </pivotArea>
    </format>
    <format dxfId="743">
      <pivotArea collapsedLevelsAreSubtotals="1" fieldPosition="0">
        <references count="1">
          <reference field="42" count="1">
            <x v="3"/>
          </reference>
        </references>
      </pivotArea>
    </format>
    <format dxfId="742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741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740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739">
      <pivotArea collapsedLevelsAreSubtotals="1" fieldPosition="0">
        <references count="1">
          <reference field="42" count="1">
            <x v="0"/>
          </reference>
        </references>
      </pivotArea>
    </format>
    <format dxfId="738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737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736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735">
      <pivotArea outline="0" collapsedLevelsAreSubtotals="1" fieldPosition="0">
        <references count="1">
          <reference field="36" count="0" selected="0"/>
        </references>
      </pivotArea>
    </format>
    <format dxfId="734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733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732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731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730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729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728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727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726">
      <pivotArea grandRow="1" outline="0" collapsedLevelsAreSubtotals="1" fieldPosition="0"/>
    </format>
    <format dxfId="725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724">
      <pivotArea type="all" dataOnly="0" outline="0" fieldPosition="0"/>
    </format>
    <format dxfId="723">
      <pivotArea outline="0" collapsedLevelsAreSubtotals="1" fieldPosition="0"/>
    </format>
    <format dxfId="722">
      <pivotArea field="36" type="button" dataOnly="0" labelOnly="1" outline="0" axis="axisCol" fieldPosition="0"/>
    </format>
    <format dxfId="721">
      <pivotArea type="topRight" dataOnly="0" labelOnly="1" outline="0" fieldPosition="0"/>
    </format>
    <format dxfId="720">
      <pivotArea dataOnly="0" labelOnly="1" fieldPosition="0">
        <references count="1">
          <reference field="36" count="0"/>
        </references>
      </pivotArea>
    </format>
    <format dxfId="719">
      <pivotArea dataOnly="0" labelOnly="1" grandCol="1" outline="0" fieldPosition="0"/>
    </format>
    <format dxfId="71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71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71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71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71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71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712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71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71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70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708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70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706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705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704">
      <pivotArea type="origin" dataOnly="0" labelOnly="1" outline="0" fieldPosition="0"/>
    </format>
    <format dxfId="703">
      <pivotArea field="42" type="button" dataOnly="0" labelOnly="1" outline="0" axis="axisRow" fieldPosition="0"/>
    </format>
    <format dxfId="702">
      <pivotArea dataOnly="0" labelOnly="1" fieldPosition="0">
        <references count="1">
          <reference field="42" count="0"/>
        </references>
      </pivotArea>
    </format>
    <format dxfId="701">
      <pivotArea dataOnly="0" labelOnly="1" fieldPosition="0">
        <references count="1">
          <reference field="42" count="0" defaultSubtotal="1"/>
        </references>
      </pivotArea>
    </format>
    <format dxfId="700">
      <pivotArea dataOnly="0" labelOnly="1" grandRow="1" outline="0" fieldPosition="0"/>
    </format>
    <format dxfId="699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698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697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696">
      <pivotArea type="origin" dataOnly="0" labelOnly="1" outline="0" fieldPosition="0"/>
    </format>
    <format dxfId="695">
      <pivotArea field="42" type="button" dataOnly="0" labelOnly="1" outline="0" axis="axisRow" fieldPosition="0"/>
    </format>
    <format dxfId="694">
      <pivotArea dataOnly="0" labelOnly="1" fieldPosition="0">
        <references count="1">
          <reference field="42" count="0"/>
        </references>
      </pivotArea>
    </format>
    <format dxfId="693">
      <pivotArea dataOnly="0" labelOnly="1" fieldPosition="0">
        <references count="1">
          <reference field="42" count="0" defaultSubtotal="1"/>
        </references>
      </pivotArea>
    </format>
    <format dxfId="692">
      <pivotArea dataOnly="0" labelOnly="1" grandRow="1" outline="0" fieldPosition="0"/>
    </format>
    <format dxfId="691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690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689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688">
      <pivotArea type="all" dataOnly="0" outline="0" fieldPosition="0"/>
    </format>
    <format dxfId="687">
      <pivotArea outline="0" collapsedLevelsAreSubtotals="1" fieldPosition="0"/>
    </format>
    <format dxfId="686">
      <pivotArea type="origin" dataOnly="0" labelOnly="1" outline="0" fieldPosition="0"/>
    </format>
    <format dxfId="685">
      <pivotArea field="36" type="button" dataOnly="0" labelOnly="1" outline="0" axis="axisCol" fieldPosition="0"/>
    </format>
    <format dxfId="684">
      <pivotArea type="topRight" dataOnly="0" labelOnly="1" outline="0" fieldPosition="0"/>
    </format>
    <format dxfId="683">
      <pivotArea field="42" type="button" dataOnly="0" labelOnly="1" outline="0" axis="axisRow" fieldPosition="0"/>
    </format>
    <format dxfId="682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681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680">
      <pivotArea dataOnly="0" labelOnly="1" grandRow="1" outline="0" fieldPosition="0"/>
    </format>
    <format dxfId="679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678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67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76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675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674">
      <pivotArea dataOnly="0" labelOnly="1" grandCol="1" outline="0" fieldPosition="0"/>
    </format>
    <format dxfId="673">
      <pivotArea dataOnly="0" labelOnly="1" fieldPosition="0">
        <references count="1">
          <reference field="42" count="1">
            <x v="4"/>
          </reference>
        </references>
      </pivotArea>
    </format>
    <format dxfId="672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671">
      <pivotArea dataOnly="0" labelOnly="1" fieldPosition="0">
        <references count="1">
          <reference field="42" count="1">
            <x v="4"/>
          </reference>
        </references>
      </pivotArea>
    </format>
    <format dxfId="670">
      <pivotArea dataOnly="0" labelOnly="1" fieldPosition="0">
        <references count="1">
          <reference field="42" count="1">
            <x v="3"/>
          </reference>
        </references>
      </pivotArea>
    </format>
    <format dxfId="669">
      <pivotArea dataOnly="0" labelOnly="1" fieldPosition="0">
        <references count="1">
          <reference field="42" count="1">
            <x v="0"/>
          </reference>
        </references>
      </pivotArea>
    </format>
    <format dxfId="668">
      <pivotArea dataOnly="0" labelOnly="1" fieldPosition="0">
        <references count="1">
          <reference field="42" count="1">
            <x v="6"/>
          </reference>
        </references>
      </pivotArea>
    </format>
    <format dxfId="667">
      <pivotArea dataOnly="0" labelOnly="1" fieldPosition="0">
        <references count="1">
          <reference field="42" count="1">
            <x v="1"/>
          </reference>
        </references>
      </pivotArea>
    </format>
    <format dxfId="666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665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664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663">
      <pivotArea collapsedLevelsAreSubtotals="1" fieldPosition="0">
        <references count="1">
          <reference field="42" count="1">
            <x v="0"/>
          </reference>
        </references>
      </pivotArea>
    </format>
    <format dxfId="662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661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660">
      <pivotArea collapsedLevelsAreSubtotals="1" fieldPosition="0">
        <references count="1">
          <reference field="42" count="1">
            <x v="1"/>
          </reference>
        </references>
      </pivotArea>
    </format>
    <format dxfId="659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658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657">
      <pivotArea collapsedLevelsAreSubtotals="1" fieldPosition="0">
        <references count="1">
          <reference field="42" count="1">
            <x v="6"/>
          </reference>
        </references>
      </pivotArea>
    </format>
    <format dxfId="656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655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654">
      <pivotArea collapsedLevelsAreSubtotals="1" fieldPosition="0">
        <references count="1">
          <reference field="42" count="1">
            <x v="3"/>
          </reference>
        </references>
      </pivotArea>
    </format>
    <format dxfId="653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652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651">
      <pivotArea grandRow="1" outline="0" collapsedLevelsAreSubtotals="1" fieldPosition="0"/>
    </format>
    <format dxfId="650">
      <pivotArea dataOnly="0" labelOnly="1" fieldPosition="0">
        <references count="1">
          <reference field="42" count="0"/>
        </references>
      </pivotArea>
    </format>
    <format dxfId="64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4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647">
      <pivotArea dataOnly="0" labelOnly="1" fieldPosition="0">
        <references count="1">
          <reference field="42" count="0"/>
        </references>
      </pivotArea>
    </format>
    <format dxfId="64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4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644">
      <pivotArea dataOnly="0" labelOnly="1" fieldPosition="0">
        <references count="1">
          <reference field="42" count="1">
            <x v="2"/>
          </reference>
        </references>
      </pivotArea>
    </format>
    <format dxfId="64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642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64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64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63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63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63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636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635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634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63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632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631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63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629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628">
      <pivotArea type="origin" dataOnly="0" labelOnly="1" outline="0" fieldPosition="0"/>
    </format>
    <format dxfId="627">
      <pivotArea field="42" type="button" dataOnly="0" labelOnly="1" outline="0" axis="axisRow" fieldPosition="0"/>
    </format>
    <format dxfId="626">
      <pivotArea dataOnly="0" labelOnly="1" fieldPosition="0">
        <references count="1">
          <reference field="42" count="0"/>
        </references>
      </pivotArea>
    </format>
    <format dxfId="625">
      <pivotArea dataOnly="0" labelOnly="1" fieldPosition="0">
        <references count="1">
          <reference field="42" count="0" defaultSubtotal="1"/>
        </references>
      </pivotArea>
    </format>
    <format dxfId="624">
      <pivotArea dataOnly="0" labelOnly="1" grandRow="1" outline="0" fieldPosition="0"/>
    </format>
    <format dxfId="623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622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621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620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619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618">
      <pivotArea type="origin" dataOnly="0" labelOnly="1" outline="0" fieldPosition="0"/>
    </format>
    <format dxfId="617">
      <pivotArea field="42" type="button" dataOnly="0" labelOnly="1" outline="0" axis="axisRow" fieldPosition="0"/>
    </format>
    <format dxfId="616">
      <pivotArea dataOnly="0" labelOnly="1" fieldPosition="0">
        <references count="1">
          <reference field="42" count="0"/>
        </references>
      </pivotArea>
    </format>
    <format dxfId="615">
      <pivotArea dataOnly="0" labelOnly="1" fieldPosition="0">
        <references count="1">
          <reference field="42" count="0" defaultSubtotal="1"/>
        </references>
      </pivotArea>
    </format>
    <format dxfId="614">
      <pivotArea dataOnly="0" labelOnly="1" grandRow="1" outline="0" fieldPosition="0"/>
    </format>
    <format dxfId="613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612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611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610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609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13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1:N127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axis="axisRow" showAll="0">
      <items count="9">
        <item x="0"/>
        <item x="3"/>
        <item x="1"/>
        <item x="4"/>
        <item x="5"/>
        <item x="6"/>
        <item x="2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9"/>
        <item x="40"/>
        <item m="1" x="767"/>
        <item m="1" x="619"/>
        <item m="1" x="420"/>
        <item x="383"/>
        <item x="380"/>
        <item x="251"/>
        <item x="75"/>
        <item m="1" x="2934"/>
        <item x="138"/>
        <item m="1" x="4016"/>
        <item m="1" x="962"/>
        <item m="1" x="1907"/>
        <item m="1" x="5771"/>
        <item m="1" x="1761"/>
        <item m="1" x="684"/>
        <item m="1" x="535"/>
        <item m="1" x="501"/>
        <item x="386"/>
        <item x="374"/>
        <item m="1" x="2517"/>
        <item x="88"/>
        <item m="1" x="2491"/>
        <item x="418"/>
        <item m="1" x="1233"/>
        <item m="1" x="3520"/>
        <item m="1" x="575"/>
        <item m="1" x="1550"/>
        <item x="263"/>
        <item x="131"/>
        <item m="1" x="875"/>
        <item m="1" x="3798"/>
        <item m="1" x="2910"/>
        <item m="1" x="3038"/>
        <item m="1" x="1525"/>
        <item m="1" x="1059"/>
        <item m="1" x="3184"/>
        <item m="1" x="3249"/>
        <item m="1" x="1338"/>
        <item m="1" x="4797"/>
        <item x="326"/>
        <item x="358"/>
        <item x="398"/>
        <item x="212"/>
        <item x="20"/>
        <item m="1" x="596"/>
        <item m="1" x="2676"/>
        <item x="376"/>
        <item m="1" x="2542"/>
        <item m="1" x="1422"/>
        <item m="1" x="2796"/>
        <item x="96"/>
        <item m="1" x="6598"/>
        <item h="1" m="1" x="3239"/>
        <item h="1" x="273"/>
        <item h="1" x="109"/>
        <item h="1" m="1" x="845"/>
        <item h="1" m="1" x="2907"/>
        <item h="1" x="401"/>
        <item h="1" m="1" x="764"/>
        <item h="1" x="13"/>
        <item h="1" x="271"/>
        <item h="1" x="390"/>
        <item h="1" m="1" x="2566"/>
        <item h="1" m="1" x="2426"/>
        <item h="1" m="1" x="1555"/>
        <item h="1" m="1" x="3039"/>
        <item h="1" x="22"/>
        <item h="1" m="1" x="4130"/>
        <item h="1" m="1" x="921"/>
        <item h="1" m="1" x="2049"/>
        <item h="1" x="73"/>
        <item h="1" m="1" x="1948"/>
        <item h="1" m="1" x="2773"/>
        <item h="1" x="128"/>
        <item h="1" m="1" x="1678"/>
        <item h="1" x="349"/>
        <item h="1" m="1" x="3878"/>
        <item h="1" m="1" x="1349"/>
        <item h="1" x="222"/>
        <item h="1" x="142"/>
        <item h="1" m="1" x="1598"/>
        <item h="1" m="1" x="2429"/>
        <item h="1" m="1" x="3306"/>
        <item h="1" m="1" x="2941"/>
        <item h="1" x="328"/>
        <item h="1" m="1" x="6126"/>
        <item h="1" m="1" x="755"/>
        <item h="1" x="45"/>
        <item h="1" m="1" x="5926"/>
        <item h="1" m="1" x="2872"/>
        <item h="1" m="1" x="5490"/>
        <item h="1" m="1" x="945"/>
        <item h="1" m="1" x="793"/>
        <item h="1" m="1" x="983"/>
        <item h="1" m="1" x="2034"/>
        <item h="1" m="1" x="3012"/>
        <item h="1" m="1" x="3167"/>
        <item h="1" m="1" x="5866"/>
        <item h="1" m="1" x="2579"/>
        <item h="1" m="1" x="6991"/>
        <item h="1" m="1" x="1662"/>
        <item h="1" m="1" x="1234"/>
        <item h="1" m="1" x="1536"/>
        <item h="1" m="1" x="3797"/>
        <item h="1" x="247"/>
        <item h="1" m="1" x="5384"/>
        <item h="1" m="1" x="7467"/>
        <item h="1" x="82"/>
        <item h="1" m="1" x="2865"/>
        <item h="1" m="1" x="3474"/>
        <item h="1" m="1" x="5219"/>
        <item h="1" x="7"/>
        <item h="1" m="1" x="5336"/>
        <item h="1" m="1" x="5189"/>
        <item h="1" x="333"/>
        <item h="1" m="1" x="7679"/>
        <item h="1" m="1" x="1463"/>
        <item h="1" m="1" x="6567"/>
        <item h="1" m="1" x="5983"/>
        <item h="1" m="1" x="7260"/>
        <item h="1" m="1" x="5460"/>
        <item h="1" m="1" x="1665"/>
        <item h="1" m="1" x="5995"/>
        <item h="1" m="1" x="2575"/>
        <item h="1" m="1" x="2506"/>
        <item h="1" m="1" x="7671"/>
        <item h="1" m="1" x="2923"/>
        <item h="1" x="394"/>
        <item h="1" x="299"/>
        <item h="1" x="373"/>
        <item h="1" m="1" x="1201"/>
        <item h="1" m="1" x="4793"/>
        <item h="1" x="175"/>
        <item h="1" m="1" x="6168"/>
        <item h="1" m="1" x="959"/>
        <item h="1" m="1" x="3533"/>
        <item h="1" x="237"/>
        <item h="1" m="1" x="7814"/>
        <item h="1" m="1" x="7813"/>
        <item h="1" m="1" x="6892"/>
        <item h="1" m="1" x="6107"/>
        <item h="1" m="1" x="5635"/>
        <item h="1" m="1" x="2985"/>
        <item h="1" m="1" x="7004"/>
        <item h="1" m="1" x="6569"/>
        <item h="1" m="1" x="2557"/>
        <item h="1" m="1" x="5688"/>
        <item h="1" m="1" x="2918"/>
        <item h="1" m="1" x="6291"/>
        <item h="1" m="1" x="4751"/>
        <item h="1" m="1" x="5393"/>
        <item h="1" m="1" x="3399"/>
        <item h="1" m="1" x="807"/>
        <item h="1" m="1" x="3016"/>
        <item h="1" m="1" x="2707"/>
        <item h="1" m="1" x="694"/>
        <item h="1" m="1" x="2954"/>
        <item h="1" m="1" x="5743"/>
        <item h="1" m="1" x="574"/>
        <item h="1" m="1" x="1440"/>
        <item h="1" m="1" x="6561"/>
        <item h="1" m="1" x="5282"/>
        <item h="1" m="1" x="1530"/>
        <item h="1" x="145"/>
        <item h="1" x="265"/>
        <item h="1" m="1" x="2037"/>
        <item h="1" m="1" x="2136"/>
        <item h="1" m="1" x="3099"/>
        <item h="1" m="1" x="2287"/>
        <item h="1" m="1" x="1833"/>
        <item h="1" m="1" x="6329"/>
        <item h="1" m="1" x="3100"/>
        <item h="1" x="303"/>
        <item h="1" m="1" x="854"/>
        <item h="1" m="1" x="925"/>
        <item h="1" m="1" x="2164"/>
        <item h="1" x="77"/>
        <item h="1" m="1" x="5989"/>
        <item h="1" x="260"/>
        <item h="1" m="1" x="5696"/>
        <item h="1" m="1" x="7817"/>
        <item h="1" m="1" x="7818"/>
        <item h="1" m="1" x="7816"/>
        <item h="1" m="1" x="7815"/>
        <item h="1" m="1" x="7825"/>
        <item h="1" m="1" x="7822"/>
        <item h="1" m="1" x="534"/>
        <item h="1" m="1" x="2881"/>
        <item h="1" m="1" x="3471"/>
        <item h="1" m="1" x="2772"/>
        <item h="1" m="1" x="1065"/>
        <item h="1" m="1" x="508"/>
        <item h="1" m="1" x="2540"/>
        <item h="1" m="1" x="7102"/>
        <item h="1" m="1" x="700"/>
        <item h="1" m="1" x="4902"/>
        <item h="1" x="200"/>
        <item h="1" x="396"/>
        <item h="1" m="1" x="5138"/>
        <item h="1" m="1" x="3847"/>
        <item h="1" x="224"/>
        <item h="1" x="289"/>
        <item h="1" m="1" x="1552"/>
        <item h="1" m="1" x="954"/>
        <item h="1" m="1" x="1674"/>
        <item h="1" m="1" x="613"/>
        <item h="1" m="1" x="4309"/>
        <item h="1" m="1" x="936"/>
        <item h="1" x="384"/>
        <item h="1" m="1" x="2950"/>
        <item h="1" m="1" x="2806"/>
        <item h="1" m="1" x="5829"/>
        <item h="1" x="220"/>
        <item h="1" m="1" x="4239"/>
        <item h="1" m="1" x="7564"/>
        <item h="1" m="1" x="4244"/>
        <item h="1" m="1" x="2288"/>
        <item h="1" m="1" x="5356"/>
        <item h="1" m="1" x="4895"/>
        <item h="1" m="1" x="3273"/>
        <item h="1" x="274"/>
        <item h="1" m="1" x="3110"/>
        <item h="1" m="1" x="1193"/>
        <item h="1" x="370"/>
        <item h="1" m="1" x="7823"/>
        <item h="1" m="1" x="7819"/>
        <item h="1" m="1" x="7820"/>
        <item h="1" m="1" x="7821"/>
        <item h="1" x="257"/>
        <item h="1" m="1" x="532"/>
        <item h="1" x="348"/>
        <item h="1" m="1" x="4181"/>
        <item h="1" m="1" x="5408"/>
        <item h="1" m="1" x="5137"/>
        <item h="1" x="239"/>
        <item h="1" m="1" x="4512"/>
        <item h="1" x="344"/>
        <item h="1" m="1" x="1537"/>
        <item h="1" m="1" x="5525"/>
        <item h="1" m="1" x="4180"/>
        <item h="1" m="1" x="2766"/>
        <item h="1" m="1" x="2453"/>
        <item h="1" m="1" x="2586"/>
        <item h="1" m="1" x="530"/>
        <item h="1" m="1" x="6326"/>
        <item h="1" m="1" x="5756"/>
        <item h="1" m="1" x="1098"/>
        <item h="1" m="1" x="3010"/>
        <item h="1" x="266"/>
        <item h="1" x="248"/>
        <item h="1" m="1" x="2513"/>
        <item h="1" m="1" x="4940"/>
        <item h="1" m="1" x="7566"/>
        <item h="1" m="1" x="507"/>
        <item h="1" m="1" x="2762"/>
        <item h="1" m="1" x="6998"/>
        <item h="1" m="1" x="629"/>
        <item h="1" m="1" x="6982"/>
        <item h="1" m="1" x="5259"/>
        <item h="1" m="1" x="2377"/>
        <item h="1" m="1" x="7824"/>
        <item h="1" m="1" x="5932"/>
        <item h="1" m="1" x="7836"/>
        <item h="1" m="1" x="7832"/>
        <item h="1" m="1" x="7834"/>
        <item h="1" m="1" x="7833"/>
        <item h="1" m="1" x="7835"/>
        <item h="1" m="1" x="7829"/>
        <item h="1" m="1" x="7838"/>
        <item h="1" m="1" x="7830"/>
        <item h="1" m="1" x="7831"/>
        <item h="1" m="1" x="7799"/>
        <item h="1" m="1" x="751"/>
        <item h="1" x="21"/>
        <item h="1" m="1" x="2718"/>
        <item h="1" m="1" x="2046"/>
        <item h="1" m="1" x="7841"/>
        <item h="1" m="1" x="7837"/>
        <item h="1" m="1" x="7827"/>
        <item h="1" m="1" x="7826"/>
        <item h="1" m="1" x="7828"/>
        <item h="1" m="1" x="7839"/>
        <item h="1" m="1" x="7840"/>
        <item h="1" m="1" x="7842"/>
        <item h="1" m="1" x="5266"/>
        <item h="1" m="1" x="7692"/>
        <item h="1" m="1" x="7255"/>
        <item h="1" m="1" x="7178"/>
        <item h="1" m="1" x="2756"/>
        <item h="1" m="1" x="2795"/>
        <item h="1" m="1" x="4845"/>
        <item h="1" m="1" x="6057"/>
        <item h="1" m="1" x="3415"/>
        <item h="1" m="1" x="5850"/>
        <item h="1" m="1" x="956"/>
        <item h="1" m="1" x="5999"/>
        <item h="1" m="1" x="1162"/>
        <item h="1" m="1" x="5875"/>
        <item h="1" x="392"/>
        <item h="1" m="1" x="7903"/>
        <item h="1" m="1" x="2937"/>
        <item h="1" m="1" x="2767"/>
        <item h="1" m="1" x="2012"/>
        <item h="1" m="1" x="6576"/>
        <item h="1" m="1" x="1346"/>
        <item h="1" x="354"/>
        <item h="1" x="298"/>
        <item h="1" m="1" x="7028"/>
        <item h="1" m="1" x="6822"/>
        <item h="1" m="1" x="7292"/>
        <item h="1" m="1" x="7523"/>
        <item h="1" m="1" x="4491"/>
        <item h="1" m="1" x="7332"/>
        <item h="1" m="1" x="7046"/>
        <item h="1" m="1" x="7378"/>
        <item h="1" m="1" x="1403"/>
        <item h="1" m="1" x="7567"/>
        <item h="1" m="1" x="7339"/>
        <item h="1" m="1" x="6139"/>
        <item h="1" m="1" x="3488"/>
        <item h="1" m="1" x="6054"/>
        <item h="1" m="1" x="7668"/>
        <item h="1" m="1" x="5563"/>
        <item h="1" m="1" x="7938"/>
        <item h="1" m="1" x="6796"/>
        <item h="1" m="1" x="6636"/>
        <item h="1" x="140"/>
        <item h="1" m="1" x="2960"/>
        <item h="1" m="1" x="2921"/>
        <item h="1" m="1" x="910"/>
        <item h="1" m="1" x="7906"/>
        <item h="1" m="1" x="2431"/>
        <item h="1" m="1" x="7657"/>
        <item h="1" m="1" x="5695"/>
        <item h="1" m="1" x="6781"/>
        <item h="1" m="1" x="7104"/>
        <item h="1" m="1" x="2379"/>
        <item h="1" m="1" x="939"/>
        <item h="1" m="1" x="2859"/>
        <item h="1" m="1" x="7017"/>
        <item h="1" m="1" x="7340"/>
        <item h="1" x="319"/>
        <item h="1" m="1" x="3720"/>
        <item h="1" m="1" x="3470"/>
        <item h="1" m="1" x="6584"/>
        <item h="1" m="1" x="5927"/>
        <item h="1" m="1" x="7958"/>
        <item h="1" x="136"/>
        <item h="1" m="1" x="2799"/>
        <item h="1" m="1" x="7843"/>
        <item h="1" m="1" x="7336"/>
        <item h="1" m="1" x="6173"/>
        <item h="1" m="1" x="5670"/>
        <item h="1" m="1" x="2732"/>
        <item h="1" m="1" x="733"/>
        <item h="1" m="1" x="3300"/>
        <item h="1" m="1" x="7155"/>
        <item h="1" m="1" x="2060"/>
        <item h="1" m="1" x="7241"/>
        <item h="1" m="1" x="6030"/>
        <item h="1" x="225"/>
        <item h="1" m="1" x="5744"/>
        <item h="1" m="1" x="1265"/>
        <item h="1" m="1" x="837"/>
        <item h="1" m="1" x="1056"/>
        <item h="1" m="1" x="5449"/>
        <item h="1" m="1" x="2939"/>
        <item h="1" m="1" x="2931"/>
        <item h="1" m="1" x="4552"/>
        <item h="1" m="1" x="4176"/>
        <item h="1" m="1" x="2362"/>
        <item h="1" m="1" x="1270"/>
        <item h="1" m="1" x="2382"/>
        <item h="1" m="1" x="4669"/>
        <item h="1" m="1" x="5459"/>
        <item h="1" m="1" x="7569"/>
        <item h="1" m="1" x="4481"/>
        <item h="1" m="1" x="2208"/>
        <item h="1" m="1" x="3065"/>
        <item h="1" m="1" x="2151"/>
        <item h="1" m="1" x="3177"/>
        <item h="1" m="1" x="4358"/>
        <item h="1" m="1" x="2565"/>
        <item h="1" m="1" x="7997"/>
        <item h="1" m="1" x="1517"/>
        <item h="1" m="1" x="4268"/>
        <item h="1" x="359"/>
        <item h="1" x="93"/>
        <item h="1" m="1" x="7547"/>
        <item h="1" x="134"/>
        <item h="1" m="1" x="820"/>
        <item h="1" m="1" x="482"/>
        <item h="1" m="1" x="6515"/>
        <item h="1" m="1" x="2145"/>
        <item h="1" m="1" x="1060"/>
        <item h="1" m="1" x="7740"/>
        <item h="1" m="1" x="5015"/>
        <item h="1" m="1" x="7305"/>
        <item h="1" m="1" x="510"/>
        <item h="1" m="1" x="5131"/>
        <item h="1" m="1" x="7644"/>
        <item h="1" m="1" x="520"/>
        <item h="1" m="1" x="6395"/>
        <item h="1" m="1" x="7796"/>
        <item h="1" m="1" x="7576"/>
        <item h="1" m="1" x="7373"/>
        <item h="1" m="1" x="963"/>
        <item h="1" m="1" x="471"/>
        <item h="1" m="1" x="2753"/>
        <item h="1" m="1" x="3182"/>
        <item h="1" m="1" x="1187"/>
        <item h="1" x="269"/>
        <item h="1" m="1" x="7571"/>
        <item h="1" m="1" x="5129"/>
        <item h="1" m="1" x="5998"/>
        <item h="1" m="1" x="6114"/>
        <item h="1" m="1" x="2243"/>
        <item h="1" m="1" x="6120"/>
        <item h="1" m="1" x="744"/>
        <item h="1" m="1" x="2913"/>
        <item h="1" m="1" x="5124"/>
        <item h="1" m="1" x="509"/>
        <item h="1" m="1" x="4789"/>
        <item h="1" m="1" x="4397"/>
        <item h="1" m="1" x="5837"/>
        <item h="1" m="1" x="3301"/>
        <item h="1" m="1" x="6553"/>
        <item h="1" m="1" x="1396"/>
        <item h="1" m="1" x="4265"/>
        <item h="1" m="1" x="6381"/>
        <item h="1" m="1" x="4173"/>
        <item h="1" m="1" x="473"/>
        <item h="1" m="1" x="481"/>
        <item h="1" m="1" x="2578"/>
        <item h="1" m="1" x="475"/>
        <item h="1" m="1" x="3160"/>
        <item h="1" m="1" x="7012"/>
        <item h="1" m="1" x="4078"/>
        <item h="1" m="1" x="3190"/>
        <item h="1" m="1" x="2026"/>
        <item h="1" m="1" x="7475"/>
        <item h="1" m="1" x="7313"/>
        <item h="1" m="1" x="4975"/>
        <item h="1" m="1" x="1748"/>
        <item h="1" m="1" x="5426"/>
        <item h="1" m="1" x="3078"/>
        <item h="1" m="1" x="4823"/>
        <item h="1" m="1" x="7464"/>
        <item h="1" m="1" x="5265"/>
        <item h="1" m="1" x="4422"/>
        <item h="1" m="1" x="6276"/>
        <item h="1" m="1" x="7187"/>
        <item h="1" m="1" x="7565"/>
        <item h="1" m="1" x="3156"/>
        <item h="1" m="1" x="5272"/>
        <item h="1" m="1" x="6337"/>
        <item h="1" m="1" x="2027"/>
        <item h="1" m="1" x="2374"/>
        <item h="1" m="1" x="2388"/>
        <item h="1" m="1" x="1063"/>
        <item h="1" m="1" x="5669"/>
        <item h="1" m="1" x="7885"/>
        <item h="1" m="1" x="3003"/>
        <item h="1" m="1" x="5360"/>
        <item h="1" m="1" x="5657"/>
        <item h="1" m="1" x="6058"/>
        <item h="1" m="1" x="2228"/>
        <item h="1" m="1" x="3108"/>
        <item h="1" m="1" x="5951"/>
        <item h="1" m="1" x="5700"/>
        <item h="1" x="87"/>
        <item h="1" m="1" x="5128"/>
        <item h="1" m="1" x="7573"/>
        <item h="1" x="91"/>
        <item h="1" m="1" x="4556"/>
        <item h="1" m="1" x="7157"/>
        <item h="1" m="1" x="4964"/>
        <item h="1" m="1" x="5628"/>
        <item h="1" m="1" x="7798"/>
        <item h="1" m="1" x="812"/>
        <item h="1" m="1" x="7511"/>
        <item h="1" m="1" x="4953"/>
        <item h="1" m="1" x="4862"/>
        <item h="1" m="1" x="5065"/>
        <item h="1" m="1" x="4497"/>
        <item h="1" m="1" x="7561"/>
        <item h="1" m="1" x="6318"/>
        <item h="1" m="1" x="4710"/>
        <item h="1" m="1" x="7960"/>
        <item h="1" m="1" x="2870"/>
        <item h="1" x="137"/>
        <item h="1" m="1" x="4104"/>
        <item h="1" m="1" x="7897"/>
        <item h="1" m="1" x="6303"/>
        <item h="1" m="1" x="6557"/>
        <item h="1" m="1" x="4545"/>
        <item h="1" x="92"/>
        <item h="1" m="1" x="3849"/>
        <item h="1" m="1" x="5939"/>
        <item h="1" m="1" x="3994"/>
        <item h="1" m="1" x="7334"/>
        <item h="1" m="1" x="2152"/>
        <item h="1" m="1" x="4189"/>
        <item h="1" m="1" x="7513"/>
        <item h="1" x="342"/>
        <item h="1" m="1" x="4461"/>
        <item h="1" m="1" x="4456"/>
        <item h="1" m="1" x="2524"/>
        <item h="1" m="1" x="7794"/>
        <item h="1" m="1" x="1607"/>
        <item h="1" m="1" x="1534"/>
        <item h="1" m="1" x="5795"/>
        <item h="1" m="1" x="7316"/>
        <item h="1" x="108"/>
        <item h="1" m="1" x="5804"/>
        <item h="1" m="1" x="3927"/>
        <item h="1" m="1" x="7372"/>
        <item h="1" m="1" x="2916"/>
        <item h="1" m="1" x="1400"/>
        <item h="1" m="1" x="3324"/>
        <item h="1" m="1" x="5765"/>
        <item h="1" m="1" x="2956"/>
        <item h="1" m="1" x="3929"/>
        <item h="1" m="1" x="1773"/>
        <item h="1" m="1" x="775"/>
        <item h="1" m="1" x="4367"/>
        <item h="1" m="1" x="6104"/>
        <item h="1" m="1" x="5258"/>
        <item h="1" m="1" x="4603"/>
        <item h="1" m="1" x="7650"/>
        <item h="1" m="1" x="4399"/>
        <item h="1" m="1" x="1062"/>
        <item h="1" m="1" x="4068"/>
        <item h="1" m="1" x="1121"/>
        <item h="1" m="1" x="7092"/>
        <item h="1" m="1" x="7427"/>
        <item h="1" m="1" x="7856"/>
        <item h="1" m="1" x="7409"/>
        <item h="1" m="1" x="5366"/>
        <item h="1" m="1" x="5086"/>
        <item h="1" m="1" x="4812"/>
        <item h="1" m="1" x="7860"/>
        <item h="1" m="1" x="6864"/>
        <item h="1" m="1" x="7849"/>
        <item h="1" m="1" x="3824"/>
        <item h="1" m="1" x="7399"/>
        <item h="1" m="1" x="7448"/>
        <item h="1" m="1" x="2882"/>
        <item h="1" m="1" x="1532"/>
        <item h="1" m="1" x="1225"/>
        <item h="1" m="1" x="7470"/>
        <item h="1" m="1" x="7937"/>
        <item h="1" m="1" x="5533"/>
        <item h="1" m="1" x="2493"/>
        <item h="1" m="1" x="5241"/>
        <item h="1" m="1" x="7848"/>
        <item h="1" m="1" x="7412"/>
        <item h="1" m="1" x="7413"/>
        <item h="1" m="1" x="7414"/>
        <item h="1" m="1" x="7847"/>
        <item h="1" m="1" x="7812"/>
        <item h="1" m="1" x="7417"/>
        <item h="1" m="1" x="7932"/>
        <item h="1" m="1" x="4440"/>
        <item h="1" m="1" x="4441"/>
        <item h="1" m="1" x="3855"/>
        <item h="1" m="1" x="5589"/>
        <item h="1" m="1" x="3398"/>
        <item h="1" m="1" x="4538"/>
        <item h="1" m="1" x="966"/>
        <item h="1" m="1" x="6174"/>
        <item h="1" m="1" x="2721"/>
        <item h="1" m="1" x="7278"/>
        <item h="1" m="1" x="4018"/>
        <item h="1" m="1" x="7743"/>
        <item h="1" m="1" x="4400"/>
        <item h="1" m="1" x="7927"/>
        <item h="1" m="1" x="1585"/>
        <item h="1" m="1" x="7768"/>
        <item h="1" m="1" x="6913"/>
        <item h="1" m="1" x="2947"/>
        <item h="1" m="1" x="5365"/>
        <item h="1" m="1" x="2381"/>
        <item h="1" m="1" x="3803"/>
        <item h="1" m="1" x="5156"/>
        <item h="1" m="1" x="5277"/>
        <item h="1" m="1" x="5055"/>
        <item h="1" m="1" x="6206"/>
        <item h="1" m="1" x="5302"/>
        <item h="1" m="1" x="5054"/>
        <item h="1" m="1" x="2869"/>
        <item h="1" m="1" x="5262"/>
        <item h="1" m="1" x="6175"/>
        <item h="1" m="1" x="3014"/>
        <item h="1" m="1" x="6858"/>
        <item h="1" m="1" x="5436"/>
        <item h="1" m="1" x="2492"/>
        <item h="1" m="1" x="7532"/>
        <item h="1" m="1" x="4827"/>
        <item h="1" m="1" x="4178"/>
        <item h="1" m="1" x="5312"/>
        <item h="1" m="1" x="3487"/>
        <item h="1" m="1" x="2691"/>
        <item h="1" m="1" x="2559"/>
        <item h="1" m="1" x="6459"/>
        <item h="1" m="1" x="4950"/>
        <item h="1" m="1" x="2523"/>
        <item h="1" m="1" x="7338"/>
        <item h="1" m="1" x="3159"/>
        <item h="1" m="1" x="1029"/>
        <item h="1" m="1" x="3376"/>
        <item h="1" m="1" x="604"/>
        <item h="1" m="1" x="5814"/>
        <item h="1" m="1" x="5222"/>
        <item h="1" m="1" x="3210"/>
        <item h="1" m="1" x="3223"/>
        <item h="1" m="1" x="7439"/>
        <item h="1" m="1" x="3212"/>
        <item h="1" m="1" x="5774"/>
        <item h="1" m="1" x="6112"/>
        <item h="1" m="1" x="2981"/>
        <item h="1" m="1" x="4119"/>
        <item h="1" x="165"/>
        <item h="1" m="1" x="5289"/>
        <item h="1" m="1" x="7945"/>
        <item h="1" m="1" x="3764"/>
        <item h="1" m="1" x="4772"/>
        <item h="1" m="1" x="3307"/>
        <item h="1" m="1" x="6380"/>
        <item h="1" m="1" x="3666"/>
        <item h="1" m="1" x="5510"/>
        <item h="1" m="1" x="7124"/>
        <item h="1" m="1" x="7845"/>
        <item h="1" m="1" x="4977"/>
        <item h="1" m="1" x="5478"/>
        <item h="1" m="1" x="6738"/>
        <item h="1" m="1" x="7855"/>
        <item h="1" m="1" x="3832"/>
        <item h="1" m="1" x="3827"/>
        <item h="1" m="1" x="7520"/>
        <item h="1" m="1" x="5047"/>
        <item h="1" m="1" x="2768"/>
        <item h="1" m="1" x="7401"/>
        <item h="1" m="1" x="7402"/>
        <item h="1" m="1" x="1587"/>
        <item h="1" m="1" x="7939"/>
        <item h="1" m="1" x="7572"/>
        <item h="1" m="1" x="1933"/>
        <item h="1" m="1" x="5760"/>
        <item h="1" m="1" x="6207"/>
        <item h="1" m="1" x="2654"/>
        <item h="1" m="1" x="7308"/>
        <item h="1" m="1" x="7307"/>
        <item h="1" m="1" x="6296"/>
        <item h="1" m="1" x="533"/>
        <item h="1" m="1" x="7482"/>
        <item h="1" m="1" x="4391"/>
        <item h="1" m="1" x="4388"/>
        <item h="1" m="1" x="3762"/>
        <item h="1" m="1" x="5834"/>
        <item h="1" m="1" x="5860"/>
        <item h="1" m="1" x="1663"/>
        <item h="1" m="1" x="2044"/>
        <item h="1" m="1" x="7141"/>
        <item h="1" m="1" x="7751"/>
        <item h="1" m="1" x="1249"/>
        <item h="1" m="1" x="7026"/>
        <item h="1" m="1" x="1027"/>
        <item h="1" m="1" x="6186"/>
        <item h="1" m="1" x="6654"/>
        <item h="1" m="1" x="4822"/>
        <item h="1" m="1" x="7422"/>
        <item h="1" m="1" x="3339"/>
        <item h="1" m="1" x="5925"/>
        <item h="1" m="1" x="2712"/>
        <item h="1" m="1" x="7887"/>
        <item h="1" m="1" x="4885"/>
        <item h="1" m="1" x="7664"/>
        <item h="1" m="1" x="6304"/>
        <item h="1" m="1" x="1399"/>
        <item h="1" m="1" x="5276"/>
        <item h="1" m="1" x="7563"/>
        <item h="1" m="1" x="6647"/>
        <item h="1" m="1" x="3114"/>
        <item h="1" m="1" x="5232"/>
        <item h="1" m="1" x="6201"/>
        <item h="1" m="1" x="3178"/>
        <item h="1" m="1" x="7237"/>
        <item h="1" m="1" x="1028"/>
        <item h="1" m="1" x="7766"/>
        <item h="1" m="1" x="6941"/>
        <item h="1" m="1" x="4708"/>
        <item h="1" m="1" x="3469"/>
        <item h="1" m="1" x="7103"/>
        <item h="1" m="1" x="5870"/>
        <item h="1" m="1" x="3179"/>
        <item h="1" m="1" x="7850"/>
        <item h="1" m="1" x="7811"/>
        <item h="1" m="1" x="4828"/>
        <item h="1" m="1" x="1031"/>
        <item h="1" m="1" x="5270"/>
        <item h="1" m="1" x="7940"/>
        <item h="1" m="1" x="7949"/>
        <item h="1" m="1" x="7941"/>
        <item h="1" m="1" x="6309"/>
        <item h="1" m="1" x="5852"/>
        <item h="1" m="1" x="7008"/>
        <item h="1" m="1" x="5487"/>
        <item h="1" m="1" x="7942"/>
        <item h="1" m="1" x="3653"/>
        <item h="1" x="26"/>
        <item h="1" m="1" x="2302"/>
        <item h="1" m="1" x="7508"/>
        <item h="1" m="1" x="7574"/>
        <item h="1" m="1" x="6433"/>
        <item h="1" m="1" x="7947"/>
        <item h="1" m="1" x="7179"/>
        <item h="1" m="1" x="7630"/>
        <item h="1" m="1" x="4670"/>
        <item h="1" m="1" x="6125"/>
        <item h="1" m="1" x="4260"/>
        <item h="1" x="25"/>
        <item h="1" m="1" x="2101"/>
        <item h="1" m="1" x="3953"/>
        <item h="1" m="1" x="7854"/>
        <item h="1" m="1" x="7853"/>
        <item h="1" m="1" x="7859"/>
        <item h="1" m="1" x="7857"/>
        <item h="1" m="1" x="7846"/>
        <item h="1" m="1" x="7662"/>
        <item h="1" m="1" x="7749"/>
        <item h="1" m="1" x="7629"/>
        <item h="1" m="1" x="7950"/>
        <item h="1" m="1" x="7944"/>
        <item h="1" m="1" x="7063"/>
        <item h="1" m="1" x="7851"/>
        <item h="1" m="1" x="7948"/>
        <item h="1" m="1" x="7943"/>
        <item h="1" m="1" x="7963"/>
        <item h="1" m="1" x="967"/>
        <item h="1" m="1" x="7590"/>
        <item h="1" m="1" x="7146"/>
        <item h="1" m="1" x="7752"/>
        <item h="1" m="1" x="6563"/>
        <item h="1" m="1" x="4883"/>
        <item h="1" m="1" x="4212"/>
        <item h="1" m="1" x="7239"/>
        <item h="1" m="1" x="7867"/>
        <item h="1" m="1" x="6693"/>
        <item h="1" m="1" x="7844"/>
        <item h="1" m="1" x="6749"/>
        <item h="1" m="1" x="6624"/>
        <item h="1" m="1" x="7583"/>
        <item h="1" m="1" x="7584"/>
        <item h="1" m="1" x="6331"/>
        <item h="1" m="1" x="6635"/>
        <item h="1" m="1" x="4859"/>
        <item h="1" m="1" x="7954"/>
        <item h="1" m="1" x="7678"/>
        <item h="1" m="1" x="7871"/>
        <item h="1" m="1" x="7872"/>
        <item h="1" m="1" x="7852"/>
        <item h="1" m="1" x="1080"/>
        <item h="1" m="1" x="7750"/>
        <item h="1" m="1" x="6732"/>
        <item h="1" m="1" x="7093"/>
        <item h="1" m="1" x="7537"/>
        <item h="1" m="1" x="7959"/>
        <item h="1" m="1" x="7869"/>
        <item h="1" m="1" x="2028"/>
        <item h="1" m="1" x="7386"/>
        <item h="1" m="1" x="7152"/>
        <item h="1" m="1" x="7387"/>
        <item h="1" m="1" x="6727"/>
        <item h="1" m="1" x="5859"/>
        <item h="1" m="1" x="6865"/>
        <item h="1" m="1" x="7659"/>
        <item h="1" m="1" x="7660"/>
        <item h="1" m="1" x="7661"/>
        <item h="1" m="1" x="7432"/>
        <item h="1" m="1" x="7666"/>
        <item h="1" m="1" x="7663"/>
        <item h="1" m="1" x="7446"/>
        <item h="1" m="1" x="7447"/>
        <item h="1" m="1" x="7449"/>
        <item h="1" m="1" x="7440"/>
        <item h="1" m="1" x="7480"/>
        <item h="1" m="1" x="7863"/>
        <item h="1" m="1" x="5134"/>
        <item h="1" m="1" x="7497"/>
        <item h="1" x="143"/>
        <item h="1" m="1" x="6966"/>
        <item h="1" m="1" x="7753"/>
        <item h="1" m="1" x="7623"/>
        <item h="1" m="1" x="7521"/>
        <item h="1" m="1" x="7624"/>
        <item h="1" m="1" x="7742"/>
        <item h="1" m="1" x="7625"/>
        <item h="1" m="1" x="7693"/>
        <item h="1" m="1" x="7694"/>
        <item h="1" m="1" x="6745"/>
        <item h="1" m="1" x="7744"/>
        <item h="1" m="1" x="7581"/>
        <item h="1" m="1" x="6632"/>
        <item h="1" m="1" x="7193"/>
        <item h="1" m="1" x="5096"/>
        <item h="1" m="1" x="6703"/>
        <item h="1" m="1" x="6731"/>
        <item h="1" m="1" x="7858"/>
        <item h="1" m="1" x="6099"/>
        <item h="1" m="1" x="6628"/>
        <item h="1" m="1" x="7665"/>
        <item h="1" m="1" x="7870"/>
        <item h="1" m="1" x="7864"/>
        <item h="1" m="1" x="7542"/>
        <item h="1" m="1" x="7952"/>
        <item h="1" m="1" x="7613"/>
        <item h="1" m="1" x="6750"/>
        <item h="1" m="1" x="7450"/>
        <item h="1" m="1" x="7221"/>
        <item h="1" m="1" x="7962"/>
        <item h="1" m="1" x="7754"/>
        <item h="1" m="1" x="7755"/>
        <item h="1" m="1" x="7436"/>
        <item h="1" m="1" x="7437"/>
        <item h="1" m="1" x="7957"/>
        <item h="1" m="1" x="7865"/>
        <item h="1" m="1" x="7953"/>
        <item h="1" m="1" x="5649"/>
        <item h="1" m="1" x="7956"/>
        <item h="1" m="1" x="7866"/>
        <item h="1" m="1" x="7961"/>
        <item h="1" m="1" x="7868"/>
        <item h="1" m="1" x="7861"/>
        <item h="1" m="1" x="7951"/>
        <item h="1" m="1" x="7757"/>
        <item h="1" m="1" x="7536"/>
        <item h="1" m="1" x="7756"/>
        <item h="1" m="1" x="7612"/>
        <item h="1" x="368"/>
        <item h="1" m="1" x="7461"/>
        <item h="1" m="1" x="7955"/>
        <item h="1" m="1" x="7462"/>
        <item h="1" m="1" x="7463"/>
        <item h="1" m="1" x="7389"/>
        <item h="1" m="1" x="7477"/>
        <item h="1" m="1" x="7862"/>
        <item h="1" m="1" x="7764"/>
        <item h="1" m="1" x="7499"/>
        <item h="1" m="1" x="7391"/>
        <item h="1" m="1" x="479"/>
        <item h="1" m="1" x="2364"/>
        <item h="1" m="1" x="5035"/>
        <item h="1" m="1" x="1717"/>
        <item h="1" m="1" x="7509"/>
        <item h="1" m="1" x="7510"/>
        <item h="1" m="1" x="7611"/>
        <item h="1" m="1" x="6681"/>
        <item h="1" m="1" x="7479"/>
        <item h="1" m="1" x="7238"/>
        <item h="1" m="1" x="7667"/>
        <item h="1" m="1" x="7394"/>
        <item h="1" m="1" x="7303"/>
        <item h="1" m="1" x="7700"/>
        <item h="1" m="1" x="7701"/>
        <item h="1" m="1" x="7747"/>
        <item h="1" m="1" x="7748"/>
        <item h="1" m="1" x="7745"/>
        <item h="1" m="1" x="7746"/>
        <item h="1" m="1" x="7946"/>
        <item h="1" m="1" x="7735"/>
        <item h="1" m="1" x="6683"/>
        <item h="1" m="1" x="7710"/>
        <item h="1" m="1" x="7964"/>
        <item h="1" m="1" x="7965"/>
        <item h="1" m="1" x="7873"/>
        <item h="1" m="1" x="7874"/>
        <item h="1" m="1" x="7429"/>
        <item h="1" x="169"/>
        <item h="1" m="1" x="7498"/>
        <item h="1" m="1" x="7158"/>
        <item h="1" m="1" x="7159"/>
        <item h="1" m="1" x="7160"/>
        <item h="1" m="1" x="826"/>
        <item h="1" m="1" x="7966"/>
        <item h="1" m="1" x="7967"/>
        <item h="1" m="1" x="7968"/>
        <item h="1" m="1" x="7758"/>
        <item h="1" m="1" x="7969"/>
        <item h="1" m="1" x="7970"/>
        <item h="1" m="1" x="7971"/>
        <item h="1" m="1" x="7972"/>
        <item h="1" m="1" x="7973"/>
        <item h="1" m="1" x="7974"/>
        <item h="1" m="1" x="7975"/>
        <item h="1" m="1" x="7976"/>
        <item h="1" m="1" x="7977"/>
        <item h="1" m="1" x="7978"/>
        <item h="1" m="1" x="7979"/>
        <item h="1" m="1" x="7980"/>
        <item h="1" m="1" x="7981"/>
        <item h="1" m="1" x="7982"/>
        <item h="1" m="1" x="7983"/>
        <item h="1" m="1" x="7984"/>
        <item h="1" m="1" x="7985"/>
        <item h="1" m="1" x="7880"/>
        <item h="1" m="1" x="7882"/>
        <item h="1" m="1" x="7883"/>
        <item h="1" m="1" x="7881"/>
        <item h="1" m="1" x="7896"/>
        <item h="1" m="1" x="7899"/>
        <item h="1" m="1" x="7900"/>
        <item h="1" m="1" x="7472"/>
        <item h="1" m="1" x="7898"/>
        <item h="1" m="1" x="7893"/>
        <item h="1" m="1" x="7476"/>
        <item h="1" m="1" x="7220"/>
        <item h="1" m="1" x="7986"/>
        <item h="1" m="1" x="7987"/>
        <item h="1" m="1" x="7988"/>
        <item h="1" m="1" x="7989"/>
        <item h="1" m="1" x="5469"/>
        <item h="1" m="1" x="7990"/>
        <item h="1" m="1" x="7610"/>
        <item h="1" m="1" x="7608"/>
        <item h="1" m="1" x="7614"/>
        <item h="1" m="1" x="7609"/>
        <item h="1" m="1" x="7633"/>
        <item h="1" m="1" x="7991"/>
        <item h="1" m="1" x="7992"/>
        <item h="1" m="1" x="7993"/>
        <item h="1" m="1" x="7994"/>
        <item h="1" m="1" x="4976"/>
        <item h="1" m="1" x="7995"/>
        <item h="1" m="1" x="7996"/>
        <item h="1" m="1" x="7907"/>
        <item h="1" m="1" x="7909"/>
        <item h="1" m="1" x="7998"/>
        <item h="1" m="1" x="7999"/>
        <item h="1" x="366"/>
        <item h="1" m="1" x="7913"/>
        <item h="1" m="1" x="7759"/>
        <item h="1" m="1" x="6651"/>
        <item h="1" m="1" x="4952"/>
        <item h="1" m="1" x="7914"/>
        <item h="1" m="1" x="7763"/>
        <item h="1" m="1" x="1120"/>
        <item h="1" m="1" x="6774"/>
        <item h="1" m="1" x="6589"/>
        <item h="1" m="1" x="3294"/>
        <item h="1" m="1" x="484"/>
        <item h="1" m="1" x="7218"/>
        <item h="1" m="1" x="6663"/>
        <item h="1" m="1" x="7216"/>
        <item h="1" m="1" x="7217"/>
        <item h="1" m="1" x="7296"/>
        <item h="1" m="1" x="7138"/>
        <item h="1" m="1" x="7765"/>
        <item h="1" m="1" x="7767"/>
        <item h="1" m="1" x="7875"/>
        <item h="1" m="1" x="7419"/>
        <item h="1" m="1" x="7420"/>
        <item h="1" m="1" x="7876"/>
        <item h="1" m="1" x="7877"/>
        <item h="1" m="1" x="7878"/>
        <item h="1" m="1" x="7879"/>
        <item h="1" m="1" x="7774"/>
        <item h="1" m="1" x="7884"/>
        <item h="1" m="1" x="7886"/>
        <item h="1" m="1" x="7888"/>
        <item h="1" m="1" x="7889"/>
        <item h="1" m="1" x="7890"/>
        <item h="1" m="1" x="7891"/>
        <item h="1" m="1" x="5685"/>
        <item h="1" m="1" x="7892"/>
        <item h="1" m="1" x="7894"/>
        <item h="1" m="1" x="7895"/>
        <item h="1" m="1" x="7901"/>
        <item h="1" m="1" x="7902"/>
        <item h="1" m="1" x="620"/>
        <item h="1" m="1" x="2834"/>
        <item h="1" m="1" x="7904"/>
        <item h="1" m="1" x="7514"/>
        <item h="1" m="1" x="7384"/>
        <item h="1" m="1" x="7626"/>
        <item h="1" m="1" x="7280"/>
        <item h="1" m="1" x="7905"/>
        <item h="1" m="1" x="1072"/>
        <item h="1" m="1" x="7908"/>
        <item h="1" m="1" x="3434"/>
        <item h="1" m="1" x="7910"/>
        <item h="1" m="1" x="7113"/>
        <item h="1" m="1" x="6658"/>
        <item h="1" m="1" x="639"/>
        <item h="1" m="1" x="7728"/>
        <item h="1" m="1" x="7760"/>
        <item h="1" m="1" x="7761"/>
        <item h="1" m="1" x="7911"/>
        <item h="1" m="1" x="7912"/>
        <item h="1" m="1" x="6807"/>
        <item h="1" m="1" x="446"/>
        <item h="1" m="1" x="6671"/>
        <item h="1" m="1" x="7762"/>
        <item h="1" m="1" x="6670"/>
        <item h="1" m="1" x="6675"/>
        <item h="1" m="1" x="6679"/>
        <item h="1" m="1" x="7915"/>
        <item h="1" m="1" x="7916"/>
        <item h="1" m="1" x="976"/>
        <item h="1" m="1" x="7917"/>
        <item h="1" m="1" x="7918"/>
        <item h="1" m="1" x="7919"/>
        <item h="1" m="1" x="7920"/>
        <item h="1" m="1" x="7921"/>
        <item h="1" m="1" x="5803"/>
        <item h="1" m="1" x="7922"/>
        <item h="1" m="1" x="5942"/>
        <item h="1" m="1" x="3868"/>
        <item h="1" m="1" x="7923"/>
        <item h="1" m="1" x="7491"/>
        <item h="1" m="1" x="7492"/>
        <item h="1" m="1" x="7769"/>
        <item h="1" m="1" x="7924"/>
        <item h="1" m="1" x="7444"/>
        <item h="1" m="1" x="7925"/>
        <item h="1" m="1" x="7926"/>
        <item h="1" m="1" x="7627"/>
        <item h="1" m="1" x="7741"/>
        <item h="1" m="1" x="7688"/>
        <item h="1" m="1" x="7928"/>
        <item h="1" m="1" x="7929"/>
        <item h="1" m="1" x="1889"/>
        <item h="1" m="1" x="6643"/>
        <item h="1" m="1" x="2695"/>
        <item h="1" m="1" x="7930"/>
        <item h="1" m="1" x="6673"/>
        <item h="1" m="1" x="6676"/>
        <item h="1" m="1" x="6677"/>
        <item h="1" m="1" x="6707"/>
        <item h="1" m="1" x="7931"/>
        <item h="1" m="1" x="4385"/>
        <item h="1" m="1" x="6694"/>
        <item h="1" m="1" x="7789"/>
        <item h="1" m="1" x="6726"/>
        <item h="1" m="1" x="7792"/>
        <item h="1" m="1" x="7933"/>
        <item h="1" m="1" x="7934"/>
        <item h="1" m="1" x="7935"/>
        <item h="1" m="1" x="6748"/>
        <item h="1" m="1" x="7936"/>
        <item h="1" m="1" x="7349"/>
        <item h="1" m="1" x="7428"/>
        <item h="1" m="1" x="6900"/>
        <item h="1" m="1" x="7398"/>
        <item h="1" m="1" x="6574"/>
        <item h="1" m="1" x="7494"/>
        <item h="1" m="1" x="7495"/>
        <item h="1" m="1" x="7770"/>
        <item h="1" m="1" x="7771"/>
        <item h="1" m="1" x="7032"/>
        <item h="1" m="1" x="7772"/>
        <item h="1" m="1" x="7773"/>
        <item h="1" m="1" x="7194"/>
        <item h="1" m="1" x="7775"/>
        <item h="1" m="1" x="7776"/>
        <item h="1" m="1" x="7458"/>
        <item h="1" m="1" x="7459"/>
        <item h="1" m="1" x="7460"/>
        <item h="1" m="1" x="7453"/>
        <item h="1" m="1" x="7454"/>
        <item h="1" m="1" x="7455"/>
        <item h="1" m="1" x="7456"/>
        <item h="1" m="1" x="7457"/>
        <item h="1" m="1" x="7587"/>
        <item h="1" m="1" x="7056"/>
        <item h="1" m="1" x="7040"/>
        <item h="1" m="1" x="7469"/>
        <item h="1" m="1" x="7311"/>
        <item h="1" m="1" x="7312"/>
        <item h="1" m="1" x="7588"/>
        <item h="1" m="1" x="6818"/>
        <item h="1" m="1" x="7310"/>
        <item h="1" m="1" x="7481"/>
        <item h="1" m="1" x="7478"/>
        <item h="1" m="1" x="7777"/>
        <item h="1" x="118"/>
        <item h="1" m="1" x="7375"/>
        <item h="1" m="1" x="7778"/>
        <item h="1" m="1" x="7149"/>
        <item h="1" m="1" x="7383"/>
        <item h="1" m="1" x="7150"/>
        <item h="1" m="1" x="7385"/>
        <item h="1" m="1" x="7522"/>
        <item h="1" m="1" x="7512"/>
        <item h="1" m="1" x="7631"/>
        <item h="1" m="1" x="7628"/>
        <item h="1" m="1" x="7779"/>
        <item h="1" m="1" x="7690"/>
        <item h="1" m="1" x="7689"/>
        <item h="1" m="1" x="7535"/>
        <item h="1" m="1" x="7780"/>
        <item h="1" m="1" x="7672"/>
        <item h="1" m="1" x="6644"/>
        <item h="1" m="1" x="7726"/>
        <item h="1" m="1" x="6646"/>
        <item h="1" m="1" x="6649"/>
        <item h="1" m="1" x="6682"/>
        <item h="1" m="1" x="7019"/>
        <item h="1" m="1" x="7781"/>
        <item h="1" m="1" x="3706"/>
        <item h="1" m="1" x="7782"/>
        <item h="1" m="1" x="7783"/>
        <item h="1" m="1" x="7784"/>
        <item h="1" m="1" x="7785"/>
        <item h="1" m="1" x="6710"/>
        <item h="1" m="1" x="6819"/>
        <item h="1" m="1" x="7675"/>
        <item h="1" m="1" x="7579"/>
        <item h="1" m="1" x="6714"/>
        <item h="1" m="1" x="6664"/>
        <item h="1" m="1" x="7786"/>
        <item h="1" m="1" x="7787"/>
        <item h="1" m="1" x="7788"/>
        <item h="1" m="1" x="7790"/>
        <item h="1" m="1" x="7791"/>
        <item h="1" m="1" x="6721"/>
        <item h="1" m="1" x="6734"/>
        <item h="1" m="1" x="6740"/>
        <item h="1" m="1" x="6742"/>
        <item h="1" m="1" x="7793"/>
        <item h="1" m="1" x="7645"/>
        <item h="1" m="1" x="7795"/>
        <item h="1" m="1" x="7647"/>
        <item h="1" m="1" x="7719"/>
        <item h="1" m="1" x="7722"/>
        <item h="1" m="1" x="7720"/>
        <item h="1" m="1" x="7718"/>
        <item h="1" m="1" x="7717"/>
        <item h="1" m="1" x="7359"/>
        <item h="1" m="1" x="7024"/>
        <item h="1" m="1" x="7797"/>
        <item h="1" m="1" x="7496"/>
        <item h="1" m="1" x="3869"/>
        <item h="1" m="1" x="477"/>
        <item h="1" m="1" x="7452"/>
        <item h="1" m="1" x="7087"/>
        <item h="1" m="1" x="7683"/>
        <item h="1" m="1" x="6633"/>
        <item h="1" m="1" x="7800"/>
        <item h="1" m="1" x="7641"/>
        <item h="1" m="1" x="7705"/>
        <item h="1" m="1" x="790"/>
        <item h="1" m="1" x="7699"/>
        <item h="1" m="1" x="7801"/>
        <item h="1" m="1" x="7802"/>
        <item h="1" m="1" x="7803"/>
        <item h="1" m="1" x="7804"/>
        <item h="1" m="1" x="7805"/>
        <item h="1" m="1" x="7806"/>
        <item h="1" m="1" x="7697"/>
        <item h="1" m="1" x="7698"/>
        <item h="1" m="1" x="7807"/>
        <item h="1" m="1" x="7808"/>
        <item h="1" m="1" x="7721"/>
        <item h="1" m="1" x="7809"/>
        <item h="1" m="1" x="7810"/>
        <item h="1" m="1" x="7337"/>
        <item h="1" m="1" x="4344"/>
        <item h="1" m="1" x="7702"/>
        <item h="1" m="1" x="7703"/>
        <item h="1" m="1" x="7704"/>
        <item h="1" m="1" x="7539"/>
        <item h="1" m="1" x="7706"/>
        <item h="1" m="1" x="7707"/>
        <item h="1" m="1" x="7106"/>
        <item h="1" m="1" x="6963"/>
        <item h="1" m="1" x="6655"/>
        <item h="1" m="1" x="7543"/>
        <item h="1" m="1" x="7708"/>
        <item h="1" m="1" x="6972"/>
        <item h="1" m="1" x="7709"/>
        <item h="1" m="1" x="7711"/>
        <item h="1" m="1" x="7712"/>
        <item h="1" m="1" x="7713"/>
        <item h="1" m="1" x="7714"/>
        <item h="1" m="1" x="7715"/>
        <item h="1" m="1" x="7716"/>
        <item h="1" m="1" x="7723"/>
        <item h="1" m="1" x="7724"/>
        <item h="1" m="1" x="7557"/>
        <item h="1" m="1" x="7725"/>
        <item h="1" m="1" x="6984"/>
        <item h="1" m="1" x="6981"/>
        <item h="1" m="1" x="7137"/>
        <item h="1" m="1" x="6985"/>
        <item h="1" m="1" x="7560"/>
        <item h="1" m="1" x="7374"/>
        <item h="1" m="1" x="7156"/>
        <item h="1" m="1" x="7376"/>
        <item h="1" m="1" x="6744"/>
        <item h="1" m="1" x="7388"/>
        <item h="1" m="1" x="7562"/>
        <item h="1" m="1" x="7727"/>
        <item h="1" m="1" x="7397"/>
        <item h="1" m="1" x="7568"/>
        <item h="1" m="1" x="7393"/>
        <item h="1" m="1" x="7570"/>
        <item h="1" m="1" x="1402"/>
        <item h="1" m="1" x="7575"/>
        <item h="1" m="1" x="7580"/>
        <item h="1" m="1" x="7411"/>
        <item h="1" m="1" x="7403"/>
        <item h="1" m="1" x="7404"/>
        <item h="1" m="1" x="7418"/>
        <item h="1" m="1" x="7729"/>
        <item h="1" m="1" x="7730"/>
        <item h="1" m="1" x="7731"/>
        <item h="1" m="1" x="7288"/>
        <item h="1" m="1" x="7732"/>
        <item h="1" m="1" x="7733"/>
        <item h="1" m="1" x="7734"/>
        <item h="1" m="1" x="7287"/>
        <item h="1" m="1" x="7291"/>
        <item h="1" m="1" x="7658"/>
        <item h="1" m="1" x="7423"/>
        <item h="1" m="1" x="5429"/>
        <item h="1" m="1" x="7434"/>
        <item h="1" m="1" x="7585"/>
        <item h="1" m="1" x="6454"/>
        <item h="1" m="1" x="7736"/>
        <item h="1" m="1" x="7737"/>
        <item h="1" m="1" x="7198"/>
        <item h="1" m="1" x="7203"/>
        <item h="1" m="1" x="7451"/>
        <item h="1" m="1" x="7442"/>
        <item h="1" m="1" x="4592"/>
        <item h="1" m="1" x="7474"/>
        <item h="1" m="1" x="7062"/>
        <item h="1" m="1" x="6605"/>
        <item h="1" m="1" x="7483"/>
        <item h="1" m="1" x="6737"/>
        <item h="1" m="1" x="7738"/>
        <item h="1" m="1" x="7486"/>
        <item h="1" m="1" x="7739"/>
        <item h="1" m="1" x="7605"/>
        <item h="1" m="1" x="6672"/>
        <item h="1" m="1" x="7489"/>
        <item h="1" m="1" x="6955"/>
        <item h="1" m="1" x="6854"/>
        <item h="1" m="1" x="7500"/>
        <item h="1" m="1" x="7515"/>
        <item h="1" m="1" x="7616"/>
        <item h="1" m="1" x="7615"/>
        <item h="1" m="1" x="7086"/>
        <item h="1" m="1" x="7528"/>
        <item h="1" m="1" x="7684"/>
        <item h="1" m="1" x="7685"/>
        <item h="1" m="1" x="7686"/>
        <item h="1" m="1" x="7687"/>
        <item h="1" m="1" x="7534"/>
        <item h="1" m="1" x="2889"/>
        <item h="1" m="1" x="6829"/>
        <item h="1" m="1" x="7263"/>
        <item h="1" m="1" x="7094"/>
        <item h="1" m="1" x="7345"/>
        <item h="1" m="1" x="7346"/>
        <item h="1" m="1" x="4433"/>
        <item h="1" m="1" x="7642"/>
        <item h="1" m="1" x="6695"/>
        <item h="1" m="1" x="7351"/>
        <item h="1" m="1" x="7352"/>
        <item h="1" m="1" x="7353"/>
        <item h="1" m="1" x="7115"/>
        <item h="1" m="1" x="7550"/>
        <item h="1" m="1" x="7643"/>
        <item h="1" m="1" x="7350"/>
        <item h="1" m="1" x="7354"/>
        <item h="1" m="1" x="6665"/>
        <item h="1" m="1" x="6666"/>
        <item h="1" m="1" x="6639"/>
        <item h="1" m="1" x="6657"/>
        <item h="1" m="1" x="6967"/>
        <item h="1" m="1" x="7552"/>
        <item h="1" m="1" x="7646"/>
        <item h="1" m="1" x="7648"/>
        <item h="1" m="1" x="7649"/>
        <item h="1" m="1" x="7651"/>
        <item h="1" m="1" x="5914"/>
        <item h="1" m="1" x="6926"/>
        <item h="1" m="1" x="6927"/>
        <item h="1" m="1" x="7140"/>
        <item h="1" m="1" x="7652"/>
        <item h="1" m="1" x="7368"/>
        <item h="1" m="1" x="7283"/>
        <item h="1" m="1" x="7153"/>
        <item h="1" m="1" x="7381"/>
        <item h="1" m="1" x="7382"/>
        <item h="1" m="1" x="7001"/>
        <item h="1" m="1" x="1681"/>
        <item h="1" m="1" x="2480"/>
        <item h="1" m="1" x="7162"/>
        <item h="1" m="1" x="7174"/>
        <item h="1" m="1" x="7653"/>
        <item h="1" m="1" x="7654"/>
        <item h="1" m="1" x="7655"/>
        <item h="1" m="1" x="7656"/>
        <item h="1" m="1" x="1267"/>
        <item h="1" m="1" x="7582"/>
        <item h="1" m="1" x="6652"/>
        <item h="1" m="1" x="6653"/>
        <item h="1" m="1" x="5826"/>
        <item h="1" x="350"/>
        <item h="1" m="1" x="5945"/>
        <item h="1" m="1" x="7669"/>
        <item h="1" m="1" x="7670"/>
        <item h="1" m="1" x="7299"/>
        <item h="1" m="1" x="7435"/>
        <item h="1" m="1" x="6711"/>
        <item h="1" m="1" x="6715"/>
        <item h="1" m="1" x="6716"/>
        <item h="1" m="1" x="6717"/>
        <item h="1" m="1" x="7197"/>
        <item h="1" m="1" x="7443"/>
        <item h="1" m="1" x="7445"/>
        <item h="1" m="1" x="4044"/>
        <item h="1" m="1" x="7206"/>
        <item h="1" m="1" x="5613"/>
        <item h="1" m="1" x="7315"/>
        <item h="1" m="1" x="7041"/>
        <item h="1" m="1" x="7042"/>
        <item h="1" m="1" x="7314"/>
        <item h="1" m="1" x="6954"/>
        <item h="1" m="1" x="7219"/>
        <item h="1" m="1" x="7072"/>
        <item h="1" m="1" x="7601"/>
        <item h="1" m="1" x="7071"/>
        <item h="1" m="1" x="7602"/>
        <item h="1" m="1" x="6669"/>
        <item h="1" m="1" x="6713"/>
        <item h="1" m="1" x="7591"/>
        <item h="1" m="1" x="6678"/>
        <item h="1" m="1" x="7673"/>
        <item h="1" m="1" x="7674"/>
        <item h="1" m="1" x="7594"/>
        <item h="1" m="1" x="7595"/>
        <item h="1" m="1" x="5103"/>
        <item h="1" m="1" x="7676"/>
        <item h="1" m="1" x="7677"/>
        <item h="1" m="1" x="7680"/>
        <item h="1" m="1" x="7681"/>
        <item h="1" m="1" x="7682"/>
        <item h="1" m="1" x="7606"/>
        <item h="1" m="1" x="7507"/>
        <item h="1" m="1" x="7607"/>
        <item h="1" m="1" x="7632"/>
        <item h="1" m="1" x="7619"/>
        <item h="1" m="1" x="7524"/>
        <item h="1" m="1" x="7620"/>
        <item h="1" m="1" x="7621"/>
        <item h="1" m="1" x="7622"/>
        <item h="1" m="1" x="6914"/>
        <item h="1" m="1" x="7691"/>
        <item h="1" m="1" x="7695"/>
        <item h="1" m="1" x="7696"/>
        <item h="1" m="1" x="7095"/>
        <item h="1" m="1" x="7538"/>
        <item h="1" m="1" x="7540"/>
        <item h="1" m="1" x="7344"/>
        <item h="1" m="1" x="7541"/>
        <item h="1" m="1" x="7544"/>
        <item h="1" m="1" x="7545"/>
        <item h="1" m="1" x="7546"/>
        <item h="1" m="1" x="1991"/>
        <item h="1" m="1" x="7548"/>
        <item h="1" m="1" x="7549"/>
        <item h="1" m="1" x="7348"/>
        <item h="1" m="1" x="7551"/>
        <item h="1" m="1" x="6965"/>
        <item h="1" x="54"/>
        <item h="1" m="1" x="7553"/>
        <item h="1" m="1" x="7554"/>
        <item h="1" m="1" x="7555"/>
        <item h="1" m="1" x="7556"/>
        <item h="1" m="1" x="6925"/>
        <item h="1" m="1" x="7181"/>
        <item h="1" m="1" x="6986"/>
        <item h="1" m="1" x="5323"/>
        <item h="1" m="1" x="6027"/>
        <item h="1" m="1" x="7558"/>
        <item h="1" m="1" x="7559"/>
        <item h="1" m="1" x="6776"/>
        <item h="1" m="1" x="3763"/>
        <item h="1" m="1" x="7380"/>
        <item h="1" m="1" x="7154"/>
        <item h="1" m="1" x="7377"/>
        <item h="1" m="1" x="7379"/>
        <item h="1" m="1" x="5722"/>
        <item h="1" m="1" x="7168"/>
        <item h="1" m="1" x="7577"/>
        <item h="1" m="1" x="7578"/>
        <item h="1" m="1" x="7018"/>
        <item h="1" m="1" x="7415"/>
        <item h="1" m="1" x="7416"/>
        <item h="1" m="1" x="7405"/>
        <item h="1" m="1" x="7406"/>
        <item h="1" m="1" x="7407"/>
        <item h="1" m="1" x="7408"/>
        <item h="1" m="1" x="7421"/>
        <item h="1" m="1" x="7293"/>
        <item h="1" m="1" x="7302"/>
        <item h="1" m="1" x="7033"/>
        <item h="1" m="1" x="6708"/>
        <item h="1" m="1" x="6641"/>
        <item h="1" m="1" x="6953"/>
        <item h="1" m="1" x="5573"/>
        <item h="1" m="1" x="6952"/>
        <item h="1" m="1" x="7586"/>
        <item h="1" m="1" x="7441"/>
        <item h="1" m="1" x="7036"/>
        <item h="1" m="1" x="7037"/>
        <item h="1" m="1" x="7471"/>
        <item h="1" m="1" x="7473"/>
        <item h="1" m="1" x="7589"/>
        <item h="1" m="1" x="7592"/>
        <item h="1" m="1" x="7593"/>
        <item h="1" m="1" x="7596"/>
        <item h="1" m="1" x="7597"/>
        <item h="1" m="1" x="7598"/>
        <item h="1" m="1" x="7599"/>
        <item h="1" m="1" x="7328"/>
        <item h="1" m="1" x="7600"/>
        <item h="1" m="1" x="7603"/>
        <item h="1" m="1" x="6153"/>
        <item h="1" m="1" x="6208"/>
        <item h="1" m="1" x="7070"/>
        <item h="1" m="1" x="6668"/>
        <item h="1" m="1" x="7604"/>
        <item h="1" m="1" x="6720"/>
        <item h="1" m="1" x="7493"/>
        <item h="1" m="1" x="7501"/>
        <item h="1" m="1" x="7502"/>
        <item h="1" m="1" x="7240"/>
        <item h="1" m="1" x="7505"/>
        <item h="1" m="1" x="7503"/>
        <item h="1" m="1" x="7504"/>
        <item h="1" m="1" x="7244"/>
        <item h="1" m="1" x="2023"/>
        <item h="1" m="1" x="7506"/>
        <item h="1" m="1" x="7617"/>
        <item h="1" m="1" x="7618"/>
        <item h="1" m="1" x="7634"/>
        <item h="1" m="1" x="7529"/>
        <item h="1" m="1" x="7635"/>
        <item h="1" m="1" x="7636"/>
        <item h="1" m="1" x="7637"/>
        <item h="1" m="1" x="7638"/>
        <item h="1" m="1" x="7639"/>
        <item h="1" m="1" x="7640"/>
        <item h="1" m="1" x="7101"/>
        <item h="1" m="1" x="7100"/>
        <item h="1" m="1" x="7097"/>
        <item h="1" m="1" x="7098"/>
        <item h="1" m="1" x="7099"/>
        <item h="1" m="1" x="7096"/>
        <item h="1" m="1" x="7265"/>
        <item h="1" m="1" x="616"/>
        <item h="1" m="1" x="7341"/>
        <item h="1" m="1" x="5042"/>
        <item h="1" m="1" x="876"/>
        <item h="1" m="1" x="7342"/>
        <item h="1" m="1" x="6637"/>
        <item h="1" m="1" x="7343"/>
        <item h="1" m="1" x="7347"/>
        <item h="1" m="1" x="7355"/>
        <item h="1" m="1" x="6790"/>
        <item h="1" m="1" x="7112"/>
        <item h="1" m="1" x="5359"/>
        <item h="1" m="1" x="7356"/>
        <item h="1" m="1" x="5288"/>
        <item h="1" m="1" x="7269"/>
        <item h="1" m="1" x="7271"/>
        <item h="1" m="1" x="7272"/>
        <item h="1" m="1" x="7270"/>
        <item h="1" m="1" x="7357"/>
        <item h="1" m="1" x="7358"/>
        <item h="1" m="1" x="7360"/>
        <item h="1" m="1" x="7361"/>
        <item h="1" m="1" x="7362"/>
        <item h="1" m="1" x="7363"/>
        <item h="1" m="1" x="7364"/>
        <item h="1" m="1" x="7365"/>
        <item h="1" m="1" x="6980"/>
        <item h="1" m="1" x="7366"/>
        <item h="1" m="1" x="7367"/>
        <item h="1" m="1" x="6928"/>
        <item h="1" m="1" x="6779"/>
        <item h="1" m="1" x="7369"/>
        <item h="1" m="1" x="7370"/>
        <item h="1" m="1" x="7371"/>
        <item h="1" m="1" x="7390"/>
        <item h="1" m="1" x="7392"/>
        <item h="1" m="1" x="7161"/>
        <item h="1" m="1" x="7165"/>
        <item h="1" m="1" x="7395"/>
        <item h="1" m="1" x="7396"/>
        <item h="1" m="1" x="7400"/>
        <item h="1" m="1" x="7180"/>
        <item h="1" m="1" x="7410"/>
        <item h="1" m="1" x="6685"/>
        <item h="1" m="1" x="7424"/>
        <item h="1" m="1" x="7425"/>
        <item h="1" m="1" x="7426"/>
        <item h="1" m="1" x="7430"/>
        <item h="1" m="1" x="7431"/>
        <item h="1" m="1" x="7433"/>
        <item h="1" m="1" x="7301"/>
        <item h="1" m="1" x="7294"/>
        <item h="1" m="1" x="7438"/>
        <item h="1" m="1" x="6718"/>
        <item h="1" m="1" x="6951"/>
        <item h="1" m="1" x="7465"/>
        <item h="1" m="1" x="7466"/>
        <item h="1" m="1" x="7309"/>
        <item h="1" m="1" x="7058"/>
        <item h="1" m="1" x="7468"/>
        <item h="1" m="1" x="7059"/>
        <item h="1" m="1" x="7060"/>
        <item h="1" m="1" x="7061"/>
        <item h="1" m="1" x="6570"/>
        <item h="1" m="1" x="7057"/>
        <item h="1" m="1" x="7208"/>
        <item h="1" m="1" x="7054"/>
        <item h="1" m="1" x="7053"/>
        <item h="1" m="1" x="7064"/>
        <item h="1" m="1" x="7484"/>
        <item h="1" m="1" x="3723"/>
        <item h="1" m="1" x="7485"/>
        <item h="1" m="1" x="7209"/>
        <item h="1" m="1" x="4340"/>
        <item h="1" m="1" x="7487"/>
        <item h="1" m="1" x="7488"/>
        <item h="1" m="1" x="7323"/>
        <item h="1" m="1" x="7232"/>
        <item h="1" m="1" x="7074"/>
        <item h="1" m="1" x="6827"/>
        <item h="1" m="1" x="7490"/>
        <item h="1" m="1" x="7516"/>
        <item h="1" m="1" x="7517"/>
        <item h="1" m="1" x="7518"/>
        <item h="1" m="1" x="7519"/>
        <item h="1" m="1" x="7525"/>
        <item h="1" m="1" x="7526"/>
        <item h="1" m="1" x="7527"/>
        <item h="1" m="1" x="7530"/>
        <item h="1" m="1" x="7531"/>
        <item h="1" m="1" x="7533"/>
        <item h="1" m="1" x="7243"/>
        <item h="1" m="1" x="7266"/>
        <item h="1" m="1" x="7267"/>
        <item h="1" m="1" x="6769"/>
        <item h="1" m="1" x="6697"/>
        <item h="1" m="1" x="6770"/>
        <item h="1" m="1" x="6771"/>
        <item h="1" m="1" x="7114"/>
        <item h="1" m="1" x="7268"/>
        <item h="1" x="106"/>
        <item h="1" m="1" x="7119"/>
        <item h="1" m="1" x="7120"/>
        <item h="1" m="1" x="7273"/>
        <item h="1" m="1" x="7274"/>
        <item h="1" m="1" x="7107"/>
        <item h="1" m="1" x="7275"/>
        <item h="1" m="1" x="7111"/>
        <item h="1" m="1" x="6964"/>
        <item h="1" m="1" x="7123"/>
        <item h="1" m="1" x="7276"/>
        <item h="1" m="1" x="7277"/>
        <item h="1" m="1" x="7279"/>
        <item h="1" m="1" x="7129"/>
        <item h="1" m="1" x="6983"/>
        <item h="1" m="1" x="6029"/>
        <item h="1" m="1" x="7281"/>
        <item h="1" m="1" x="7145"/>
        <item h="1" m="1" x="7282"/>
        <item h="1" m="1" x="6572"/>
        <item h="1" m="1" x="6995"/>
        <item h="1" m="1" x="6996"/>
        <item h="1" m="1" x="6851"/>
        <item h="1" m="1" x="7151"/>
        <item h="1" m="1" x="7147"/>
        <item h="1" m="1" x="5913"/>
        <item h="1" m="1" x="7284"/>
        <item h="1" m="1" x="6311"/>
        <item h="1" m="1" x="7177"/>
        <item h="1" m="1" x="7285"/>
        <item h="1" m="1" x="7304"/>
        <item h="1" m="1" x="6724"/>
        <item h="1" m="1" x="7286"/>
        <item h="1" m="1" x="4436"/>
        <item h="1" m="1" x="6687"/>
        <item h="1" m="1" x="6686"/>
        <item h="1" m="1" x="6947"/>
        <item h="1" m="1" x="7289"/>
        <item h="1" m="1" x="7290"/>
        <item h="1" m="1" x="6948"/>
        <item h="1" m="1" x="2423"/>
        <item h="1" m="1" x="6618"/>
        <item h="1" m="1" x="7295"/>
        <item h="1" m="1" x="7297"/>
        <item h="1" m="1" x="7298"/>
        <item h="1" m="1" x="7300"/>
        <item h="1" m="1" x="7021"/>
        <item h="1" m="1" x="6733"/>
        <item h="1" m="1" x="7321"/>
        <item h="1" m="1" x="6759"/>
        <item h="1" m="1" x="6640"/>
        <item h="1" m="1" x="7031"/>
        <item h="1" m="1" x="7306"/>
        <item h="1" m="1" x="7199"/>
        <item h="1" m="1" x="7200"/>
        <item h="1" m="1" x="7201"/>
        <item h="1" m="1" x="7039"/>
        <item h="1" m="1" x="7052"/>
        <item h="1" m="1" x="6728"/>
        <item h="1" m="1" x="7317"/>
        <item h="1" m="1" x="7318"/>
        <item h="1" m="1" x="7212"/>
        <item h="1" m="1" x="7319"/>
        <item h="1" m="1" x="7211"/>
        <item h="1" m="1" x="7210"/>
        <item h="1" m="1" x="7320"/>
        <item h="1" m="1" x="7322"/>
        <item h="1" m="1" x="5358"/>
        <item h="1" m="1" x="7324"/>
        <item h="1" m="1" x="6124"/>
        <item h="1" m="1" x="5916"/>
        <item h="1" m="1" x="7223"/>
        <item h="1" m="1" x="7325"/>
        <item h="1" m="1" x="7326"/>
        <item h="1" m="1" x="2141"/>
        <item h="1" m="1" x="7331"/>
        <item h="1" m="1" x="7225"/>
        <item h="1" m="1" x="7234"/>
        <item h="1" m="1" x="7236"/>
        <item h="1" m="1" x="5387"/>
        <item h="1" m="1" x="7327"/>
        <item h="1" m="1" x="7248"/>
        <item h="1" m="1" x="7247"/>
        <item h="1" m="1" x="7329"/>
        <item h="1" m="1" x="7330"/>
        <item h="1" m="1" x="6602"/>
        <item h="1" m="1" x="7333"/>
        <item h="1" m="1" x="6606"/>
        <item h="1" m="1" x="7335"/>
        <item h="1" m="1" x="7264"/>
        <item h="1" m="1" x="3872"/>
        <item h="1" m="1" x="6772"/>
        <item h="1" m="1" x="7105"/>
        <item h="1" m="1" x="5213"/>
        <item h="1" m="1" x="7108"/>
        <item h="1" m="1" x="7109"/>
        <item h="1" m="1" x="7110"/>
        <item h="1" m="1" x="7116"/>
        <item h="1" m="1" x="6971"/>
        <item h="1" m="1" x="6970"/>
        <item h="1" m="1" x="7117"/>
        <item h="1" m="1" x="7118"/>
        <item h="1" m="1" x="7121"/>
        <item h="1" m="1" x="7122"/>
        <item h="1" m="1" x="6794"/>
        <item h="1" m="1" x="7125"/>
        <item h="1" m="1" x="7258"/>
        <item h="1" m="1" x="7126"/>
        <item h="1" m="1" x="7127"/>
        <item h="1" m="1" x="7128"/>
        <item h="1" m="1" x="7130"/>
        <item h="1" m="1" x="7131"/>
        <item h="1" m="1" x="7132"/>
        <item h="1" m="1" x="7133"/>
        <item h="1" m="1" x="7134"/>
        <item h="1" m="1" x="6345"/>
        <item h="1" m="1" x="7135"/>
        <item h="1" m="1" x="7136"/>
        <item h="1" m="1" x="7139"/>
        <item h="1" m="1" x="6990"/>
        <item h="1" m="1" x="7142"/>
        <item h="1" m="1" x="7143"/>
        <item h="1" m="1" x="7144"/>
        <item h="1" m="1" x="6999"/>
        <item h="1" m="1" x="7000"/>
        <item h="1" m="1" x="6992"/>
        <item h="1" m="1" x="6994"/>
        <item h="1" m="1" x="7148"/>
        <item h="1" m="1" x="7259"/>
        <item h="1" m="1" x="7163"/>
        <item h="1" m="1" x="7164"/>
        <item h="1" m="1" x="7166"/>
        <item h="1" m="1" x="7167"/>
        <item h="1" m="1" x="7169"/>
        <item h="1" m="1" x="7170"/>
        <item h="1" m="1" x="7171"/>
        <item h="1" m="1" x="7172"/>
        <item h="1" m="1" x="7173"/>
        <item h="1" m="1" x="7175"/>
        <item h="1" m="1" x="7176"/>
        <item h="1" m="1" x="6195"/>
        <item h="1" m="1" x="7182"/>
        <item h="1" m="1" x="7183"/>
        <item h="1" m="1" x="7184"/>
        <item h="1" m="1" x="7185"/>
        <item h="1" m="1" x="7186"/>
        <item h="1" m="1" x="7188"/>
        <item h="1" m="1" x="7189"/>
        <item h="1" m="1" x="6642"/>
        <item h="1" m="1" x="6766"/>
        <item h="1" m="1" x="6756"/>
        <item h="1" m="1" x="6754"/>
        <item h="1" m="1" x="7190"/>
        <item h="1" m="1" x="2961"/>
        <item h="1" m="1" x="7191"/>
        <item h="1" m="1" x="7192"/>
        <item h="1" m="1" x="7023"/>
        <item h="1" m="1" x="6700"/>
        <item h="1" m="1" x="7027"/>
        <item h="1" m="1" x="7262"/>
        <item h="1" m="1" x="7195"/>
        <item h="1" m="1" x="7196"/>
        <item h="1" m="1" x="7202"/>
        <item h="1" m="1" x="429"/>
        <item h="1" m="1" x="7204"/>
        <item h="1" m="1" x="7205"/>
        <item h="1" m="1" x="7038"/>
        <item h="1" m="1" x="5723"/>
        <item h="1" m="1" x="3007"/>
        <item h="1" m="1" x="7207"/>
        <item h="1" m="1" x="7213"/>
        <item h="1" m="1" x="7214"/>
        <item h="1" m="1" x="7215"/>
        <item h="1" m="1" x="7222"/>
        <item h="1" m="1" x="7224"/>
        <item h="1" m="1" x="7069"/>
        <item h="1" m="1" x="7226"/>
        <item h="1" m="1" x="7227"/>
        <item h="1" m="1" x="7228"/>
        <item h="1" m="1" x="7229"/>
        <item h="1" m="1" x="7230"/>
        <item h="1" m="1" x="7231"/>
        <item h="1" m="1" x="7235"/>
        <item h="1" m="1" x="6723"/>
        <item h="1" m="1" x="7233"/>
        <item h="1" m="1" x="2955"/>
        <item h="1" m="1" x="7242"/>
        <item h="1" m="1" x="7245"/>
        <item h="1" m="1" x="7246"/>
        <item h="1" m="1" x="7249"/>
        <item h="1" m="1" x="7250"/>
        <item h="1" m="1" x="7251"/>
        <item h="1" m="1" x="7252"/>
        <item h="1" m="1" x="7253"/>
        <item h="1" m="1" x="7254"/>
        <item h="1" m="1" x="7256"/>
        <item h="1" m="1" x="7257"/>
        <item h="1" m="1" x="6593"/>
        <item h="1" m="1" x="6443"/>
        <item h="1" m="1" x="6594"/>
        <item h="1" m="1" x="7261"/>
        <item h="1" m="1" x="6775"/>
        <item h="1" m="1" x="4177"/>
        <item h="1" m="1" x="6956"/>
        <item h="1" m="1" x="4918"/>
        <item h="1" m="1" x="3401"/>
        <item h="1" m="1" x="1206"/>
        <item h="1" m="1" x="6919"/>
        <item h="1" m="1" x="6957"/>
        <item h="1" m="1" x="6958"/>
        <item h="1" m="1" x="6959"/>
        <item h="1" m="1" x="6960"/>
        <item h="1" m="1" x="5915"/>
        <item h="1" m="1" x="6961"/>
        <item h="1" m="1" x="6962"/>
        <item h="1" m="1" x="4373"/>
        <item h="1" m="1" x="6968"/>
        <item h="1" m="1" x="6969"/>
        <item h="1" m="1" x="1543"/>
        <item h="1" m="1" x="654"/>
        <item h="1" x="218"/>
        <item h="1" m="1" x="4597"/>
        <item h="1" m="1" x="6973"/>
        <item h="1" m="1" x="6924"/>
        <item h="1" m="1" x="6974"/>
        <item h="1" m="1" x="6975"/>
        <item h="1" m="1" x="6976"/>
        <item h="1" m="1" x="6977"/>
        <item h="1" m="1" x="6838"/>
        <item h="1" m="1" x="6978"/>
        <item h="1" m="1" x="6979"/>
        <item h="1" m="1" x="6843"/>
        <item h="1" m="1" x="6987"/>
        <item h="1" m="1" x="6988"/>
        <item h="1" m="1" x="6989"/>
        <item h="1" m="1" x="6747"/>
        <item h="1" m="1" x="6650"/>
        <item h="1" m="1" x="6804"/>
        <item h="1" m="1" x="6993"/>
        <item h="1" m="1" x="3477"/>
        <item h="1" m="1" x="6935"/>
        <item h="1" m="1" x="6997"/>
        <item h="1" m="1" x="7002"/>
        <item h="1" m="1" x="6722"/>
        <item h="1" m="1" x="7003"/>
        <item h="1" m="1" x="810"/>
        <item h="1" m="1" x="7005"/>
        <item h="1" m="1" x="6539"/>
        <item h="1" m="1" x="5851"/>
        <item h="1" m="1" x="7006"/>
        <item h="1" m="1" x="7007"/>
        <item h="1" m="1" x="6661"/>
        <item h="1" m="1" x="6937"/>
        <item h="1" m="1" x="6938"/>
        <item h="1" m="1" x="6939"/>
        <item h="1" m="1" x="7009"/>
        <item h="1" m="1" x="4942"/>
        <item h="1" m="1" x="7010"/>
        <item h="1" m="1" x="7011"/>
        <item h="1" m="1" x="7013"/>
        <item h="1" m="1" x="7014"/>
        <item h="1" m="1" x="7015"/>
        <item h="1" m="1" x="7016"/>
        <item h="1" m="1" x="5362"/>
        <item h="1" m="1" x="5363"/>
        <item h="1" m="1" x="5361"/>
        <item h="1" m="1" x="5582"/>
        <item h="1" m="1" x="7020"/>
        <item h="1" m="1" x="6531"/>
        <item h="1" m="1" x="6870"/>
        <item h="1" m="1" x="6871"/>
        <item h="1" m="1" x="7022"/>
        <item h="1" m="1" x="6741"/>
        <item h="1" m="1" x="6705"/>
        <item h="1" m="1" x="6706"/>
        <item h="1" m="1" x="7025"/>
        <item h="1" m="1" x="7029"/>
        <item h="1" m="1" x="7030"/>
        <item h="1" m="1" x="7034"/>
        <item h="1" m="1" x="7035"/>
        <item h="1" m="1" x="7043"/>
        <item h="1" m="1" x="7044"/>
        <item h="1" m="1" x="7045"/>
        <item h="1" m="1" x="2509"/>
        <item h="1" m="1" x="7047"/>
        <item h="1" m="1" x="7048"/>
        <item h="1" m="1" x="7049"/>
        <item h="1" m="1" x="7050"/>
        <item h="1" m="1" x="7051"/>
        <item h="1" m="1" x="7055"/>
        <item h="1" m="1" x="7065"/>
        <item h="1" m="1" x="6582"/>
        <item h="1" m="1" x="7066"/>
        <item h="1" m="1" x="7067"/>
        <item h="1" m="1" x="6609"/>
        <item h="1" m="1" x="6821"/>
        <item h="1" m="1" x="7068"/>
        <item h="1" m="1" x="7073"/>
        <item h="1" m="1" x="7075"/>
        <item h="1" m="1" x="7076"/>
        <item h="1" m="1" x="7077"/>
        <item h="1" m="1" x="7078"/>
        <item h="1" m="1" x="7079"/>
        <item h="1" m="1" x="7080"/>
        <item h="1" m="1" x="7081"/>
        <item h="1" m="1" x="7082"/>
        <item h="1" m="1" x="7083"/>
        <item h="1" m="1" x="7084"/>
        <item h="1" m="1" x="7085"/>
        <item h="1" m="1" x="6729"/>
        <item h="1" m="1" x="6730"/>
        <item h="1" m="1" x="7088"/>
        <item h="1" m="1" x="7089"/>
        <item h="1" m="1" x="7090"/>
        <item h="1" m="1" x="7091"/>
        <item h="1" m="1" x="6595"/>
        <item h="1" m="1" x="6596"/>
        <item h="1" m="1" x="6704"/>
        <item h="1" m="1" x="6656"/>
        <item h="1" m="1" x="6920"/>
        <item h="1" m="1" x="6752"/>
        <item h="1" m="1" x="6751"/>
        <item h="1" m="1" x="6921"/>
        <item h="1" m="1" x="5735"/>
        <item h="1" m="1" x="4372"/>
        <item h="1" m="1" x="6922"/>
        <item h="1" m="1" x="6923"/>
        <item h="1" m="1" x="6839"/>
        <item h="1" m="1" x="6841"/>
        <item h="1" m="1" x="6929"/>
        <item h="1" m="1" x="6930"/>
        <item h="1" m="1" x="6931"/>
        <item h="1" m="1" x="6844"/>
        <item h="1" m="1" x="6932"/>
        <item h="1" m="1" x="6933"/>
        <item h="1" m="1" x="6934"/>
        <item h="1" m="1" x="6848"/>
        <item h="1" m="1" x="743"/>
        <item h="1" m="1" x="6233"/>
        <item h="1" m="1" x="6234"/>
        <item h="1" m="1" x="6232"/>
        <item h="1" m="1" x="6855"/>
        <item h="1" m="1" x="6852"/>
        <item h="1" m="1" x="6936"/>
        <item h="1" m="1" x="1679"/>
        <item h="1" m="1" x="6859"/>
        <item h="1" m="1" x="6062"/>
        <item h="1" m="1" x="6866"/>
        <item h="1" m="1" x="6867"/>
        <item h="1" m="1" x="6940"/>
        <item h="1" m="1" x="6942"/>
        <item h="1" m="1" x="6943"/>
        <item h="1" m="1" x="6808"/>
        <item h="1" m="1" x="6944"/>
        <item h="1" m="1" x="6945"/>
        <item h="1" m="1" x="6946"/>
        <item h="1" m="1" x="6194"/>
        <item h="1" m="1" x="6869"/>
        <item h="1" m="1" x="6780"/>
        <item h="1" m="1" x="6753"/>
        <item h="1" m="1" x="6872"/>
        <item h="1" m="1" x="6873"/>
        <item h="1" m="1" x="6949"/>
        <item h="1" m="1" x="6876"/>
        <item h="1" m="1" x="6950"/>
        <item h="1" m="1" x="6882"/>
        <item h="1" m="1" x="6881"/>
        <item h="1" m="1" x="6565"/>
        <item h="1" m="1" x="6571"/>
        <item h="1" m="1" x="6607"/>
        <item h="1" m="1" x="6887"/>
        <item h="1" x="223"/>
        <item h="1" m="1" x="6889"/>
        <item h="1" m="1" x="6743"/>
        <item h="1" m="1" x="6894"/>
        <item h="1" m="1" x="6897"/>
        <item h="1" m="1" x="6898"/>
        <item h="1" m="1" x="6901"/>
        <item h="1" m="1" x="6906"/>
        <item h="1" m="1" x="6907"/>
        <item h="1" m="1" x="6909"/>
        <item h="1" m="1" x="6915"/>
        <item h="1" m="1" x="6910"/>
        <item h="1" m="1" x="6911"/>
        <item h="1" m="1" x="6588"/>
        <item h="1" m="1" x="6912"/>
        <item h="1" m="1" x="6916"/>
        <item h="1" m="1" x="6917"/>
        <item h="1" m="1" x="6830"/>
        <item h="1" m="1" x="6831"/>
        <item h="1" m="1" x="6767"/>
        <item h="1" m="1" x="6832"/>
        <item h="1" m="1" x="6684"/>
        <item h="1" m="1" x="6736"/>
        <item h="1" m="1" x="6109"/>
        <item h="1" m="1" x="6833"/>
        <item h="1" m="1" x="6834"/>
        <item h="1" m="1" x="6835"/>
        <item h="1" m="1" x="6836"/>
        <item h="1" m="1" x="2936"/>
        <item h="1" m="1" x="6837"/>
        <item h="1" m="1" x="6610"/>
        <item h="1" m="1" x="6611"/>
        <item h="1" m="1" x="6659"/>
        <item h="1" m="1" x="6840"/>
        <item h="1" m="1" x="6842"/>
        <item h="1" m="1" x="5917"/>
        <item h="1" m="1" x="6548"/>
        <item h="1" m="1" x="6845"/>
        <item h="1" m="1" x="6846"/>
        <item h="1" m="1" x="6847"/>
        <item h="1" m="1" x="4583"/>
        <item h="1" m="1" x="6849"/>
        <item h="1" m="1" x="6850"/>
        <item h="1" m="1" x="6237"/>
        <item h="1" m="1" x="6573"/>
        <item h="1" m="1" x="6853"/>
        <item h="1" m="1" x="6856"/>
        <item h="1" m="1" x="6857"/>
        <item h="1" m="1" x="6860"/>
        <item h="1" m="1" x="6861"/>
        <item h="1" m="1" x="6862"/>
        <item h="1" m="1" x="6863"/>
        <item h="1" m="1" x="6136"/>
        <item h="1" m="1" x="6585"/>
        <item h="1" m="1" x="5364"/>
        <item h="1" m="1" x="6868"/>
        <item h="1" m="1" x="6547"/>
        <item h="1" m="1" x="6817"/>
        <item h="1" m="1" x="6691"/>
        <item h="1" m="1" x="6692"/>
        <item h="1" m="1" x="6690"/>
        <item h="1" m="1" x="6874"/>
        <item h="1" m="1" x="6875"/>
        <item h="1" m="1" x="4881"/>
        <item h="1" m="1" x="6533"/>
        <item h="1" m="1" x="6532"/>
        <item h="1" m="1" x="6128"/>
        <item h="1" m="1" x="6719"/>
        <item h="1" m="1" x="6877"/>
        <item h="1" m="1" x="6878"/>
        <item h="1" m="1" x="6879"/>
        <item h="1" m="1" x="3174"/>
        <item h="1" m="1" x="6880"/>
        <item h="1" m="1" x="6883"/>
        <item h="1" m="1" x="6056"/>
        <item h="1" m="1" x="5357"/>
        <item h="1" m="1" x="6217"/>
        <item h="1" m="1" x="6218"/>
        <item h="1" m="1" x="6884"/>
        <item h="1" m="1" x="5922"/>
        <item h="1" m="1" x="6885"/>
        <item h="1" m="1" x="6220"/>
        <item h="1" m="1" x="6886"/>
        <item h="1" x="267"/>
        <item h="1" m="1" x="6888"/>
        <item h="1" m="1" x="6438"/>
        <item h="1" m="1" x="6890"/>
        <item h="1" m="1" x="6891"/>
        <item h="1" m="1" x="4194"/>
        <item h="1" m="1" x="6689"/>
        <item h="1" m="1" x="6893"/>
        <item h="1" m="1" x="6895"/>
        <item h="1" m="1" x="6896"/>
        <item h="1" m="1" x="6899"/>
        <item h="1" m="1" x="6902"/>
        <item h="1" m="1" x="6903"/>
        <item h="1" m="1" x="6904"/>
        <item h="1" m="1" x="6905"/>
        <item h="1" m="1" x="6908"/>
        <item h="1" m="1" x="5724"/>
        <item h="1" m="1" x="5727"/>
        <item h="1" m="1" x="6757"/>
        <item h="1" m="1" x="6739"/>
        <item h="1" m="1" x="6758"/>
        <item h="1" m="1" x="6918"/>
        <item h="1" m="1" x="6784"/>
        <item h="1" m="1" x="6699"/>
        <item h="1" m="1" x="6768"/>
        <item h="1" m="1" x="6785"/>
        <item h="1" m="1" x="6786"/>
        <item h="1" m="1" x="6787"/>
        <item h="1" m="1" x="6788"/>
        <item h="1" m="1" x="6630"/>
        <item h="1" m="1" x="6789"/>
        <item h="1" m="1" x="6629"/>
        <item h="1" m="1" x="6625"/>
        <item h="1" x="72"/>
        <item h="1" m="1" x="6612"/>
        <item h="1" m="1" x="6791"/>
        <item h="1" m="1" x="6792"/>
        <item h="1" m="1" x="6793"/>
        <item h="1" m="1" x="6033"/>
        <item h="1" m="1" x="6034"/>
        <item h="1" m="1" x="6035"/>
        <item h="1" m="1" x="6795"/>
        <item h="1" m="1" x="6797"/>
        <item h="1" m="1" x="6765"/>
        <item h="1" m="1" x="6648"/>
        <item h="1" m="1" x="6746"/>
        <item h="1" m="1" x="6549"/>
        <item h="1" m="1" x="6798"/>
        <item h="1" m="1" x="6799"/>
        <item h="1" m="1" x="6800"/>
        <item h="1" m="1" x="5955"/>
        <item h="1" m="1" x="6801"/>
        <item h="1" m="1" x="6802"/>
        <item h="1" m="1" x="6231"/>
        <item h="1" m="1" x="6803"/>
        <item h="1" m="1" x="6240"/>
        <item h="1" m="1" x="6239"/>
        <item h="1" m="1" x="6551"/>
        <item h="1" m="1" x="6032"/>
        <item h="1" m="1" x="6805"/>
        <item h="1" m="1" x="6806"/>
        <item h="1" m="1" x="6540"/>
        <item h="1" m="1" x="6541"/>
        <item h="1" m="1" x="6537"/>
        <item h="1" m="1" x="6702"/>
        <item h="1" m="1" x="4396"/>
        <item h="1" m="1" x="6701"/>
        <item h="1" m="1" x="6735"/>
        <item h="1" m="1" x="6809"/>
        <item h="1" m="1" x="6810"/>
        <item h="1" m="1" x="6811"/>
        <item h="1" m="1" x="6812"/>
        <item h="1" m="1" x="6813"/>
        <item h="1" m="1" x="6814"/>
        <item h="1" m="1" x="6815"/>
        <item h="1" m="1" x="6816"/>
        <item h="1" m="1" x="6680"/>
        <item h="1" m="1" x="6530"/>
        <item h="1" m="1" x="6631"/>
        <item h="1" m="1" x="6616"/>
        <item h="1" m="1" x="6615"/>
        <item h="1" m="1" x="6528"/>
        <item h="1" m="1" x="4365"/>
        <item h="1" m="1" x="6709"/>
        <item h="1" m="1" x="6299"/>
        <item h="1" m="1" x="6566"/>
        <item h="1" m="1" x="6568"/>
        <item h="1" m="1" x="6820"/>
        <item h="1" m="1" x="6674"/>
        <item h="1" m="1" x="6760"/>
        <item h="1" m="1" x="6560"/>
        <item h="1" m="1" x="5817"/>
        <item h="1" m="1" x="5818"/>
        <item h="1" m="1" x="6712"/>
        <item h="1" m="1" x="4738"/>
        <item h="1" m="1" x="6823"/>
        <item h="1" m="1" x="6824"/>
        <item h="1" m="1" x="6825"/>
        <item h="1" m="1" x="6826"/>
        <item h="1" m="1" x="6534"/>
        <item h="1" m="1" x="6580"/>
        <item h="1" m="1" x="6579"/>
        <item h="1" m="1" x="6578"/>
        <item h="1" m="1" x="6600"/>
        <item h="1" m="1" x="6828"/>
        <item h="1" m="1" x="6592"/>
        <item h="1" m="1" x="6725"/>
        <item h="1" m="1" x="6529"/>
        <item h="1" m="1" x="6172"/>
        <item h="1" m="1" x="6535"/>
        <item h="1" m="1" x="6536"/>
        <item h="1" m="1" x="6538"/>
        <item h="1" m="1" x="6542"/>
        <item h="1" m="1" x="6543"/>
        <item h="1" m="1" x="6544"/>
        <item h="1" m="1" x="6545"/>
        <item h="1" m="1" x="6546"/>
        <item h="1" m="1" x="6550"/>
        <item h="1" m="1" x="6552"/>
        <item h="1" m="1" x="6554"/>
        <item h="1" m="1" x="6555"/>
        <item h="1" m="1" x="6323"/>
        <item h="1" m="1" x="6556"/>
        <item h="1" m="1" x="6558"/>
        <item h="1" m="1" x="6559"/>
        <item h="1" m="1" x="5816"/>
        <item h="1" m="1" x="2474"/>
        <item h="1" m="1" x="6127"/>
        <item h="1" m="1" x="6562"/>
        <item h="1" m="1" x="6564"/>
        <item h="1" m="1" x="6219"/>
        <item h="1" m="1" x="5923"/>
        <item h="1" m="1" x="5725"/>
        <item h="1" m="1" x="5824"/>
        <item h="1" m="1" x="732"/>
        <item h="1" m="1" x="6238"/>
        <item h="1" m="1" x="6575"/>
        <item h="1" m="1" x="6577"/>
        <item h="1" m="1" x="6581"/>
        <item h="1" m="1" x="6583"/>
        <item h="1" m="1" x="6586"/>
        <item h="1" m="1" x="5924"/>
        <item h="1" m="1" x="6587"/>
        <item h="1" m="1" x="6254"/>
        <item h="1" m="1" x="6590"/>
        <item h="1" m="1" x="6591"/>
        <item h="1" m="1" x="6597"/>
        <item h="1" m="1" x="6599"/>
        <item h="1" m="1" x="6601"/>
        <item h="1" m="1" x="6031"/>
        <item h="1" m="1" x="6603"/>
        <item h="1" m="1" x="6604"/>
        <item h="1" m="1" x="6608"/>
        <item h="1" m="1" x="6613"/>
        <item h="1" m="1" x="6614"/>
        <item h="1" m="1" x="6146"/>
        <item h="1" m="1" x="6617"/>
        <item h="1" m="1" x="6619"/>
        <item h="1" m="1" x="6620"/>
        <item h="1" m="1" x="6621"/>
        <item h="1" m="1" x="6622"/>
        <item h="1" m="1" x="6623"/>
        <item h="1" m="1" x="6148"/>
        <item h="1" m="1" x="6626"/>
        <item h="1" m="1" x="6627"/>
        <item h="1" m="1" x="6634"/>
        <item h="1" m="1" x="6638"/>
        <item h="1" m="1" x="6645"/>
        <item h="1" m="1" x="6660"/>
        <item h="1" m="1" x="6662"/>
        <item h="1" m="1" x="6667"/>
        <item h="1" m="1" x="6688"/>
        <item h="1" m="1" x="6696"/>
        <item h="1" m="1" x="6698"/>
        <item h="1" m="1" x="6288"/>
        <item h="1" m="1" x="6755"/>
        <item h="1" m="1" x="6761"/>
        <item h="1" m="1" x="6762"/>
        <item h="1" m="1" x="6468"/>
        <item h="1" m="1" x="6372"/>
        <item h="1" m="1" x="6763"/>
        <item h="1" m="1" x="6764"/>
        <item h="1" m="1" x="6773"/>
        <item h="1" m="1" x="6777"/>
        <item h="1" m="1" x="4713"/>
        <item h="1" m="1" x="3719"/>
        <item h="1" m="1" x="6778"/>
        <item h="1" m="1" x="5912"/>
        <item h="1" m="1" x="5911"/>
        <item h="1" m="1" x="6302"/>
        <item h="1" m="1" x="6782"/>
        <item h="1" m="1" x="6783"/>
        <item h="1" m="1" x="5929"/>
        <item h="1" m="1" x="6432"/>
        <item h="1" m="1" x="6036"/>
        <item h="1" m="1" x="6305"/>
        <item h="1" m="1" x="6178"/>
        <item h="1" m="1" x="6179"/>
        <item h="1" m="1" x="6434"/>
        <item h="1" m="1" x="6316"/>
        <item h="1" m="1" x="6435"/>
        <item h="1" m="1" x="6308"/>
        <item h="1" m="1" x="6310"/>
        <item h="1" m="1" x="6312"/>
        <item h="1" m="1" x="6313"/>
        <item h="1" m="1" x="6436"/>
        <item h="1" m="1" x="6437"/>
        <item h="1" m="1" x="6197"/>
        <item h="1" m="1" x="5919"/>
        <item h="1" m="1" x="6115"/>
        <item h="1" m="1" x="6116"/>
        <item h="1" m="1" x="5918"/>
        <item h="1" m="1" x="1348"/>
        <item h="1" m="1" x="6320"/>
        <item h="1" m="1" x="5872"/>
        <item h="1" m="1" x="5928"/>
        <item h="1" m="1" x="5920"/>
        <item h="1" m="1" x="6118"/>
        <item h="1" m="1" x="5921"/>
        <item h="1" m="1" x="6202"/>
        <item h="1" m="1" x="6119"/>
        <item h="1" m="1" x="6439"/>
        <item h="1" m="1" x="6440"/>
        <item h="1" m="1" x="6210"/>
        <item h="1" m="1" x="6211"/>
        <item h="1" m="1" x="6212"/>
        <item h="1" m="1" x="6216"/>
        <item h="1" m="1" x="6328"/>
        <item h="1" m="1" x="5726"/>
        <item h="1" m="1" x="6222"/>
        <item h="1" m="1" x="6230"/>
        <item h="1" m="1" x="6441"/>
        <item h="1" m="1" x="4702"/>
        <item h="1" m="1" x="6442"/>
        <item h="1" m="1" x="6252"/>
        <item h="1" m="1" x="5936"/>
        <item h="1" m="1" x="6444"/>
        <item h="1" m="1" x="6256"/>
        <item h="1" m="1" x="2925"/>
        <item h="1" m="1" x="6340"/>
        <item h="1" m="1" x="6445"/>
        <item h="1" m="1" x="6141"/>
        <item h="1" m="1" x="6446"/>
        <item h="1" m="1" x="6143"/>
        <item h="1" m="1" x="6144"/>
        <item h="1" m="1" x="6447"/>
        <item h="1" m="1" x="6448"/>
        <item h="1" m="1" x="6449"/>
        <item h="1" m="1" x="6450"/>
        <item h="1" m="1" x="6451"/>
        <item h="1" m="1" x="6452"/>
        <item h="1" m="1" x="6453"/>
        <item h="1" m="1" x="6350"/>
        <item h="1" m="1" x="6349"/>
        <item h="1" m="1" x="5112"/>
        <item h="1" m="1" x="6348"/>
        <item h="1" m="1" x="6455"/>
        <item h="1" m="1" x="1231"/>
        <item h="1" m="1" x="6456"/>
        <item h="1" m="1" x="6457"/>
        <item h="1" m="1" x="6458"/>
        <item h="1" m="1" x="4341"/>
        <item h="1" m="1" x="4413"/>
        <item h="1" m="1" x="6460"/>
        <item h="1" m="1" x="6461"/>
        <item h="1" m="1" x="6462"/>
        <item h="1" m="1" x="5819"/>
        <item h="1" m="1" x="4375"/>
        <item h="1" m="1" x="6287"/>
        <item h="1" m="1" x="5581"/>
        <item h="1" m="1" x="6463"/>
        <item h="1" m="1" x="5820"/>
        <item h="1" m="1" x="6464"/>
        <item h="1" m="1" x="4390"/>
        <item h="1" m="1" x="6465"/>
        <item h="1" m="1" x="4392"/>
        <item h="1" m="1" x="6366"/>
        <item h="1" m="1" x="6367"/>
        <item h="1" m="1" x="6466"/>
        <item h="1" m="1" x="6467"/>
        <item h="1" m="1" x="5369"/>
        <item h="1" m="1" x="4423"/>
        <item h="1" m="1" x="5941"/>
        <item h="1" m="1" x="6469"/>
        <item h="1" m="1" x="6470"/>
        <item h="1" m="1" x="6471"/>
        <item h="1" m="1" x="6472"/>
        <item h="1" m="1" x="6473"/>
        <item h="1" m="1" x="6474"/>
        <item h="1" m="1" x="6475"/>
        <item h="1" m="1" x="6476"/>
        <item h="1" m="1" x="6415"/>
        <item h="1" m="1" x="6416"/>
        <item h="1" m="1" x="6417"/>
        <item h="1" m="1" x="6477"/>
        <item h="1" m="1" x="6478"/>
        <item h="1" m="1" x="6479"/>
        <item h="1" m="1" x="6480"/>
        <item h="1" m="1" x="6397"/>
        <item h="1" m="1" x="6398"/>
        <item h="1" m="1" x="6481"/>
        <item h="1" m="1" x="6482"/>
        <item h="1" m="1" x="6483"/>
        <item h="1" m="1" x="6484"/>
        <item h="1" m="1" x="6485"/>
        <item h="1" m="1" x="6486"/>
        <item h="1" m="1" x="6487"/>
        <item h="1" m="1" x="6420"/>
        <item h="1" m="1" x="6488"/>
        <item h="1" m="1" x="4919"/>
        <item h="1" m="1" x="6489"/>
        <item h="1" m="1" x="6490"/>
        <item h="1" m="1" x="6491"/>
        <item h="1" m="1" x="6492"/>
        <item h="1" m="1" x="6407"/>
        <item h="1" m="1" x="6493"/>
        <item h="1" m="1" x="6494"/>
        <item h="1" m="1" x="6495"/>
        <item h="1" m="1" x="6496"/>
        <item h="1" m="1" x="6497"/>
        <item h="1" m="1" x="6498"/>
        <item h="1" m="1" x="6499"/>
        <item h="1" m="1" x="6500"/>
        <item h="1" m="1" x="6418"/>
        <item h="1" m="1" x="6426"/>
        <item h="1" m="1" x="6501"/>
        <item h="1" m="1" x="6404"/>
        <item h="1" m="1" x="6406"/>
        <item h="1" m="1" x="6502"/>
        <item h="1" m="1" x="6408"/>
        <item h="1" m="1" x="6414"/>
        <item h="1" m="1" x="6503"/>
        <item h="1" m="1" x="6428"/>
        <item h="1" m="1" x="6379"/>
        <item h="1" m="1" x="6382"/>
        <item h="1" m="1" x="6383"/>
        <item h="1" m="1" x="6504"/>
        <item h="1" m="1" x="5089"/>
        <item h="1" m="1" x="6402"/>
        <item h="1" m="1" x="6403"/>
        <item h="1" m="1" x="6411"/>
        <item h="1" m="1" x="6405"/>
        <item h="1" m="1" x="6401"/>
        <item h="1" m="1" x="6505"/>
        <item h="1" m="1" x="6506"/>
        <item h="1" m="1" x="6507"/>
        <item h="1" m="1" x="6419"/>
        <item h="1" m="1" x="6508"/>
        <item h="1" m="1" x="6509"/>
        <item h="1" m="1" x="6399"/>
        <item h="1" m="1" x="6400"/>
        <item h="1" m="1" x="6396"/>
        <item h="1" m="1" x="6510"/>
        <item h="1" m="1" x="6511"/>
        <item h="1" m="1" x="6512"/>
        <item h="1" m="1" x="6513"/>
        <item h="1" m="1" x="5790"/>
        <item h="1" m="1" x="6514"/>
        <item h="1" m="1" x="6384"/>
        <item h="1" m="1" x="6386"/>
        <item h="1" m="1" x="6390"/>
        <item h="1" m="1" x="6389"/>
        <item h="1" m="1" x="6388"/>
        <item h="1" m="1" x="6387"/>
        <item h="1" m="1" x="6394"/>
        <item h="1" m="1" x="6425"/>
        <item h="1" m="1" x="5799"/>
        <item h="1" m="1" x="6516"/>
        <item h="1" m="1" x="6517"/>
        <item h="1" m="1" x="6518"/>
        <item h="1" m="1" x="6519"/>
        <item h="1" m="1" x="6520"/>
        <item h="1" m="1" x="6393"/>
        <item h="1" m="1" x="6421"/>
        <item h="1" m="1" x="6422"/>
        <item h="1" m="1" x="6423"/>
        <item h="1" m="1" x="6424"/>
        <item h="1" m="1" x="6410"/>
        <item h="1" m="1" x="6412"/>
        <item h="1" m="1" x="6413"/>
        <item h="1" m="1" x="6521"/>
        <item h="1" m="1" x="6522"/>
        <item h="1" m="1" x="6523"/>
        <item h="1" m="1" x="6524"/>
        <item h="1" m="1" x="6525"/>
        <item h="1" m="1" x="6526"/>
        <item h="1" m="1" x="6427"/>
        <item h="1" m="1" x="6409"/>
        <item h="1" m="1" x="6391"/>
        <item h="1" m="1" x="6385"/>
        <item h="1" m="1" x="6392"/>
        <item h="1" m="1" x="4455"/>
        <item h="1" m="1" x="6527"/>
        <item h="1" m="1" x="5672"/>
        <item h="1" m="1" x="6430"/>
        <item h="1" m="1" x="1726"/>
        <item h="1" m="1" x="6169"/>
        <item h="1" m="1" x="5461"/>
        <item h="1" m="1" x="6176"/>
        <item h="1" m="1" x="6037"/>
        <item h="1" m="1" x="6171"/>
        <item h="1" m="1" x="5930"/>
        <item h="1" m="1" x="6181"/>
        <item h="1" m="1" x="5728"/>
        <item h="1" m="1" x="6306"/>
        <item h="1" m="1" x="6307"/>
        <item h="1" m="1" x="6314"/>
        <item h="1" m="1" x="6315"/>
        <item h="1" m="1" x="6190"/>
        <item h="1" m="1" x="6187"/>
        <item h="1" m="1" x="6188"/>
        <item h="1" m="1" x="6189"/>
        <item h="1" m="1" x="6184"/>
        <item h="1" m="1" x="6193"/>
        <item h="1" m="1" x="5964"/>
        <item h="1" m="1" x="6317"/>
        <item h="1" m="1" x="6196"/>
        <item h="1" m="1" x="5045"/>
        <item h="1" m="1" x="6319"/>
        <item h="1" m="1" x="6198"/>
        <item h="1" m="1" x="6321"/>
        <item h="1" m="1" x="6322"/>
        <item h="1" m="1" x="3220"/>
        <item h="1" m="1" x="5933"/>
        <item h="1" m="1" x="6204"/>
        <item h="1" m="1" x="6038"/>
        <item h="1" m="1" x="6205"/>
        <item h="1" m="1" x="6122"/>
        <item h="1" m="1" x="6324"/>
        <item h="1" m="1" x="6235"/>
        <item h="1" m="1" x="6236"/>
        <item h="1" m="1" x="6130"/>
        <item h="1" m="1" x="6325"/>
        <item h="1" m="1" x="6327"/>
        <item h="1" m="1" x="6330"/>
        <item h="1" m="1" x="5821"/>
        <item h="1" m="1" x="6224"/>
        <item h="1" m="1" x="6225"/>
        <item h="1" m="1" x="6227"/>
        <item h="1" m="1" x="6228"/>
        <item h="1" m="1" x="6229"/>
        <item h="1" m="1" x="5935"/>
        <item h="1" m="1" x="6209"/>
        <item h="1" m="1" x="6242"/>
        <item h="1" m="1" x="6332"/>
        <item h="1" m="1" x="6333"/>
        <item h="1" m="1" x="6334"/>
        <item h="1" m="1" x="5584"/>
        <item h="1" m="1" x="6335"/>
        <item h="1" m="1" x="6243"/>
        <item h="1" m="1" x="6336"/>
        <item h="1" m="1" x="6244"/>
        <item h="1" m="1" x="6137"/>
        <item h="1" m="1" x="6253"/>
        <item h="1" m="1" x="4506"/>
        <item h="1" m="1" x="6338"/>
        <item h="1" m="1" x="6245"/>
        <item h="1" m="1" x="6339"/>
        <item h="1" m="1" x="6259"/>
        <item h="1" m="1" x="6258"/>
        <item h="1" m="1" x="6257"/>
        <item h="1" m="1" x="6341"/>
        <item h="1" m="1" x="6342"/>
        <item h="1" m="1" x="4324"/>
        <item h="1" m="1" x="6039"/>
        <item h="1" m="1" x="6343"/>
        <item h="1" m="1" x="6344"/>
        <item h="1" m="1" x="6142"/>
        <item h="1" m="1" x="5733"/>
        <item h="1" m="1" x="6145"/>
        <item h="1" m="1" x="6264"/>
        <item h="1" m="1" x="6265"/>
        <item h="1" m="1" x="6266"/>
        <item h="1" m="1" x="5937"/>
        <item h="1" m="1" x="6346"/>
        <item h="1" m="1" x="6347"/>
        <item h="1" m="1" x="6273"/>
        <item h="1" m="1" x="6272"/>
        <item h="1" m="1" x="4999"/>
        <item h="1" m="1" x="4921"/>
        <item h="1" m="1" x="6351"/>
        <item h="1" m="1" x="4346"/>
        <item h="1" m="1" x="4345"/>
        <item h="1" m="1" x="4343"/>
        <item h="1" m="1" x="5822"/>
        <item h="1" m="1" x="6352"/>
        <item h="1" m="1" x="6353"/>
        <item h="1" m="1" x="6354"/>
        <item h="1" m="1" x="6040"/>
        <item h="1" m="1" x="5586"/>
        <item h="1" m="1" x="6282"/>
        <item h="1" m="1" x="6355"/>
        <item h="1" m="1" x="6356"/>
        <item h="1" m="1" x="5940"/>
        <item h="1" m="1" x="6357"/>
        <item h="1" m="1" x="6358"/>
        <item h="1" m="1" x="4380"/>
        <item h="1" m="1" x="6043"/>
        <item h="1" m="1" x="6044"/>
        <item h="1" m="1" x="6161"/>
        <item h="1" m="1" x="5368"/>
        <item h="1" m="1" x="4360"/>
        <item h="1" m="1" x="4356"/>
        <item h="1" m="1" x="4357"/>
        <item h="1" m="1" x="6041"/>
        <item h="1" m="1" x="5587"/>
        <item h="1" m="1" x="5585"/>
        <item h="1" m="1" x="6359"/>
        <item h="1" m="1" x="6152"/>
        <item h="1" m="1" x="6360"/>
        <item h="1" m="1" x="6042"/>
        <item h="1" m="1" x="5588"/>
        <item h="1" m="1" x="6361"/>
        <item h="1" m="1" x="6362"/>
        <item h="1" m="1" x="6363"/>
        <item h="1" x="69"/>
        <item h="1" m="1" x="4394"/>
        <item h="1" m="1" x="4401"/>
        <item h="1" m="1" x="4370"/>
        <item h="1" m="1" x="6364"/>
        <item h="1" m="1" x="6365"/>
        <item h="1" m="1" x="4729"/>
        <item h="1" m="1" x="6368"/>
        <item h="1" m="1" x="4428"/>
        <item h="1" m="1" x="4427"/>
        <item h="1" m="1" x="4431"/>
        <item h="1" m="1" x="6369"/>
        <item h="1" m="1" x="6370"/>
        <item h="1" m="1" x="2922"/>
        <item h="1" m="1" x="6371"/>
        <item h="1" m="1" x="6373"/>
        <item h="1" m="1" x="6374"/>
        <item h="1" m="1" x="6375"/>
        <item h="1" m="1" x="6376"/>
        <item h="1" m="1" x="6377"/>
        <item h="1" m="1" x="6378"/>
        <item h="1" m="1" x="4923"/>
        <item h="1" m="1" x="6297"/>
        <item h="1" m="1" x="6429"/>
        <item h="1" m="1" x="6300"/>
        <item h="1" m="1" x="6301"/>
        <item h="1" m="1" x="6045"/>
        <item h="1" m="1" x="6431"/>
        <item h="1" m="1" x="6170"/>
        <item h="1" m="1" x="5470"/>
        <item h="1" m="1" x="6177"/>
        <item h="1" m="1" x="6180"/>
        <item h="1" m="1" x="6182"/>
        <item h="1" m="1" x="6183"/>
        <item h="1" m="1" x="6185"/>
        <item h="1" m="1" x="5729"/>
        <item h="1" m="1" x="6191"/>
        <item h="1" m="1" x="6113"/>
        <item h="1" m="1" x="6192"/>
        <item h="1" m="1" x="5931"/>
        <item h="1" m="1" x="6047"/>
        <item h="1" m="1" x="6199"/>
        <item h="1" m="1" x="5831"/>
        <item h="1" m="1" x="6200"/>
        <item h="1" m="1" x="6203"/>
        <item h="1" m="1" x="6123"/>
        <item h="1" m="1" x="6131"/>
        <item h="1" m="1" x="6213"/>
        <item h="1" m="1" x="6214"/>
        <item h="1" m="1" x="6215"/>
        <item h="1" m="1" x="5367"/>
        <item h="1" m="1" x="5731"/>
        <item h="1" m="1" x="6221"/>
        <item h="1" m="1" x="5934"/>
        <item h="1" m="1" x="6223"/>
        <item h="1" m="1" x="5730"/>
        <item h="1" m="1" x="6226"/>
        <item h="1" m="1" x="6241"/>
        <item h="1" x="241"/>
        <item h="1" m="1" x="6246"/>
        <item h="1" m="1" x="6247"/>
        <item h="1" m="1" x="6248"/>
        <item h="1" m="1" x="6249"/>
        <item h="1" m="1" x="6250"/>
        <item h="1" m="1" x="6251"/>
        <item h="1" x="132"/>
        <item h="1" m="1" x="5732"/>
        <item h="1" m="1" x="6255"/>
        <item h="1" m="1" x="6260"/>
        <item h="1" m="1" x="6261"/>
        <item h="1" m="1" x="5975"/>
        <item h="1" m="1" x="6262"/>
        <item h="1" m="1" x="6263"/>
        <item h="1" m="1" x="5938"/>
        <item h="1" m="1" x="6267"/>
        <item h="1" m="1" x="6268"/>
        <item h="1" m="1" x="6269"/>
        <item h="1" m="1" x="6270"/>
        <item h="1" m="1" x="5000"/>
        <item h="1" m="1" x="6271"/>
        <item h="1" m="1" x="6147"/>
        <item h="1" m="1" x="6149"/>
        <item h="1" m="1" x="4920"/>
        <item h="1" m="1" x="6274"/>
        <item h="1" m="1" x="6275"/>
        <item h="1" m="1" x="1450"/>
        <item h="1" m="1" x="6277"/>
        <item h="1" m="1" x="5673"/>
        <item h="1" m="1" x="6278"/>
        <item h="1" m="1" x="6279"/>
        <item h="1" m="1" x="6280"/>
        <item h="1" m="1" x="6281"/>
        <item h="1" m="1" x="6077"/>
        <item h="1" m="1" x="4383"/>
        <item h="1" m="1" x="3073"/>
        <item h="1" m="1" x="6283"/>
        <item h="1" m="1" x="6284"/>
        <item h="1" m="1" x="6285"/>
        <item h="1" m="1" x="6286"/>
        <item h="1" m="1" x="6155"/>
        <item h="1" m="1" x="4416"/>
        <item h="1" m="1" x="4922"/>
        <item h="1" m="1" x="2716"/>
        <item h="1" m="1" x="5736"/>
        <item h="1" m="1" x="5370"/>
        <item h="1" m="1" x="6289"/>
        <item h="1" m="1" x="6290"/>
        <item h="1" m="1" x="5590"/>
        <item h="1" m="1" x="5737"/>
        <item h="1" m="1" x="6292"/>
        <item h="1" m="1" x="4446"/>
        <item h="1" m="1" x="6293"/>
        <item h="1" m="1" x="6294"/>
        <item h="1" m="1" x="6295"/>
        <item h="1" m="1" x="4925"/>
        <item h="1" m="1" x="4924"/>
        <item h="1" m="1" x="4926"/>
        <item h="1" m="1" x="6080"/>
        <item h="1" m="1" x="6298"/>
        <item h="1" m="1" x="6046"/>
        <item h="1" m="1" x="6108"/>
        <item h="1" m="1" x="6110"/>
        <item h="1" m="1" x="5768"/>
        <item h="1" m="1" x="6111"/>
        <item h="1" m="1" x="6117"/>
        <item h="1" m="1" x="5830"/>
        <item h="1" m="1" x="5956"/>
        <item h="1" m="1" x="6050"/>
        <item h="1" m="1" x="6121"/>
        <item h="1" m="1" x="4829"/>
        <item h="1" m="1" x="6129"/>
        <item h="1" m="1" x="6052"/>
        <item h="1" m="1" x="6053"/>
        <item h="1" m="1" x="6132"/>
        <item h="1" m="1" x="2987"/>
        <item h="1" m="1" x="6133"/>
        <item h="1" m="1" x="6134"/>
        <item h="1" m="1" x="4703"/>
        <item h="1" m="1" x="2283"/>
        <item h="1" m="1" x="5957"/>
        <item h="1" m="1" x="6135"/>
        <item h="1" m="1" x="6061"/>
        <item h="1" m="1" x="6066"/>
        <item h="1" m="1" x="5966"/>
        <item h="1" m="1" x="5322"/>
        <item h="1" m="1" x="5969"/>
        <item h="1" m="1" x="5840"/>
        <item h="1" m="1" x="5971"/>
        <item h="1" m="1" x="5972"/>
        <item h="1" m="1" x="5841"/>
        <item h="1" m="1" x="5839"/>
        <item h="1" m="1" x="6138"/>
        <item h="1" m="1" x="6067"/>
        <item h="1" m="1" x="6140"/>
        <item h="1" m="1" x="5002"/>
        <item h="1" m="1" x="5160"/>
        <item h="1" m="1" x="5675"/>
        <item h="1" m="1" x="5159"/>
        <item h="1" m="1" x="5161"/>
        <item h="1" m="1" x="6150"/>
        <item h="1" m="1" x="6151"/>
        <item h="1" m="1" x="5375"/>
        <item h="1" m="1" x="5379"/>
        <item h="1" m="1" x="6154"/>
        <item h="1" m="1" x="4379"/>
        <item h="1" m="1" x="4371"/>
        <item h="1" m="1" x="6156"/>
        <item h="1" m="1" x="6157"/>
        <item h="1" m="1" x="4730"/>
        <item h="1" m="1" x="6158"/>
        <item h="1" m="1" x="6159"/>
        <item h="1" m="1" x="6160"/>
        <item h="1" m="1" x="4403"/>
        <item h="1" m="1" x="4404"/>
        <item h="1" m="1" x="4402"/>
        <item h="1" m="1" x="6074"/>
        <item h="1" m="1" x="6076"/>
        <item h="1" m="1" x="6075"/>
        <item h="1" m="1" x="723"/>
        <item h="1" m="1" x="6162"/>
        <item h="1" m="1" x="4438"/>
        <item h="1" m="1" x="6163"/>
        <item h="1" m="1" x="6164"/>
        <item h="1" m="1" x="5382"/>
        <item h="1" m="1" x="5383"/>
        <item h="1" m="1" x="4447"/>
        <item h="1" m="1" x="6081"/>
        <item h="1" m="1" x="6165"/>
        <item h="1" m="1" x="6166"/>
        <item h="1" m="1" x="4458"/>
        <item h="1" m="1" x="6167"/>
        <item h="1" m="1" x="2520"/>
        <item h="1" m="1" x="4448"/>
        <item h="1" m="1" x="5943"/>
        <item h="1" m="1" x="5738"/>
        <item h="1" m="1" x="6048"/>
        <item h="1" m="1" x="6049"/>
        <item h="1" m="1" x="5952"/>
        <item h="1" m="1" x="6051"/>
        <item h="1" m="1" x="6055"/>
        <item h="1" m="1" x="5965"/>
        <item h="1" m="1" x="5959"/>
        <item h="1" m="1" x="5742"/>
        <item h="1" x="276"/>
        <item h="1" m="1" x="5961"/>
        <item h="1" m="1" x="5962"/>
        <item h="1" m="1" x="5963"/>
        <item h="1" m="1" x="6059"/>
        <item h="1" m="1" x="6060"/>
        <item h="1" m="1" x="6063"/>
        <item h="1" m="1" x="6064"/>
        <item h="1" m="1" x="6065"/>
        <item h="1" m="1" x="5842"/>
        <item h="1" m="1" x="6068"/>
        <item h="1" m="1" x="6069"/>
        <item h="1" m="1" x="6070"/>
        <item h="1" m="1" x="6071"/>
        <item h="1" m="1" x="6072"/>
        <item h="1" m="1" x="6073"/>
        <item h="1" m="1" x="5457"/>
        <item h="1" m="1" x="6078"/>
        <item h="1" m="1" x="5981"/>
        <item h="1" m="1" x="5982"/>
        <item h="1" m="1" x="3833"/>
        <item h="1" m="1" x="6079"/>
        <item h="1" m="1" x="6082"/>
        <item h="1" m="1" x="5123"/>
        <item h="1" m="1" x="6083"/>
        <item h="1" m="1" x="6084"/>
        <item h="1" m="1" x="5680"/>
        <item h="1" m="1" x="5948"/>
        <item h="1" m="1" x="5944"/>
        <item h="1" m="1" x="5946"/>
        <item h="1" m="1" x="5947"/>
        <item h="1" m="1" x="5832"/>
        <item h="1" m="1" x="6085"/>
        <item h="1" m="1" x="5827"/>
        <item h="1" m="1" x="6086"/>
        <item h="1" m="1" x="6087"/>
        <item h="1" m="1" x="5960"/>
        <item h="1" m="1" x="6088"/>
        <item h="1" m="1" x="6089"/>
        <item h="1" m="1" x="6090"/>
        <item h="1" m="1" x="5970"/>
        <item h="1" m="1" x="5968"/>
        <item h="1" m="1" x="5967"/>
        <item h="1" m="1" x="6091"/>
        <item h="1" m="1" x="6092"/>
        <item h="1" m="1" x="6093"/>
        <item h="1" m="1" x="5974"/>
        <item h="1" m="1" x="5001"/>
        <item h="1" m="1" x="6094"/>
        <item h="1" m="1" x="6095"/>
        <item h="1" m="1" x="6096"/>
        <item h="1" m="1" x="6097"/>
        <item h="1" m="1" x="6098"/>
        <item h="1" m="1" x="6100"/>
        <item h="1" m="1" x="6101"/>
        <item h="1" m="1" x="6102"/>
        <item h="1" m="1" x="6103"/>
        <item h="1" m="1" x="4366"/>
        <item h="1" m="1" x="4429"/>
        <item h="1" m="1" x="2906"/>
        <item h="1" m="1" x="4937"/>
        <item h="1" m="1" x="4938"/>
        <item h="1" m="1" x="6105"/>
        <item h="1" m="1" x="4454"/>
        <item h="1" m="1" x="6106"/>
        <item h="1" m="1" x="5828"/>
        <item h="1" m="1" x="5949"/>
        <item h="1" m="1" x="5950"/>
        <item h="1" m="1" x="5168"/>
        <item h="1" m="1" x="5953"/>
        <item h="1" m="1" x="5954"/>
        <item h="1" m="1" x="5958"/>
        <item h="1" m="1" x="5836"/>
        <item h="1" m="1" x="5750"/>
        <item h="1" m="1" x="5973"/>
        <item h="1" m="1" x="5976"/>
        <item h="1" m="1" x="5977"/>
        <item h="1" m="1" x="4418"/>
        <item h="1" m="1" x="5978"/>
        <item h="1" m="1" x="5979"/>
        <item h="1" m="1" x="5006"/>
        <item h="1" m="1" x="5980"/>
        <item h="1" m="1" x="5846"/>
        <item h="1" m="1" x="5984"/>
        <item h="1" m="1" x="5985"/>
        <item h="1" m="1" x="5986"/>
        <item h="1" m="1" x="5987"/>
        <item h="1" m="1" x="5988"/>
        <item h="1" m="1" x="5990"/>
        <item h="1" m="1" x="5823"/>
        <item h="1" m="1" x="5991"/>
        <item h="1" m="1" x="5992"/>
        <item h="1" m="1" x="5993"/>
        <item h="1" m="1" x="5994"/>
        <item h="1" m="1" x="3867"/>
        <item h="1" m="1" x="2380"/>
        <item h="1" m="1" x="5996"/>
        <item h="1" m="1" x="5997"/>
        <item h="1" m="1" x="6000"/>
        <item h="1" m="1" x="3443"/>
        <item h="1" m="1" x="6001"/>
        <item h="1" m="1" x="6002"/>
        <item h="1" m="1" x="6003"/>
        <item h="1" m="1" x="5746"/>
        <item h="1" m="1" x="5747"/>
        <item h="1" m="1" x="5835"/>
        <item h="1" m="1" x="6004"/>
        <item h="1" m="1" x="6005"/>
        <item h="1" m="1" x="6006"/>
        <item h="1" m="1" x="6007"/>
        <item h="1" m="1" x="6008"/>
        <item h="1" m="1" x="6009"/>
        <item h="1" m="1" x="6010"/>
        <item h="1" m="1" x="6011"/>
        <item h="1" m="1" x="6012"/>
        <item h="1" m="1" x="5843"/>
        <item h="1" m="1" x="6013"/>
        <item h="1" m="1" x="6014"/>
        <item h="1" m="1" x="6015"/>
        <item h="1" m="1" x="6016"/>
        <item h="1" m="1" x="6017"/>
        <item h="1" m="1" x="6018"/>
        <item h="1" m="1" x="6019"/>
        <item h="1" m="1" x="6020"/>
        <item h="1" m="1" x="6021"/>
        <item h="1" m="1" x="6022"/>
        <item h="1" m="1" x="5007"/>
        <item h="1" m="1" x="6023"/>
        <item h="1" m="1" x="6024"/>
        <item h="1" m="1" x="4939"/>
        <item h="1" m="1" x="6025"/>
        <item h="1" m="1" x="6026"/>
        <item h="1" m="1" x="6028"/>
        <item h="1" m="1" x="4224"/>
        <item h="1" m="1" x="5815"/>
        <item h="1" m="1" x="5734"/>
        <item h="1" m="1" x="5825"/>
        <item h="1" m="1" x="5833"/>
        <item h="1" m="1" x="5446"/>
        <item h="1" m="1" x="5740"/>
        <item h="1" m="1" x="5745"/>
        <item h="1" m="1" x="3522"/>
        <item h="1" m="1" x="5838"/>
        <item h="1" m="1" x="5004"/>
        <item h="1" m="1" x="5592"/>
        <item h="1" m="1" x="4347"/>
        <item h="1" m="1" x="4342"/>
        <item h="1" m="1" x="4348"/>
        <item h="1" m="1" x="4352"/>
        <item h="1" m="1" x="4405"/>
        <item h="1" m="1" x="4395"/>
        <item h="1" m="1" x="4393"/>
        <item h="1" m="1" x="4387"/>
        <item h="1" m="1" x="4386"/>
        <item h="1" m="1" x="5593"/>
        <item h="1" m="1" x="5455"/>
        <item h="1" m="1" x="4415"/>
        <item h="1" m="1" x="4412"/>
        <item h="1" m="1" x="5755"/>
        <item h="1" m="1" x="5595"/>
        <item h="1" m="1" x="4354"/>
        <item h="1" m="1" x="4363"/>
        <item h="1" m="1" x="4364"/>
        <item h="1" m="1" x="4382"/>
        <item h="1" m="1" x="4381"/>
        <item h="1" m="1" x="4368"/>
        <item h="1" m="1" x="5594"/>
        <item h="1" m="1" x="4384"/>
        <item h="1" m="1" x="4353"/>
        <item h="1" m="1" x="5376"/>
        <item h="1" m="1" x="5377"/>
        <item h="1" m="1" x="4355"/>
        <item h="1" m="1" x="4421"/>
        <item h="1" m="1" x="4426"/>
        <item h="1" m="1" x="3903"/>
        <item h="1" m="1" x="5380"/>
        <item h="1" m="1" x="4430"/>
        <item h="1" m="1" x="5844"/>
        <item h="1" m="1" x="5085"/>
        <item h="1" m="1" x="5845"/>
        <item h="1" m="1" x="5597"/>
        <item h="1" m="1" x="4439"/>
        <item h="1" m="1" x="4449"/>
        <item h="1" m="1" x="4457"/>
        <item h="1" m="1" x="5759"/>
        <item h="1" m="1" x="5763"/>
        <item h="1" m="1" x="5847"/>
        <item h="1" m="1" x="5848"/>
        <item h="1" m="1" x="5849"/>
        <item h="1" m="1" x="5853"/>
        <item h="1" m="1" x="5854"/>
        <item h="1" m="1" x="5855"/>
        <item h="1" m="1" x="5856"/>
        <item h="1" m="1" x="5857"/>
        <item h="1" m="1" x="5858"/>
        <item h="1" m="1" x="5739"/>
        <item h="1" m="1" x="5861"/>
        <item h="1" m="1" x="5862"/>
        <item h="1" m="1" x="5863"/>
        <item h="1" m="1" x="5864"/>
        <item h="1" m="1" x="5865"/>
        <item h="1" m="1" x="5867"/>
        <item h="1" m="1" x="5868"/>
        <item h="1" m="1" x="5869"/>
        <item h="1" m="1" x="5871"/>
        <item h="1" m="1" x="1134"/>
        <item h="1" m="1" x="5873"/>
        <item h="1" m="1" x="5874"/>
        <item h="1" m="1" x="5741"/>
        <item h="1" m="1" x="5876"/>
        <item h="1" m="1" x="852"/>
        <item h="1" m="1" x="5748"/>
        <item h="1" m="1" x="5877"/>
        <item h="1" m="1" x="5878"/>
        <item h="1" m="1" x="5749"/>
        <item h="1" m="1" x="5879"/>
        <item h="1" m="1" x="758"/>
        <item h="1" m="1" x="5880"/>
        <item h="1" m="1" x="5881"/>
        <item h="1" m="1" x="5882"/>
        <item h="1" m="1" x="5883"/>
        <item h="1" m="1" x="749"/>
        <item h="1" m="1" x="5884"/>
        <item h="1" m="1" x="5885"/>
        <item h="1" m="1" x="5886"/>
        <item h="1" m="1" x="5214"/>
        <item h="1" m="1" x="5752"/>
        <item h="1" m="1" x="5751"/>
        <item h="1" m="1" x="4927"/>
        <item h="1" m="1" x="5887"/>
        <item h="1" m="1" x="5888"/>
        <item h="1" m="1" x="5889"/>
        <item h="1" m="1" x="4369"/>
        <item h="1" m="1" x="4374"/>
        <item h="1" m="1" x="5890"/>
        <item h="1" m="1" x="5891"/>
        <item h="1" m="1" x="4361"/>
        <item h="1" m="1" x="4378"/>
        <item h="1" m="1" x="5892"/>
        <item h="1" m="1" x="5893"/>
        <item h="1" m="1" x="5596"/>
        <item h="1" m="1" x="4407"/>
        <item h="1" m="1" x="5215"/>
        <item h="1" m="1" x="5894"/>
        <item h="1" m="1" x="5895"/>
        <item h="1" m="1" x="5896"/>
        <item h="1" m="1" x="5753"/>
        <item h="1" m="1" x="5897"/>
        <item h="1" m="1" x="5898"/>
        <item h="1" m="1" x="5378"/>
        <item h="1" m="1" x="5899"/>
        <item h="1" m="1" x="4362"/>
        <item h="1" m="1" x="5900"/>
        <item h="1" m="1" x="5901"/>
        <item h="1" m="1" x="5902"/>
        <item h="1" m="1" x="5381"/>
        <item h="1" m="1" x="5903"/>
        <item h="1" m="1" x="5904"/>
        <item h="1" m="1" x="5905"/>
        <item h="1" m="1" x="5458"/>
        <item h="1" m="1" x="3143"/>
        <item h="1" m="1" x="5906"/>
        <item h="1" m="1" x="5907"/>
        <item h="1" m="1" x="2926"/>
        <item h="1" m="1" x="5757"/>
        <item h="1" m="1" x="5758"/>
        <item h="1" m="1" x="5908"/>
        <item h="1" m="1" x="2720"/>
        <item h="1" m="1" x="5909"/>
        <item h="1" m="1" x="5910"/>
        <item h="1" m="1" x="5761"/>
        <item h="1" m="1" x="5762"/>
        <item h="1" m="1" x="1488"/>
        <item h="1" m="1" x="4998"/>
        <item h="1" m="1" x="5157"/>
        <item h="1" m="1" x="5754"/>
        <item h="1" m="1" x="5764"/>
        <item h="1" m="1" x="5766"/>
        <item h="1" m="1" x="5767"/>
        <item h="1" m="1" x="2948"/>
        <item h="1" m="1" x="5769"/>
        <item h="1" m="1" x="5770"/>
        <item h="1" m="1" x="5772"/>
        <item h="1" m="1" x="5773"/>
        <item h="1" m="1" x="2301"/>
        <item h="1" m="1" x="5775"/>
        <item h="1" m="1" x="5776"/>
        <item h="1" m="1" x="5777"/>
        <item h="1" m="1" x="5778"/>
        <item h="1" m="1" x="5779"/>
        <item h="1" m="1" x="5780"/>
        <item h="1" m="1" x="5781"/>
        <item h="1" m="1" x="5374"/>
        <item h="1" m="1" x="5782"/>
        <item h="1" m="1" x="5783"/>
        <item h="1" m="1" x="5784"/>
        <item h="1" m="1" x="5785"/>
        <item h="1" m="1" x="5786"/>
        <item h="1" m="1" x="5787"/>
        <item h="1" m="1" x="5788"/>
        <item h="1" m="1" x="5789"/>
        <item h="1" m="1" x="5791"/>
        <item h="1" m="1" x="5650"/>
        <item h="1" m="1" x="5792"/>
        <item h="1" m="1" x="4932"/>
        <item h="1" m="1" x="5793"/>
        <item h="1" m="1" x="5794"/>
        <item h="1" m="1" x="5796"/>
        <item h="1" m="1" x="4398"/>
        <item h="1" m="1" x="5797"/>
        <item h="1" m="1" x="5798"/>
        <item h="1" m="1" x="5800"/>
        <item h="1" m="1" x="5676"/>
        <item h="1" m="1" x="5678"/>
        <item h="1" m="1" x="5801"/>
        <item h="1" m="1" x="5802"/>
        <item h="1" m="1" x="4432"/>
        <item h="1" m="1" x="4434"/>
        <item h="1" m="1" x="511"/>
        <item h="1" m="1" x="5805"/>
        <item h="1" m="1" x="5806"/>
        <item h="1" m="1" x="5807"/>
        <item h="1" m="1" x="5808"/>
        <item h="1" m="1" x="5809"/>
        <item h="1" m="1" x="4934"/>
        <item h="1" m="1" x="5810"/>
        <item h="1" m="1" x="5679"/>
        <item h="1" m="1" x="5811"/>
        <item h="1" m="1" x="5812"/>
        <item h="1" m="1" x="5813"/>
        <item h="1" m="1" x="5580"/>
        <item h="1" m="1" x="5671"/>
        <item h="1" m="1" x="5583"/>
        <item h="1" m="1" x="5674"/>
        <item h="1" m="1" x="4329"/>
        <item h="1" m="1" x="4328"/>
        <item h="1" m="1" x="4330"/>
        <item h="1" m="1" x="3728"/>
        <item h="1" m="1" x="4930"/>
        <item h="1" m="1" x="4414"/>
        <item h="1" m="1" x="5677"/>
        <item h="1" m="1" x="5598"/>
        <item h="1" m="1" x="5599"/>
        <item h="1" m="1" x="5600"/>
        <item h="1" m="1" x="5681"/>
        <item h="1" m="1" x="3883"/>
        <item h="1" m="1" x="5603"/>
        <item h="1" m="1" x="5604"/>
        <item h="1" m="1" x="5230"/>
        <item h="1" m="1" x="5466"/>
        <item h="1" m="1" x="5467"/>
        <item h="1" m="1" x="5468"/>
        <item h="1" m="1" x="5325"/>
        <item h="1" m="1" x="5682"/>
        <item h="1" m="1" x="5158"/>
        <item h="1" m="1" x="5441"/>
        <item h="1" m="1" x="5683"/>
        <item h="1" m="1" x="5442"/>
        <item h="1" m="1" x="5684"/>
        <item h="1" m="1" x="5372"/>
        <item h="1" m="1" x="5371"/>
        <item h="1" m="1" x="5476"/>
        <item h="1" m="1" x="5443"/>
        <item h="1" m="1" x="5591"/>
        <item h="1" m="1" x="5488"/>
        <item h="1" m="1" x="5686"/>
        <item h="1" m="1" x="5373"/>
        <item h="1" m="1" x="5687"/>
        <item h="1" m="1" x="5609"/>
        <item h="1" m="1" x="5614"/>
        <item h="1" m="1" x="5448"/>
        <item h="1" m="1" x="1217"/>
        <item h="1" m="1" x="5445"/>
        <item h="1" m="1" x="5444"/>
        <item h="1" m="1" x="5480"/>
        <item h="1" m="1" x="5450"/>
        <item h="1" m="1" x="1190"/>
        <item h="1" m="1" x="5447"/>
        <item h="1" m="1" x="5451"/>
        <item h="1" m="1" x="5689"/>
        <item h="1" m="1" x="5690"/>
        <item h="1" m="1" x="5452"/>
        <item h="1" m="1" x="5615"/>
        <item h="1" m="1" x="5616"/>
        <item h="1" m="1" x="5617"/>
        <item h="1" m="1" x="5502"/>
        <item h="1" m="1" x="5504"/>
        <item h="1" m="1" x="5691"/>
        <item h="1" m="1" x="5630"/>
        <item h="1" m="1" x="4020"/>
        <item h="1" m="1" x="5692"/>
        <item h="1" m="1" x="5693"/>
        <item h="1" m="1" x="5629"/>
        <item h="1" m="1" x="3914"/>
        <item h="1" m="1" x="5514"/>
        <item h="1" m="1" x="5519"/>
        <item h="1" m="1" x="5453"/>
        <item h="1" m="1" x="5522"/>
        <item h="1" m="1" x="5534"/>
        <item h="1" m="1" x="5535"/>
        <item h="1" m="1" x="5694"/>
        <item h="1" m="1" x="5454"/>
        <item h="1" m="1" x="5646"/>
        <item h="1" m="1" x="4740"/>
        <item h="1" m="1" x="5542"/>
        <item h="1" m="1" x="5697"/>
        <item h="1" m="1" x="5698"/>
        <item h="1" m="1" x="4322"/>
        <item h="1" m="1" x="4323"/>
        <item h="1" m="1" x="5699"/>
        <item h="1" m="1" x="5701"/>
        <item h="1" m="1" x="5702"/>
        <item h="1" m="1" x="5703"/>
        <item h="1" m="1" x="5704"/>
        <item h="1" m="1" x="1556"/>
        <item h="1" m="1" x="5705"/>
        <item h="1" m="1" x="5003"/>
        <item h="1" m="1" x="5005"/>
        <item h="1" m="1" x="4647"/>
        <item h="1" m="1" x="5706"/>
        <item h="1" m="1" x="5707"/>
        <item h="1" m="1" x="5708"/>
        <item h="1" m="1" x="5709"/>
        <item h="1" m="1" x="5659"/>
        <item h="1" m="1" x="5710"/>
        <item h="1" m="1" x="4928"/>
        <item h="1" m="1" x="5711"/>
        <item h="1" m="1" x="4931"/>
        <item h="1" m="1" x="4929"/>
        <item h="1" m="1" x="1811"/>
        <item h="1" m="1" x="5712"/>
        <item h="1" m="1" x="5713"/>
        <item h="1" m="1" x="5714"/>
        <item h="1" m="1" x="5715"/>
        <item h="1" m="1" x="5716"/>
        <item h="1" m="1" x="5717"/>
        <item h="1" m="1" x="5574"/>
        <item h="1" m="1" x="5575"/>
        <item h="1" m="1" x="4435"/>
        <item h="1" m="1" x="2035"/>
        <item h="1" m="1" x="5008"/>
        <item h="1" m="1" x="4941"/>
        <item h="1" m="1" x="4935"/>
        <item h="1" m="1" x="4936"/>
        <item h="1" m="1" x="5718"/>
        <item h="1" m="1" x="4933"/>
        <item h="1" m="1" x="5719"/>
        <item h="1" m="1" x="5720"/>
        <item h="1" m="1" x="5721"/>
        <item h="1" m="1" x="4467"/>
        <item h="1" m="1" x="5668"/>
        <item h="1" m="1" x="2514"/>
        <item h="1" m="1" x="4376"/>
        <item h="1" m="1" x="4377"/>
        <item h="1" m="1" x="5440"/>
        <item h="1" m="1" x="5456"/>
        <item h="1" m="1" x="5601"/>
        <item h="1" m="1" x="5602"/>
        <item h="1" m="1" x="5605"/>
        <item h="1" m="1" x="4482"/>
        <item h="1" m="1" x="5606"/>
        <item h="1" m="1" x="5607"/>
        <item h="1" m="1" x="5608"/>
        <item h="1" m="1" x="5390"/>
        <item h="1" m="1" x="5472"/>
        <item h="1" m="1" x="5473"/>
        <item h="1" m="1" x="5342"/>
        <item h="1" x="89"/>
        <item h="1" m="1" x="5610"/>
        <item h="1" m="1" x="5611"/>
        <item h="1" m="1" x="5612"/>
        <item h="1" m="1" x="4563"/>
        <item h="1" m="1" x="5489"/>
        <item h="1" m="1" x="5479"/>
        <item h="1" m="1" x="5486"/>
        <item h="1" m="1" x="4869"/>
        <item h="1" m="1" x="5491"/>
        <item h="1" m="1" x="5618"/>
        <item h="1" m="1" x="5619"/>
        <item h="1" m="1" x="5620"/>
        <item h="1" m="1" x="5621"/>
        <item h="1" m="1" x="5622"/>
        <item h="1" m="1" x="5623"/>
        <item h="1" m="1" x="5624"/>
        <item h="1" m="1" x="5625"/>
        <item h="1" m="1" x="5626"/>
        <item h="1" m="1" x="5505"/>
        <item h="1" m="1" x="5627"/>
        <item h="1" m="1" x="5503"/>
        <item h="1" m="1" x="5631"/>
        <item h="1" m="1" x="5509"/>
        <item h="1" m="1" x="5632"/>
        <item h="1" m="1" x="4596"/>
        <item h="1" m="1" x="5633"/>
        <item h="1" m="1" x="5515"/>
        <item h="1" m="1" x="5405"/>
        <item h="1" m="1" x="5634"/>
        <item h="1" m="1" x="5520"/>
        <item h="1" m="1" x="5521"/>
        <item h="1" m="1" x="5523"/>
        <item h="1" m="1" x="5524"/>
        <item h="1" m="1" x="5536"/>
        <item h="1" m="1" x="5636"/>
        <item h="1" m="1" x="5637"/>
        <item h="1" m="1" x="5638"/>
        <item h="1" m="1" x="5639"/>
        <item h="1" m="1" x="5640"/>
        <item h="1" m="1" x="5641"/>
        <item h="1" m="1" x="5642"/>
        <item h="1" m="1" x="5643"/>
        <item h="1" x="393"/>
        <item h="1" m="1" x="5644"/>
        <item h="1" m="1" x="2930"/>
        <item h="1" m="1" x="5645"/>
        <item h="1" m="1" x="5647"/>
        <item h="1" m="1" x="5648"/>
        <item h="1" m="1" x="5540"/>
        <item h="1" m="1" x="5541"/>
        <item h="1" m="1" x="5543"/>
        <item h="1" m="1" x="5544"/>
        <item h="1" m="1" x="5545"/>
        <item h="1" m="1" x="5546"/>
        <item h="1" m="1" x="5547"/>
        <item h="1" m="1" x="5552"/>
        <item h="1" m="1" x="5550"/>
        <item h="1" m="1" x="5239"/>
        <item h="1" m="1" x="1708"/>
        <item h="1" m="1" x="1720"/>
        <item h="1" m="1" x="4646"/>
        <item h="1" m="1" x="5558"/>
        <item h="1" m="1" x="1061"/>
        <item h="1" m="1" x="1778"/>
        <item h="1" m="1" x="1777"/>
        <item h="1" m="1" x="1776"/>
        <item h="1" m="1" x="5651"/>
        <item h="1" m="1" x="5652"/>
        <item h="1" m="1" x="5653"/>
        <item h="1" m="1" x="5654"/>
        <item h="1" m="1" x="5655"/>
        <item h="1" m="1" x="5656"/>
        <item h="1" m="1" x="5658"/>
        <item h="1" m="1" x="4462"/>
        <item h="1" m="1" x="5660"/>
        <item h="1" m="1" x="5661"/>
        <item h="1" m="1" x="5662"/>
        <item h="1" m="1" x="5663"/>
        <item h="1" m="1" x="5664"/>
        <item h="1" m="1" x="5665"/>
        <item h="1" m="1" x="5250"/>
        <item h="1" m="1" x="5666"/>
        <item h="1" m="1" x="5256"/>
        <item h="1" m="1" x="5667"/>
        <item h="1" m="1" x="5182"/>
        <item h="1" m="1" x="5217"/>
        <item h="1" m="1" x="5462"/>
        <item h="1" m="1" x="5463"/>
        <item h="1" m="1" x="802"/>
        <item h="1" m="1" x="5464"/>
        <item h="1" m="1" x="5465"/>
        <item h="1" m="1" x="5471"/>
        <item h="1" m="1" x="4732"/>
        <item h="1" m="1" x="4733"/>
        <item h="1" m="1" x="4734"/>
        <item h="1" m="1" x="5474"/>
        <item h="1" m="1" x="4735"/>
        <item h="1" m="1" x="4102"/>
        <item h="1" m="1" x="4736"/>
        <item h="1" m="1" x="5475"/>
        <item h="1" m="1" x="5324"/>
        <item h="1" m="1" x="3861"/>
        <item h="1" m="1" x="5218"/>
        <item h="1" m="1" x="5328"/>
        <item h="1" m="1" x="5477"/>
        <item h="1" m="1" x="5481"/>
        <item h="1" m="1" x="5482"/>
        <item h="1" m="1" x="5483"/>
        <item h="1" m="1" x="5484"/>
        <item h="1" m="1" x="5485"/>
        <item h="1" m="1" x="5492"/>
        <item h="1" m="1" x="5493"/>
        <item h="1" m="1" x="5494"/>
        <item h="1" m="1" x="5495"/>
        <item h="1" m="1" x="5496"/>
        <item h="1" m="1" x="5497"/>
        <item h="1" m="1" x="5498"/>
        <item h="1" m="1" x="5499"/>
        <item h="1" m="1" x="5500"/>
        <item h="1" m="1" x="5501"/>
        <item h="1" m="1" x="5506"/>
        <item h="1" m="1" x="5507"/>
        <item h="1" m="1" x="5508"/>
        <item h="1" m="1" x="5511"/>
        <item h="1" m="1" x="5512"/>
        <item h="1" m="1" x="5513"/>
        <item h="1" m="1" x="5516"/>
        <item h="1" m="1" x="5517"/>
        <item h="1" m="1" x="5518"/>
        <item h="1" m="1" x="5335"/>
        <item h="1" m="1" x="5526"/>
        <item h="1" m="1" x="5060"/>
        <item h="1" m="1" x="5527"/>
        <item h="1" m="1" x="5528"/>
        <item h="1" m="1" x="5529"/>
        <item h="1" m="1" x="5530"/>
        <item h="1" m="1" x="5297"/>
        <item h="1" m="1" x="5531"/>
        <item h="1" m="1" x="5023"/>
        <item h="1" m="1" x="5532"/>
        <item h="1" m="1" x="5024"/>
        <item h="1" m="1" x="5070"/>
        <item h="1" m="1" x="5413"/>
        <item h="1" m="1" x="4766"/>
        <item h="1" m="1" x="5243"/>
        <item h="1" m="1" x="5537"/>
        <item h="1" m="1" x="5400"/>
        <item h="1" m="1" x="5538"/>
        <item h="1" m="1" x="5539"/>
        <item h="1" m="1" x="5548"/>
        <item h="1" m="1" x="5549"/>
        <item h="1" m="1" x="5033"/>
        <item h="1" m="1" x="1844"/>
        <item h="1" m="1" x="5240"/>
        <item h="1" m="1" x="2597"/>
        <item h="1" m="1" x="2598"/>
        <item h="1" m="1" x="5551"/>
        <item h="1" m="1" x="1305"/>
        <item h="1" m="1" x="5553"/>
        <item h="1" m="1" x="5554"/>
        <item h="1" m="1" x="5030"/>
        <item h="1" m="1" x="5555"/>
        <item h="1" m="1" x="5556"/>
        <item h="1" m="1" x="5557"/>
        <item h="1" m="1" x="5559"/>
        <item h="1" m="1" x="5560"/>
        <item h="1" m="1" x="5561"/>
        <item h="1" m="1" x="5562"/>
        <item h="1" m="1" x="5564"/>
        <item h="1" m="1" x="1739"/>
        <item h="1" m="1" x="5565"/>
        <item h="1" m="1" x="4201"/>
        <item h="1" m="1" x="1903"/>
        <item h="1" m="1" x="5566"/>
        <item h="1" m="1" x="5567"/>
        <item h="1" m="1" x="5568"/>
        <item h="1" m="1" x="2611"/>
        <item h="1" m="1" x="5569"/>
        <item h="1" m="1" x="5570"/>
        <item h="1" m="1" x="1697"/>
        <item h="1" m="1" x="5571"/>
        <item h="1" m="1" x="5572"/>
        <item h="1" m="1" x="5576"/>
        <item h="1" m="1" x="5174"/>
        <item h="1" m="1" x="5577"/>
        <item h="1" m="1" x="5578"/>
        <item h="1" m="1" x="5438"/>
        <item h="1" m="1" x="5579"/>
        <item h="1" m="1" x="5012"/>
        <item h="1" m="1" x="4389"/>
        <item h="1" m="1" x="5385"/>
        <item h="1" m="1" x="2685"/>
        <item h="1" m="1" x="5326"/>
        <item h="1" m="1" x="4731"/>
        <item h="1" m="1" x="5386"/>
        <item h="1" m="1" x="5388"/>
        <item h="1" m="1" x="5389"/>
        <item h="1" m="1" x="5391"/>
        <item h="1" m="1" x="5392"/>
        <item h="1" m="1" x="5394"/>
        <item h="1" m="1" x="5331"/>
        <item h="1" m="1" x="5395"/>
        <item h="1" m="1" x="5330"/>
        <item h="1" m="1" x="5396"/>
        <item h="1" m="1" x="5227"/>
        <item h="1" m="1" x="5397"/>
        <item h="1" m="1" x="5398"/>
        <item h="1" m="1" x="476"/>
        <item h="1" m="1" x="5333"/>
        <item h="1" m="1" x="5399"/>
        <item h="1" m="1" x="5401"/>
        <item h="1" m="1" x="5167"/>
        <item h="1" m="1" x="5402"/>
        <item h="1" m="1" x="5403"/>
        <item h="1" m="1" x="5404"/>
        <item h="1" m="1" x="5406"/>
        <item h="1" m="1" x="4666"/>
        <item h="1" m="1" x="5407"/>
        <item h="1" m="1" x="3918"/>
        <item h="1" m="1" x="5409"/>
        <item h="1" m="1" x="5410"/>
        <item h="1" m="1" x="5411"/>
        <item h="1" m="1" x="4813"/>
        <item h="1" m="1" x="5412"/>
        <item h="1" m="1" x="5414"/>
        <item h="1" m="1" x="5415"/>
        <item h="1" m="1" x="5416"/>
        <item h="1" m="1" x="5417"/>
        <item h="1" m="1" x="5418"/>
        <item h="1" m="1" x="5419"/>
        <item h="1" m="1" x="4739"/>
        <item h="1" m="1" x="5420"/>
        <item h="1" m="1" x="5236"/>
        <item h="1" m="1" x="5237"/>
        <item h="1" m="1" x="5238"/>
        <item h="1" m="1" x="5421"/>
        <item h="1" m="1" x="1781"/>
        <item h="1" m="1" x="1779"/>
        <item h="1" m="1" x="5422"/>
        <item h="1" m="1" x="5423"/>
        <item h="1" m="1" x="5424"/>
        <item h="1" m="1" x="5425"/>
        <item h="1" m="1" x="1848"/>
        <item h="1" m="1" x="1780"/>
        <item h="1" m="1" x="1590"/>
        <item h="1" m="1" x="5427"/>
        <item h="1" m="1" x="5428"/>
        <item h="1" m="1" x="5337"/>
        <item h="1" m="1" x="5338"/>
        <item h="1" m="1" x="5430"/>
        <item h="1" m="1" x="5180"/>
        <item h="1" m="1" x="5431"/>
        <item h="1" m="1" x="5247"/>
        <item h="1" m="1" x="5245"/>
        <item h="1" m="1" x="5246"/>
        <item h="1" m="1" x="5432"/>
        <item h="1" m="1" x="5433"/>
        <item h="1" m="1" x="5434"/>
        <item h="1" m="1" x="5435"/>
        <item h="1" m="1" x="4958"/>
        <item h="1" m="1" x="5179"/>
        <item h="1" m="1" x="5249"/>
        <item h="1" m="1" x="5437"/>
        <item h="1" m="1" x="5439"/>
        <item h="1" m="1" x="5097"/>
        <item h="1" m="1" x="5327"/>
        <item h="1" m="1" x="5224"/>
        <item h="1" m="1" x="5329"/>
        <item h="1" m="1" x="5220"/>
        <item h="1" m="1" x="4811"/>
        <item h="1" m="1" x="5221"/>
        <item h="1" m="1" x="5226"/>
        <item h="1" m="1" x="5223"/>
        <item h="1" m="1" x="5228"/>
        <item h="1" m="1" x="5102"/>
        <item h="1" m="1" x="5163"/>
        <item h="1" m="1" x="5164"/>
        <item h="1" m="1" x="5332"/>
        <item h="1" m="1" x="5334"/>
        <item h="1" m="1" x="4581"/>
        <item h="1" m="1" x="525"/>
        <item h="1" m="1" x="4622"/>
        <item h="1" m="1" x="5231"/>
        <item h="1" m="1" x="5255"/>
        <item h="1" m="1" x="4668"/>
        <item h="1" m="1" x="5233"/>
        <item h="1" m="1" x="5234"/>
        <item h="1" m="1" x="1939"/>
        <item h="1" m="1" x="5235"/>
        <item h="1" m="1" x="5108"/>
        <item h="1" m="1" x="4199"/>
        <item h="1" m="1" x="1849"/>
        <item h="1" m="1" x="2476"/>
        <item h="1" m="1" x="1818"/>
        <item h="1" m="1" x="5173"/>
        <item h="1" m="1" x="5242"/>
        <item h="1" m="1" x="5175"/>
        <item h="1" m="1" x="4954"/>
        <item h="1" m="1" x="5111"/>
        <item h="1" m="1" x="4142"/>
        <item h="1" m="1" x="5254"/>
        <item h="1" m="1" x="5248"/>
        <item h="1" m="1" x="4815"/>
        <item h="1" m="1" x="5339"/>
        <item h="1" m="1" x="5037"/>
        <item h="1" m="1" x="5340"/>
        <item h="1" m="1" x="5127"/>
        <item h="1" m="1" x="5261"/>
        <item h="1" m="1" x="5264"/>
        <item h="1" m="1" x="5014"/>
        <item h="1" m="1" x="5341"/>
        <item h="1" m="1" x="4138"/>
        <item h="1" m="1" x="5162"/>
        <item h="1" m="1" x="5343"/>
        <item h="1" m="1" x="5344"/>
        <item h="1" m="1" x="5101"/>
        <item h="1" m="1" x="5225"/>
        <item h="1" m="1" x="5293"/>
        <item h="1" m="1" x="5257"/>
        <item h="1" m="1" x="5229"/>
        <item h="1" m="1" x="5169"/>
        <item h="1" m="1" x="4667"/>
        <item h="1" m="1" x="2189"/>
        <item h="1" m="1" x="5296"/>
        <item h="1" m="1" x="2974"/>
        <item h="1" x="250"/>
        <item h="1" m="1" x="5171"/>
        <item h="1" m="1" x="3789"/>
        <item h="1" m="1" x="4639"/>
        <item h="1" m="1" x="5305"/>
        <item h="1" m="1" x="5304"/>
        <item h="1" m="1" x="4144"/>
        <item h="1" m="1" x="3995"/>
        <item h="1" m="1" x="5345"/>
        <item h="1" m="1" x="5346"/>
        <item h="1" m="1" x="5347"/>
        <item h="1" m="1" x="5348"/>
        <item h="1" m="1" x="5349"/>
        <item h="1" m="1" x="4946"/>
        <item h="1" m="1" x="5350"/>
        <item h="1" m="1" x="4003"/>
        <item h="1" m="1" x="4443"/>
        <item h="1" m="1" x="5251"/>
        <item h="1" m="1" x="5252"/>
        <item h="1" m="1" x="5253"/>
        <item h="1" m="1" x="5351"/>
        <item h="1" m="1" x="5352"/>
        <item h="1" m="1" x="5318"/>
        <item h="1" m="1" x="5353"/>
        <item h="1" m="1" x="5354"/>
        <item h="1" m="1" x="4955"/>
        <item h="1" m="1" x="4956"/>
        <item h="1" m="1" x="5355"/>
        <item h="1" m="1" x="5260"/>
        <item h="1" m="1" x="5244"/>
        <item h="1" m="1" x="5038"/>
        <item h="1" m="1" x="5216"/>
        <item h="1" m="1" x="4621"/>
        <item h="1" m="1" x="3998"/>
        <item h="1" m="1" x="5118"/>
        <item h="1" m="1" x="5275"/>
        <item h="1" m="1" x="5263"/>
        <item h="1" m="1" x="4474"/>
        <item h="1" m="1" x="5267"/>
        <item h="1" m="1" x="5268"/>
        <item h="1" m="1" x="5269"/>
        <item h="1" m="1" x="4944"/>
        <item h="1" m="1" x="5271"/>
        <item h="1" m="1" x="4174"/>
        <item h="1" m="1" x="4242"/>
        <item h="1" m="1" x="5273"/>
        <item h="1" m="1" x="5274"/>
        <item h="1" m="1" x="5295"/>
        <item h="1" m="1" x="5278"/>
        <item h="1" m="1" x="5279"/>
        <item h="1" m="1" x="5280"/>
        <item h="1" m="1" x="5281"/>
        <item h="1" m="1" x="4665"/>
        <item h="1" m="1" x="5283"/>
        <item h="1" m="1" x="5284"/>
        <item h="1" m="1" x="5165"/>
        <item h="1" m="1" x="5285"/>
        <item h="1" m="1" x="5286"/>
        <item h="1" m="1" x="5287"/>
        <item h="1" m="1" x="5290"/>
        <item h="1" m="1" x="5291"/>
        <item h="1" m="1" x="5166"/>
        <item h="1" m="1" x="4595"/>
        <item h="1" m="1" x="5190"/>
        <item h="1" m="1" x="5292"/>
        <item h="1" m="1" x="5194"/>
        <item h="1" m="1" x="5294"/>
        <item h="1" m="1" x="5298"/>
        <item h="1" m="1" x="1931"/>
        <item h="1" m="1" x="5299"/>
        <item h="1" m="1" x="5300"/>
        <item h="1" m="1" x="5301"/>
        <item h="1" m="1" x="2033"/>
        <item h="1" m="1" x="5170"/>
        <item h="1" m="1" x="5303"/>
        <item h="1" m="1" x="5104"/>
        <item h="1" m="1" x="5306"/>
        <item h="1" m="1" x="5307"/>
        <item h="1" m="1" x="4814"/>
        <item h="1" m="1" x="5308"/>
        <item h="1" m="1" x="5031"/>
        <item h="1" m="1" x="5309"/>
        <item h="1" m="1" x="5310"/>
        <item h="1" m="1" x="5311"/>
        <item h="1" m="1" x="4948"/>
        <item h="1" m="1" x="5313"/>
        <item h="1" m="1" x="5314"/>
        <item h="1" m="1" x="4146"/>
        <item h="1" m="1" x="5106"/>
        <item h="1" m="1" x="5107"/>
        <item h="1" m="1" x="5315"/>
        <item h="1" m="1" x="5172"/>
        <item h="1" m="1" x="5316"/>
        <item h="1" m="1" x="1905"/>
        <item h="1" m="1" x="1721"/>
        <item h="1" m="1" x="5109"/>
        <item h="1" m="1" x="5317"/>
        <item h="1" m="1" x="5176"/>
        <item h="1" m="1" x="5177"/>
        <item h="1" m="1" x="5319"/>
        <item h="1" m="1" x="5178"/>
        <item h="1" m="1" x="5320"/>
        <item h="1" m="1" x="5113"/>
        <item h="1" m="1" x="5114"/>
        <item h="1" m="1" x="5120"/>
        <item h="1" m="1" x="5122"/>
        <item h="1" m="1" x="5321"/>
        <item h="1" m="1" x="5181"/>
        <item h="1" m="1" x="2899"/>
        <item h="1" m="1" x="5184"/>
        <item h="1" m="1" x="5183"/>
        <item h="1" m="1" x="5155"/>
        <item h="1" m="1" x="5185"/>
        <item h="1" m="1" x="5186"/>
        <item h="1" m="1" x="5187"/>
        <item h="1" m="1" x="5188"/>
        <item h="1" m="1" x="4479"/>
        <item h="1" m="1" x="4480"/>
        <item h="1" m="1" x="5098"/>
        <item h="1" m="1" x="5099"/>
        <item h="1" m="1" x="5100"/>
        <item h="1" m="1" x="1676"/>
        <item h="1" m="1" x="4582"/>
        <item h="1" m="1" x="5191"/>
        <item h="1" m="1" x="5013"/>
        <item h="1" m="1" x="5192"/>
        <item h="1" m="1" x="5193"/>
        <item h="1" m="1" x="3923"/>
        <item h="1" m="1" x="5195"/>
        <item h="1" m="1" x="5196"/>
        <item h="1" m="1" x="4755"/>
        <item h="1" m="1" x="5197"/>
        <item h="1" m="1" x="4767"/>
        <item h="1" m="1" x="1828"/>
        <item h="1" m="1" x="4764"/>
        <item h="1" m="1" x="4765"/>
        <item h="1" m="1" x="5105"/>
        <item h="1" m="1" x="1957"/>
        <item h="1" m="1" x="2649"/>
        <item h="1" m="1" x="5025"/>
        <item h="1" m="1" x="5029"/>
        <item h="1" m="1" x="5027"/>
        <item h="1" m="1" x="5028"/>
        <item h="1" m="1" x="3475"/>
        <item h="1" m="1" x="5026"/>
        <item h="1" m="1" x="5198"/>
        <item h="1" m="1" x="5199"/>
        <item h="1" m="1" x="5200"/>
        <item h="1" m="1" x="5201"/>
        <item h="1" m="1" x="5202"/>
        <item h="1" m="1" x="4951"/>
        <item h="1" m="1" x="4949"/>
        <item h="1" m="1" x="5203"/>
        <item h="1" m="1" x="5204"/>
        <item h="1" m="1" x="5205"/>
        <item h="1" m="1" x="3133"/>
        <item h="1" m="1" x="5206"/>
        <item h="1" m="1" x="5207"/>
        <item h="1" m="1" x="5208"/>
        <item h="1" m="1" x="5110"/>
        <item h="1" m="1" x="2863"/>
        <item h="1" m="1" x="5115"/>
        <item h="1" m="1" x="5116"/>
        <item h="1" m="1" x="4957"/>
        <item h="1" m="1" x="4960"/>
        <item h="1" m="1" x="4961"/>
        <item h="1" m="1" x="5209"/>
        <item h="1" m="1" x="5210"/>
        <item h="1" m="1" x="5211"/>
        <item h="1" m="1" x="5212"/>
        <item h="1" m="1" x="4959"/>
        <item h="1" m="1" x="5036"/>
        <item h="1" m="1" x="5117"/>
        <item h="1" m="1" x="5119"/>
        <item h="1" m="1" x="5125"/>
        <item h="1" m="1" x="5126"/>
        <item h="1" m="1" x="2843"/>
        <item h="1" m="1" x="2430"/>
        <item h="1" m="1" x="4546"/>
        <item h="1" m="1" x="5130"/>
        <item h="1" m="1" x="3756"/>
        <item h="1" m="1" x="3755"/>
        <item h="1" m="1" x="5121"/>
        <item h="1" m="1" x="5010"/>
        <item h="1" m="1" x="5011"/>
        <item h="1" m="1" x="5009"/>
        <item h="1" m="1" x="5132"/>
        <item h="1" m="1" x="5133"/>
        <item h="1" m="1" x="4760"/>
        <item h="1" m="1" x="5135"/>
        <item h="1" m="1" x="4837"/>
        <item h="1" m="1" x="4838"/>
        <item h="1" m="1" x="3910"/>
        <item h="1" m="1" x="5136"/>
        <item h="1" m="1" x="3165"/>
        <item h="1" m="1" x="2526"/>
        <item h="1" m="1" x="5018"/>
        <item h="1" m="1" x="5019"/>
        <item h="1" m="1" x="5020"/>
        <item h="1" m="1" x="5021"/>
        <item h="1" m="1" x="5022"/>
        <item h="1" m="1" x="2416"/>
        <item h="1" m="1" x="5016"/>
        <item h="1" m="1" x="5017"/>
        <item h="1" m="1" x="4756"/>
        <item h="1" m="1" x="5058"/>
        <item h="1" m="1" x="4768"/>
        <item h="1" x="249"/>
        <item h="1" x="395"/>
        <item h="1" m="1" x="4771"/>
        <item h="1" m="1" x="4770"/>
        <item h="1" m="1" x="4769"/>
        <item h="1" m="1" x="5069"/>
        <item h="1" m="1" x="1239"/>
        <item h="1" m="1" x="4638"/>
        <item h="1" m="1" x="5092"/>
        <item h="1" m="1" x="5093"/>
        <item h="1" m="1" x="4846"/>
        <item h="1" m="1" x="5139"/>
        <item h="1" m="1" x="1950"/>
        <item h="1" m="1" x="5140"/>
        <item h="1" m="1" x="5141"/>
        <item h="1" m="1" x="5032"/>
        <item h="1" m="1" x="4947"/>
        <item h="1" m="1" x="5142"/>
        <item h="1" m="1" x="3023"/>
        <item h="1" m="1" x="5143"/>
        <item h="1" m="1" x="4147"/>
        <item h="1" m="1" x="5144"/>
        <item h="1" m="1" x="5145"/>
        <item h="1" m="1" x="5146"/>
        <item h="1" m="1" x="5147"/>
        <item h="1" m="1" x="5148"/>
        <item h="1" m="1" x="5149"/>
        <item h="1" m="1" x="5150"/>
        <item h="1" m="1" x="5151"/>
        <item h="1" m="1" x="5152"/>
        <item h="1" m="1" x="5034"/>
        <item h="1" m="1" x="5153"/>
        <item h="1" m="1" x="5154"/>
        <item h="1" m="1" x="1743"/>
        <item h="1" m="1" x="1380"/>
        <item h="1" m="1" x="4168"/>
        <item h="1" m="1" x="1666"/>
        <item h="1" m="1" x="5039"/>
        <item h="1" m="1" x="4672"/>
        <item h="1" m="1" x="5040"/>
        <item h="1" m="1" x="5041"/>
        <item h="1" m="1" x="4673"/>
        <item h="1" m="1" x="4741"/>
        <item h="1" m="1" x="4943"/>
        <item h="1" m="1" x="5043"/>
        <item h="1" m="1" x="5044"/>
        <item h="1" m="1" x="3866"/>
        <item h="1" m="1" x="4743"/>
        <item h="1" m="1" x="5046"/>
        <item h="1" m="1" x="5048"/>
        <item h="1" m="1" x="5049"/>
        <item h="1" m="1" x="1961"/>
        <item h="1" m="1" x="2315"/>
        <item h="1" m="1" x="4833"/>
        <item h="1" m="1" x="4834"/>
        <item h="1" m="1" x="4836"/>
        <item h="1" m="1" x="4945"/>
        <item h="1" m="1" x="4758"/>
        <item h="1" m="1" x="5050"/>
        <item h="1" m="1" x="5051"/>
        <item h="1" m="1" x="2789"/>
        <item h="1" m="1" x="5052"/>
        <item h="1" m="1" x="5053"/>
        <item h="1" m="1" x="4842"/>
        <item h="1" m="1" x="2689"/>
        <item h="1" m="1" x="5056"/>
        <item h="1" m="1" x="5057"/>
        <item h="1" m="1" x="5059"/>
        <item h="1" m="1" x="5061"/>
        <item h="1" m="1" x="5062"/>
        <item h="1" m="1" x="5063"/>
        <item h="1" m="1" x="5064"/>
        <item h="1" m="1" x="3630"/>
        <item h="1" m="1" x="5066"/>
        <item h="1" m="1" x="5067"/>
        <item h="1" m="1" x="4625"/>
        <item h="1" m="1" x="5068"/>
        <item h="1" m="1" x="3153"/>
        <item h="1" m="1" x="5071"/>
        <item h="1" m="1" x="5072"/>
        <item h="1" m="1" x="5073"/>
        <item h="1" m="1" x="5074"/>
        <item h="1" m="1" x="5075"/>
        <item h="1" m="1" x="5076"/>
        <item h="1" m="1" x="5077"/>
        <item h="1" m="1" x="5078"/>
        <item h="1" m="1" x="4690"/>
        <item h="1" m="1" x="4691"/>
        <item h="1" m="1" x="5079"/>
        <item h="1" m="1" x="1706"/>
        <item h="1" m="1" x="5080"/>
        <item h="1" m="1" x="5081"/>
        <item h="1" m="1" x="1785"/>
        <item h="1" m="1" x="1763"/>
        <item h="1" m="1" x="4986"/>
        <item h="1" m="1" x="4982"/>
        <item h="1" m="1" x="4207"/>
        <item h="1" m="1" x="5082"/>
        <item h="1" m="1" x="5083"/>
        <item h="1" m="1" x="4200"/>
        <item h="1" m="1" x="5084"/>
        <item h="1" m="1" x="1687"/>
        <item h="1" m="1" x="4220"/>
        <item h="1" m="1" x="3404"/>
        <item h="1" m="1" x="3405"/>
        <item h="1" m="1" x="3406"/>
        <item h="1" m="1" x="5087"/>
        <item h="1" m="1" x="5088"/>
        <item h="1" m="1" x="4089"/>
        <item h="1" m="1" x="1669"/>
        <item h="1" m="1" x="1670"/>
        <item h="1" m="1" x="2348"/>
        <item h="1" m="1" x="5090"/>
        <item h="1" m="1" x="1683"/>
        <item h="1" m="1" x="1682"/>
        <item h="1" m="1" x="4991"/>
        <item h="1" m="1" x="4992"/>
        <item h="1" m="1" x="4851"/>
        <item h="1" m="1" x="4232"/>
        <item h="1" m="1" x="4162"/>
        <item h="1" m="1" x="5091"/>
        <item h="1" x="123"/>
        <item h="1" m="1" x="3990"/>
        <item h="1" m="1" x="5094"/>
        <item h="1" m="1" x="4683"/>
        <item h="1" m="1" x="4684"/>
        <item h="1" m="1" x="4685"/>
        <item h="1" m="1" x="4689"/>
        <item h="1" m="1" x="5095"/>
        <item h="1" m="1" x="2116"/>
        <item h="1" m="1" x="4962"/>
        <item h="1" m="1" x="4854"/>
        <item h="1" m="1" x="4855"/>
        <item h="1" m="1" x="4817"/>
        <item h="1" m="1" x="4818"/>
        <item h="1" m="1" x="4816"/>
        <item h="1" m="1" x="4742"/>
        <item h="1" m="1" x="4819"/>
        <item h="1" m="1" x="4963"/>
        <item h="1" m="1" x="4820"/>
        <item h="1" m="1" x="4821"/>
        <item h="1" m="1" x="4965"/>
        <item h="1" m="1" x="2945"/>
        <item h="1" m="1" x="4824"/>
        <item h="1" m="1" x="4746"/>
        <item h="1" m="1" x="4966"/>
        <item h="1" m="1" x="4826"/>
        <item h="1" m="1" x="4825"/>
        <item h="1" m="1" x="4270"/>
        <item h="1" m="1" x="4967"/>
        <item h="1" m="1" x="4830"/>
        <item h="1" m="1" x="4831"/>
        <item h="1" m="1" x="4832"/>
        <item h="1" m="1" x="4968"/>
        <item h="1" m="1" x="4969"/>
        <item h="1" m="1" x="4872"/>
        <item h="1" m="1" x="4970"/>
        <item h="1" m="1" x="4971"/>
        <item h="1" m="1" x="4873"/>
        <item h="1" m="1" x="4972"/>
        <item h="1" m="1" x="4874"/>
        <item h="1" m="1" x="4875"/>
        <item h="1" m="1" x="4876"/>
        <item h="1" m="1" x="4877"/>
        <item h="1" m="1" x="4973"/>
        <item h="1" m="1" x="4878"/>
        <item h="1" m="1" x="4879"/>
        <item h="1" m="1" x="4974"/>
        <item h="1" m="1" x="4835"/>
        <item h="1" m="1" x="4841"/>
        <item h="1" m="1" x="4839"/>
        <item h="1" m="1" x="4840"/>
        <item h="1" m="1" x="4606"/>
        <item h="1" m="1" x="4610"/>
        <item h="1" m="1" x="4611"/>
        <item h="1" m="1" x="4761"/>
        <item h="1" m="1" x="4843"/>
        <item h="1" m="1" x="4762"/>
        <item h="1" m="1" x="4844"/>
        <item h="1" m="1" x="4978"/>
        <item h="1" m="1" x="2072"/>
        <item h="1" m="1" x="4780"/>
        <item h="1" m="1" x="4979"/>
        <item h="1" m="1" x="4773"/>
        <item h="1" m="1" x="4763"/>
        <item h="1" m="1" x="1916"/>
        <item h="1" m="1" x="4896"/>
        <item h="1" m="1" x="4897"/>
        <item h="1" m="1" x="3485"/>
        <item h="1" m="1" x="4627"/>
        <item h="1" m="1" x="4898"/>
        <item h="1" m="1" x="4628"/>
        <item h="1" m="1" x="4857"/>
        <item h="1" m="1" x="4774"/>
        <item h="1" m="1" x="4858"/>
        <item h="1" m="1" x="4980"/>
        <item h="1" m="1" x="4776"/>
        <item h="1" m="1" x="4981"/>
        <item h="1" m="1" x="4779"/>
        <item h="1" m="1" x="1813"/>
        <item h="1" m="1" x="4983"/>
        <item h="1" m="1" x="4206"/>
        <item h="1" m="1" x="4984"/>
        <item h="1" m="1" x="4985"/>
        <item h="1" m="1" x="4987"/>
        <item h="1" m="1" x="1847"/>
        <item h="1" m="1" x="4534"/>
        <item h="1" m="1" x="1715"/>
        <item h="1" m="1" x="1707"/>
        <item h="1" m="1" x="4988"/>
        <item h="1" m="1" x="4989"/>
        <item h="1" m="1" x="3835"/>
        <item h="1" m="1" x="4781"/>
        <item h="1" m="1" x="4450"/>
        <item h="1" m="1" x="4847"/>
        <item h="1" m="1" x="4848"/>
        <item h="1" m="1" x="4990"/>
        <item h="1" m="1" x="4993"/>
        <item h="1" m="1" x="4994"/>
        <item h="1" m="1" x="4995"/>
        <item h="1" m="1" x="4996"/>
        <item h="1" m="1" x="4849"/>
        <item h="1" m="1" x="4850"/>
        <item h="1" m="1" x="4997"/>
        <item h="1" m="1" x="4782"/>
        <item h="1" m="1" x="4852"/>
        <item h="1" m="1" x="4547"/>
        <item h="1" m="1" x="4853"/>
        <item h="1" m="1" x="4737"/>
        <item h="1" m="1" x="4692"/>
        <item h="1" m="1" x="4693"/>
        <item h="1" m="1" x="4856"/>
        <item h="1" m="1" x="4860"/>
        <item h="1" m="1" x="4674"/>
        <item h="1" m="1" x="4861"/>
        <item h="1" m="1" x="2917"/>
        <item h="1" m="1" x="4863"/>
        <item h="1" m="1" x="4565"/>
        <item h="1" m="1" x="4745"/>
        <item h="1" m="1" x="4271"/>
        <item h="1" m="1" x="3801"/>
        <item h="1" m="1" x="4864"/>
        <item h="1" m="1" x="4865"/>
        <item h="1" m="1" x="4263"/>
        <item h="1" m="1" x="4253"/>
        <item h="1" m="1" x="4254"/>
        <item h="1" m="1" x="4866"/>
        <item h="1" m="1" x="4129"/>
        <item h="1" m="1" x="4241"/>
        <item h="1" m="1" x="3859"/>
        <item h="1" m="1" x="4744"/>
        <item h="1" m="1" x="4675"/>
        <item h="1" m="1" x="4238"/>
        <item h="1" m="1" x="4867"/>
        <item h="1" m="1" x="4868"/>
        <item h="1" m="1" x="4752"/>
        <item h="1" m="1" x="4753"/>
        <item h="1" m="1" x="4574"/>
        <item h="1" m="1" x="4870"/>
        <item h="1" m="1" x="4871"/>
        <item h="1" m="1" x="4747"/>
        <item h="1" m="1" x="4748"/>
        <item h="1" m="1" x="4749"/>
        <item h="1" m="1" x="4750"/>
        <item h="1" m="1" x="4688"/>
        <item h="1" m="1" x="4880"/>
        <item h="1" m="1" x="4882"/>
        <item h="1" m="1" x="4884"/>
        <item h="1" m="1" x="4754"/>
        <item h="1" m="1" x="4886"/>
        <item h="1" m="1" x="4757"/>
        <item h="1" m="1" x="4887"/>
        <item h="1" m="1" x="2797"/>
        <item h="1" m="1" x="4888"/>
        <item h="1" m="1" x="4313"/>
        <item h="1" m="1" x="4889"/>
        <item h="1" m="1" x="4890"/>
        <item h="1" m="1" x="4891"/>
        <item h="1" m="1" x="4892"/>
        <item h="1" m="1" x="4893"/>
        <item h="1" m="1" x="4894"/>
        <item h="1" m="1" x="2861"/>
        <item h="1" m="1" x="4775"/>
        <item h="1" m="1" x="1909"/>
        <item h="1" m="1" x="4899"/>
        <item h="1" m="1" x="4187"/>
        <item h="1" m="1" x="4777"/>
        <item h="1" m="1" x="4778"/>
        <item h="1" m="1" x="1406"/>
        <item h="1" m="1" x="4900"/>
        <item h="1" m="1" x="4901"/>
        <item h="1" m="1" x="4903"/>
        <item h="1" m="1" x="4904"/>
        <item h="1" m="1" x="4905"/>
        <item h="1" m="1" x="1713"/>
        <item h="1" m="1" x="4906"/>
        <item h="1" m="1" x="1698"/>
        <item h="1" m="1" x="4907"/>
        <item h="1" m="1" x="4908"/>
        <item h="1" m="1" x="4909"/>
        <item h="1" m="1" x="4910"/>
        <item h="1" m="1" x="4911"/>
        <item h="1" m="1" x="1906"/>
        <item h="1" m="1" x="4218"/>
        <item h="1" m="1" x="4912"/>
        <item h="1" m="1" x="4444"/>
        <item h="1" m="1" x="1759"/>
        <item h="1" m="1" x="4913"/>
        <item h="1" m="1" x="4453"/>
        <item h="1" m="1" x="3844"/>
        <item h="1" m="1" x="4234"/>
        <item h="1" m="1" x="4235"/>
        <item h="1" m="1" x="4914"/>
        <item h="1" m="1" x="4915"/>
        <item h="1" m="1" x="4916"/>
        <item h="1" m="1" x="4245"/>
        <item h="1" m="1" x="4783"/>
        <item h="1" m="1" x="4917"/>
        <item h="1" m="1" x="4246"/>
        <item h="1" m="1" x="4247"/>
        <item h="1" m="1" x="1426"/>
        <item h="1" m="1" x="4759"/>
        <item h="1" m="1" x="4642"/>
        <item h="1" m="1" x="1671"/>
        <item h="1" m="1" x="4465"/>
        <item h="1" m="1" x="4554"/>
        <item h="1" m="1" x="4784"/>
        <item h="1" m="1" x="4785"/>
        <item h="1" m="1" x="4671"/>
        <item h="1" m="1" x="4786"/>
        <item h="1" m="1" x="4787"/>
        <item h="1" m="1" x="4788"/>
        <item h="1" m="1" x="4562"/>
        <item h="1" m="1" x="4542"/>
        <item h="1" m="1" x="4676"/>
        <item h="1" m="1" x="4677"/>
        <item h="1" m="1" x="4274"/>
        <item h="1" m="1" x="4566"/>
        <item h="1" m="1" x="4679"/>
        <item h="1" m="1" x="4678"/>
        <item h="1" m="1" x="1210"/>
        <item h="1" m="1" x="4790"/>
        <item h="1" m="1" x="4791"/>
        <item h="1" m="1" x="4139"/>
        <item h="1" m="1" x="4792"/>
        <item h="1" m="1" x="3516"/>
        <item h="1" m="1" x="4585"/>
        <item h="1" m="1" x="3311"/>
        <item h="1" m="1" x="4584"/>
        <item h="1" m="1" x="3476"/>
        <item h="1" m="1" x="4608"/>
        <item h="1" x="231"/>
        <item h="1" m="1" x="4601"/>
        <item h="1" m="1" x="4580"/>
        <item h="1" m="1" x="4794"/>
        <item h="1" m="1" x="4795"/>
        <item h="1" m="1" x="4617"/>
        <item h="1" m="1" x="4796"/>
        <item h="1" m="1" x="4629"/>
        <item h="1" m="1" x="1347"/>
        <item h="1" m="1" x="4326"/>
        <item h="1" m="1" x="4338"/>
        <item h="1" m="1" x="4798"/>
        <item h="1" m="1" x="4349"/>
        <item h="1" m="1" x="4799"/>
        <item h="1" m="1" x="4800"/>
        <item h="1" m="1" x="4801"/>
        <item h="1" m="1" x="4408"/>
        <item h="1" m="1" x="4406"/>
        <item h="1" m="1" x="3352"/>
        <item h="1" m="1" x="4802"/>
        <item h="1" m="1" x="4803"/>
        <item h="1" m="1" x="1942"/>
        <item h="1" m="1" x="1945"/>
        <item h="1" m="1" x="4005"/>
        <item h="1" m="1" x="1941"/>
        <item h="1" m="1" x="4154"/>
        <item h="1" m="1" x="4155"/>
        <item h="1" m="1" x="1898"/>
        <item h="1" m="1" x="4804"/>
        <item h="1" m="1" x="4805"/>
        <item h="1" m="1" x="4806"/>
        <item h="1" m="1" x="4807"/>
        <item h="1" m="1" x="4808"/>
        <item h="1" m="1" x="4459"/>
        <item h="1" m="1" x="4460"/>
        <item h="1" m="1" x="4809"/>
        <item h="1" m="1" x="4264"/>
        <item h="1" m="1" x="4810"/>
        <item h="1" m="1" x="4170"/>
        <item h="1" m="1" x="4269"/>
        <item h="1" m="1" x="4680"/>
        <item h="1" m="1" x="4681"/>
        <item h="1" m="1" x="4682"/>
        <item h="1" m="1" x="4686"/>
        <item h="1" m="1" x="4573"/>
        <item h="1" m="1" x="4687"/>
        <item h="1" m="1" x="4587"/>
        <item h="1" m="1" x="2842"/>
        <item h="1" m="1" x="4612"/>
        <item h="1" m="1" x="2824"/>
        <item h="1" m="1" x="4694"/>
        <item h="1" m="1" x="4659"/>
        <item h="1" m="1" x="4664"/>
        <item h="1" m="1" x="4695"/>
        <item h="1" m="1" x="4696"/>
        <item h="1" m="1" x="4697"/>
        <item h="1" m="1" x="4698"/>
        <item h="1" m="1" x="811"/>
        <item h="1" m="1" x="4699"/>
        <item h="1" m="1" x="4700"/>
        <item h="1" m="1" x="1772"/>
        <item h="1" m="1" x="4560"/>
        <item h="1" m="1" x="4109"/>
        <item h="1" m="1" x="4564"/>
        <item h="1" m="1" x="4701"/>
        <item h="1" m="1" x="4586"/>
        <item h="1" m="1" x="4588"/>
        <item h="1" m="1" x="4589"/>
        <item h="1" m="1" x="4600"/>
        <item h="1" m="1" x="4594"/>
        <item h="1" x="264"/>
        <item h="1" m="1" x="2552"/>
        <item h="1" m="1" x="4704"/>
        <item h="1" m="1" x="4567"/>
        <item h="1" m="1" x="4705"/>
        <item h="1" m="1" x="4607"/>
        <item h="1" m="1" x="573"/>
        <item h="1" m="1" x="4706"/>
        <item h="1" m="1" x="4707"/>
        <item h="1" m="1" x="4709"/>
        <item h="1" m="1" x="4640"/>
        <item h="1" m="1" x="4623"/>
        <item h="1" m="1" x="4624"/>
        <item h="1" m="1" x="4626"/>
        <item h="1" m="1" x="4711"/>
        <item h="1" m="1" x="4712"/>
        <item h="1" m="1" x="4643"/>
        <item h="1" m="1" x="4714"/>
        <item h="1" m="1" x="1802"/>
        <item h="1" m="1" x="4645"/>
        <item h="1" m="1" x="4522"/>
        <item h="1" m="1" x="3418"/>
        <item h="1" m="1" x="4715"/>
        <item h="1" m="1" x="4523"/>
        <item h="1" m="1" x="3454"/>
        <item h="1" m="1" x="4716"/>
        <item h="1" m="1" x="4410"/>
        <item h="1" m="1" x="4411"/>
        <item h="1" m="1" x="4651"/>
        <item h="1" m="1" x="1755"/>
        <item h="1" m="1" x="4717"/>
        <item h="1" m="1" x="4718"/>
        <item h="1" m="1" x="4719"/>
        <item h="1" m="1" x="4720"/>
        <item h="1" m="1" x="3774"/>
        <item h="1" m="1" x="1686"/>
        <item h="1" m="1" x="1084"/>
        <item h="1" m="1" x="1908"/>
        <item h="1" m="1" x="4721"/>
        <item h="1" m="1" x="4424"/>
        <item h="1" m="1" x="4425"/>
        <item h="1" m="1" x="4722"/>
        <item h="1" m="1" x="4219"/>
        <item h="1" m="1" x="1824"/>
        <item h="1" m="1" x="1705"/>
        <item h="1" m="1" x="4723"/>
        <item h="1" m="1" x="4437"/>
        <item h="1" m="1" x="4724"/>
        <item h="1" m="1" x="4725"/>
        <item h="1" m="1" x="4726"/>
        <item h="1" m="1" x="4662"/>
        <item h="1" m="1" x="4727"/>
        <item h="1" m="1" x="4163"/>
        <item h="1" m="1" x="4466"/>
        <item h="1" m="1" x="4728"/>
        <item h="1" m="1" x="3792"/>
        <item h="1" m="1" x="4027"/>
        <item h="1" m="1" x="4548"/>
        <item h="1" m="1" x="4472"/>
        <item h="1" m="1" x="4549"/>
        <item h="1" m="1" x="4550"/>
        <item h="1" m="1" x="4034"/>
        <item h="1" m="1" x="4551"/>
        <item h="1" m="1" x="4553"/>
        <item h="1" m="1" x="4115"/>
        <item h="1" m="1" x="4116"/>
        <item h="1" m="1" x="4477"/>
        <item h="1" m="1" x="4555"/>
        <item h="1" x="382"/>
        <item h="1" m="1" x="4478"/>
        <item h="1" m="1" x="4557"/>
        <item h="1" m="1" x="4558"/>
        <item h="1" m="1" x="4559"/>
        <item h="1" m="1" x="4483"/>
        <item h="1" m="1" x="4561"/>
        <item h="1" m="1" x="4272"/>
        <item h="1" m="1" x="4484"/>
        <item h="1" m="1" x="4568"/>
        <item h="1" m="1" x="4569"/>
        <item h="1" m="1" x="4570"/>
        <item h="1" m="1" x="4571"/>
        <item h="1" m="1" x="4572"/>
        <item h="1" m="1" x="4575"/>
        <item h="1" m="1" x="2994"/>
        <item h="1" m="1" x="3433"/>
        <item h="1" m="1" x="4576"/>
        <item h="1" m="1" x="4577"/>
        <item h="1" m="1" x="4578"/>
        <item h="1" m="1" x="4495"/>
        <item h="1" m="1" x="4496"/>
        <item h="1" m="1" x="4579"/>
        <item h="1" m="1" x="2489"/>
        <item h="1" m="1" x="4590"/>
        <item h="1" m="1" x="4591"/>
        <item h="1" m="1" x="4593"/>
        <item h="1" m="1" x="4598"/>
        <item h="1" x="261"/>
        <item h="1" m="1" x="4599"/>
        <item h="1" m="1" x="4054"/>
        <item h="1" m="1" x="4445"/>
        <item h="1" m="1" x="4290"/>
        <item h="1" m="1" x="4291"/>
        <item h="1" m="1" x="4133"/>
        <item h="1" m="1" x="3915"/>
        <item h="1" m="1" x="4602"/>
        <item h="1" m="1" x="4604"/>
        <item h="1" m="1" x="4605"/>
        <item h="1" m="1" x="4299"/>
        <item h="1" m="1" x="4303"/>
        <item h="1" m="1" x="4292"/>
        <item h="1" m="1" x="4609"/>
        <item h="1" m="1" x="4613"/>
        <item h="1" m="1" x="4614"/>
        <item h="1" m="1" x="4615"/>
        <item h="1" m="1" x="4616"/>
        <item h="1" m="1" x="4618"/>
        <item h="1" m="1" x="4619"/>
        <item h="1" m="1" x="4620"/>
        <item h="1" m="1" x="4513"/>
        <item h="1" m="1" x="4630"/>
        <item h="1" m="1" x="4631"/>
        <item h="1" m="1" x="4632"/>
        <item h="1" m="1" x="4633"/>
        <item h="1" m="1" x="4634"/>
        <item h="1" m="1" x="4514"/>
        <item h="1" m="1" x="4635"/>
        <item h="1" m="1" x="4636"/>
        <item h="1" m="1" x="4637"/>
        <item h="1" m="1" x="4507"/>
        <item h="1" m="1" x="4515"/>
        <item h="1" m="1" x="4511"/>
        <item h="1" m="1" x="4510"/>
        <item h="1" m="1" x="4509"/>
        <item h="1" m="1" x="4508"/>
        <item h="1" m="1" x="4641"/>
        <item h="1" m="1" x="4516"/>
        <item h="1" m="1" x="4517"/>
        <item h="1" m="1" x="4518"/>
        <item h="1" m="1" x="4644"/>
        <item h="1" m="1" x="4074"/>
        <item h="1" m="1" x="4325"/>
        <item h="1" m="1" x="4191"/>
        <item h="1" m="1" x="4648"/>
        <item h="1" m="1" x="1762"/>
        <item h="1" m="1" x="4195"/>
        <item h="1" m="1" x="4196"/>
        <item h="1" m="1" x="4649"/>
        <item h="1" m="1" x="4650"/>
        <item h="1" m="1" x="4409"/>
        <item h="1" m="1" x="4211"/>
        <item h="1" m="1" x="4652"/>
        <item h="1" m="1" x="3124"/>
        <item h="1" m="1" x="1792"/>
        <item h="1" m="1" x="4653"/>
        <item h="1" m="1" x="4654"/>
        <item h="1" m="1" x="4527"/>
        <item h="1" m="1" x="4655"/>
        <item h="1" m="1" x="1668"/>
        <item h="1" m="1" x="4524"/>
        <item h="1" m="1" x="4656"/>
        <item h="1" m="1" x="4657"/>
        <item h="1" m="1" x="3136"/>
        <item h="1" m="1" x="3139"/>
        <item h="1" m="1" x="1775"/>
        <item h="1" m="1" x="1786"/>
        <item h="1" m="1" x="4658"/>
        <item h="1" m="1" x="4660"/>
        <item h="1" m="1" x="4661"/>
        <item h="1" m="1" x="4543"/>
        <item h="1" m="1" x="4464"/>
        <item h="1" m="1" x="4099"/>
        <item h="1" m="1" x="4165"/>
        <item h="1" m="1" x="4243"/>
        <item h="1" m="1" x="4663"/>
        <item h="1" m="1" x="3479"/>
        <item h="1" m="1" x="4251"/>
        <item h="1" m="1" x="4471"/>
        <item h="1" m="1" x="4252"/>
        <item h="1" m="1" x="4256"/>
        <item h="1" m="1" x="4473"/>
        <item h="1" m="1" x="4110"/>
        <item h="1" m="1" x="4261"/>
        <item h="1" m="1" x="4111"/>
        <item h="1" m="1" x="4475"/>
        <item h="1" m="1" x="4476"/>
        <item h="1" m="1" x="4172"/>
        <item h="1" m="1" x="4117"/>
        <item h="1" m="1" x="3858"/>
        <item h="1" m="1" x="3400"/>
        <item h="1" m="1" x="4281"/>
        <item h="1" m="1" x="4280"/>
        <item h="1" m="1" x="4273"/>
        <item h="1" m="1" x="4276"/>
        <item h="1" m="1" x="3079"/>
        <item h="1" m="1" x="4283"/>
        <item h="1" m="1" x="4485"/>
        <item h="1" m="1" x="4486"/>
        <item h="1" m="1" x="4487"/>
        <item h="1" m="1" x="4488"/>
        <item h="1" m="1" x="4489"/>
        <item h="1" m="1" x="4490"/>
        <item h="1" m="1" x="4492"/>
        <item h="1" m="1" x="4493"/>
        <item h="1" m="1" x="4300"/>
        <item h="1" m="1" x="4494"/>
        <item h="1" m="1" x="4301"/>
        <item h="1" m="1" x="4293"/>
        <item h="1" m="1" x="4294"/>
        <item h="1" m="1" x="4498"/>
        <item h="1" m="1" x="4499"/>
        <item h="1" m="1" x="4500"/>
        <item h="1" m="1" x="4501"/>
        <item h="1" m="1" x="4502"/>
        <item h="1" m="1" x="4503"/>
        <item h="1" m="1" x="4504"/>
        <item h="1" m="1" x="4505"/>
        <item h="1" m="1" x="4308"/>
        <item h="1" m="1" x="4310"/>
        <item h="1" m="1" x="2970"/>
        <item h="1" m="1" x="3111"/>
        <item h="1" m="1" x="4319"/>
        <item h="1" m="1" x="4316"/>
        <item h="1" m="1" x="4317"/>
        <item h="1" m="1" x="2727"/>
        <item h="1" m="1" x="4318"/>
        <item h="1" m="1" x="4321"/>
        <item h="1" m="1" x="4327"/>
        <item h="1" m="1" x="4519"/>
        <item h="1" m="1" x="4520"/>
        <item h="1" m="1" x="4521"/>
        <item h="1" m="1" x="3402"/>
        <item h="1" m="1" x="4350"/>
        <item h="1" m="1" x="4351"/>
        <item h="1" m="1" x="1613"/>
        <item h="1" m="1" x="1901"/>
        <item h="1" m="1" x="4205"/>
        <item h="1" m="1" x="4215"/>
        <item h="1" m="1" x="4214"/>
        <item h="1" m="1" x="4210"/>
        <item h="1" m="1" x="4525"/>
        <item h="1" m="1" x="4526"/>
        <item h="1" m="1" x="1073"/>
        <item h="1" m="1" x="1764"/>
        <item h="1" m="1" x="4528"/>
        <item h="1" m="1" x="4529"/>
        <item h="1" m="1" x="4530"/>
        <item h="1" m="1" x="4531"/>
        <item h="1" m="1" x="4532"/>
        <item h="1" m="1" x="1610"/>
        <item h="1" m="1" x="4533"/>
        <item h="1" m="1" x="1788"/>
        <item h="1" m="1" x="1787"/>
        <item h="1" m="1" x="3138"/>
        <item h="1" m="1" x="4535"/>
        <item h="1" m="1" x="4221"/>
        <item h="1" m="1" x="1789"/>
        <item h="1" m="1" x="1774"/>
        <item h="1" m="1" x="4223"/>
        <item h="1" m="1" x="4536"/>
        <item h="1" m="1" x="4537"/>
        <item h="1" m="1" x="4539"/>
        <item h="1" m="1" x="4540"/>
        <item h="1" m="1" x="3478"/>
        <item h="1" m="1" x="3838"/>
        <item h="1" m="1" x="4452"/>
        <item h="1" m="1" x="4541"/>
        <item h="1" m="1" x="2134"/>
        <item h="1" m="1" x="3146"/>
        <item h="1" m="1" x="4544"/>
        <item h="1" m="1" x="1586"/>
        <item h="1" m="1" x="4017"/>
        <item h="1" m="1" x="4469"/>
        <item h="1" m="1" x="4470"/>
        <item h="1" m="1" x="4108"/>
        <item h="1" m="1" x="4250"/>
        <item h="1" m="1" x="4255"/>
        <item h="1" m="1" x="4257"/>
        <item h="1" m="1" x="4258"/>
        <item h="1" m="1" x="3793"/>
        <item h="1" m="1" x="4259"/>
        <item h="1" m="1" x="4262"/>
        <item h="1" m="1" x="4175"/>
        <item h="1" m="1" x="4266"/>
        <item h="1" m="1" x="4267"/>
        <item h="1" m="1" x="3873"/>
        <item h="1" m="1" x="4275"/>
        <item h="1" m="1" x="4277"/>
        <item h="1" m="1" x="3734"/>
        <item h="1" m="1" x="4278"/>
        <item h="1" m="1" x="4279"/>
        <item h="1" m="1" x="4282"/>
        <item h="1" m="1" x="4463"/>
        <item h="1" m="1" x="4284"/>
        <item h="1" m="1" x="4285"/>
        <item h="1" m="1" x="4286"/>
        <item h="1" m="1" x="4287"/>
        <item h="1" m="1" x="4288"/>
        <item h="1" m="1" x="4289"/>
        <item h="1" m="1" x="4295"/>
        <item h="1" m="1" x="4296"/>
        <item h="1" m="1" x="4297"/>
        <item h="1" m="1" x="4298"/>
        <item h="1" m="1" x="4302"/>
        <item h="1" m="1" x="4304"/>
        <item h="1" m="1" x="4305"/>
        <item h="1" m="1" x="4306"/>
        <item h="1" m="1" x="498"/>
        <item h="1" m="1" x="4307"/>
        <item h="1" m="1" x="822"/>
        <item h="1" m="1" x="2194"/>
        <item h="1" m="1" x="4468"/>
        <item h="1" m="1" x="4311"/>
        <item h="1" m="1" x="4312"/>
        <item h="1" m="1" x="4314"/>
        <item h="1" m="1" x="4315"/>
        <item h="1" m="1" x="3252"/>
        <item h="1" m="1" x="4320"/>
        <item h="1" m="1" x="4331"/>
        <item h="1" m="1" x="4332"/>
        <item h="1" m="1" x="4333"/>
        <item h="1" m="1" x="4334"/>
        <item h="1" m="1" x="4335"/>
        <item h="1" m="1" x="4336"/>
        <item h="1" m="1" x="4337"/>
        <item h="1" m="1" x="4339"/>
        <item h="1" m="1" x="2737"/>
        <item h="1" m="1" x="2738"/>
        <item h="1" m="1" x="4192"/>
        <item h="1" m="1" x="4193"/>
        <item h="1" m="1" x="4359"/>
        <item h="1" m="1" x="4202"/>
        <item h="1" m="1" x="4203"/>
        <item h="1" m="1" x="4209"/>
        <item h="1" m="1" x="4208"/>
        <item h="1" m="1" x="4213"/>
        <item h="1" m="1" x="1732"/>
        <item h="1" m="1" x="4417"/>
        <item h="1" m="1" x="4419"/>
        <item h="1" m="1" x="4420"/>
        <item h="1" m="1" x="4217"/>
        <item h="1" m="1" x="4442"/>
        <item h="1" m="1" x="4451"/>
        <item h="1" m="1" x="3843"/>
        <item h="1" m="1" x="2505"/>
        <item h="1" m="1" x="4014"/>
        <item h="1" m="1" x="4015"/>
        <item h="1" m="1" x="4236"/>
        <item h="1" m="1" x="4240"/>
        <item h="1" m="1" x="2032"/>
        <item h="1" m="1" x="4169"/>
        <item h="1" m="1" x="4103"/>
        <item h="1" m="1" x="4112"/>
        <item h="1" m="1" x="3853"/>
        <item h="1" m="1" x="3862"/>
        <item h="1" x="166"/>
        <item h="1" m="1" x="4171"/>
        <item h="1" m="1" x="4120"/>
        <item h="1" m="1" x="4124"/>
        <item h="1" m="1" x="4125"/>
        <item h="1" m="1" x="4126"/>
        <item h="1" m="1" x="4127"/>
        <item h="1" m="1" x="4128"/>
        <item h="1" m="1" x="4179"/>
        <item h="1" m="1" x="2553"/>
        <item h="1" m="1" x="4047"/>
        <item h="1" m="1" x="4048"/>
        <item h="1" m="1" x="4049"/>
        <item h="1" m="1" x="4045"/>
        <item h="1" m="1" x="4046"/>
        <item h="1" m="1" x="1935"/>
        <item h="1" m="1" x="4182"/>
        <item h="1" m="1" x="3902"/>
        <item h="1" m="1" x="4183"/>
        <item h="1" m="1" x="3958"/>
        <item h="1" m="1" x="4184"/>
        <item h="1" m="1" x="4185"/>
        <item h="1" m="1" x="4186"/>
        <item h="1" m="1" x="4188"/>
        <item h="1" m="1" x="4190"/>
        <item h="1" m="1" x="3817"/>
        <item h="1" m="1" x="3818"/>
        <item h="1" m="1" x="4197"/>
        <item h="1" m="1" x="4198"/>
        <item h="1" m="1" x="4204"/>
        <item h="1" m="1" x="4149"/>
        <item h="1" m="1" x="4148"/>
        <item h="1" m="1" x="3820"/>
        <item h="1" m="1" x="3821"/>
        <item h="1" m="1" x="4002"/>
        <item h="1" m="1" x="4216"/>
        <item h="1" m="1" x="1823"/>
        <item h="1" m="1" x="1709"/>
        <item h="1" m="1" x="1710"/>
        <item h="1" m="1" x="4222"/>
        <item h="1" m="1" x="4225"/>
        <item h="1" m="1" x="4007"/>
        <item h="1" m="1" x="2490"/>
        <item h="1" m="1" x="4226"/>
        <item h="1" m="1" x="4009"/>
        <item h="1" m="1" x="4227"/>
        <item h="1" m="1" x="3842"/>
        <item h="1" m="1" x="4228"/>
        <item h="1" m="1" x="4229"/>
        <item h="1" m="1" x="4230"/>
        <item h="1" m="1" x="4231"/>
        <item h="1" m="1" x="4012"/>
        <item h="1" m="1" x="4233"/>
        <item h="1" m="1" x="2757"/>
        <item h="1" m="1" x="4237"/>
        <item h="1" m="1" x="4167"/>
        <item h="1" m="1" x="4248"/>
        <item h="1" m="1" x="4249"/>
        <item h="1" m="1" x="4105"/>
        <item h="1" m="1" x="4106"/>
        <item h="1" m="1" x="4107"/>
        <item h="1" m="1" x="4113"/>
        <item h="1" m="1" x="4114"/>
        <item h="1" m="1" x="3472"/>
        <item h="1" m="1" x="3473"/>
        <item h="1" m="1" x="3278"/>
        <item h="1" m="1" x="3860"/>
        <item h="1" m="1" x="2185"/>
        <item h="1" m="1" x="4118"/>
        <item h="1" m="1" x="4121"/>
        <item h="1" m="1" x="3871"/>
        <item h="1" m="1" x="4122"/>
        <item h="1" m="1" x="4123"/>
        <item h="1" m="1" x="3800"/>
        <item h="1" m="1" x="4131"/>
        <item h="1" m="1" x="4132"/>
        <item h="1" m="1" x="3880"/>
        <item h="1" m="1" x="3887"/>
        <item h="1" m="1" x="2158"/>
        <item h="1" m="1" x="3892"/>
        <item h="1" m="1" x="4134"/>
        <item h="1" m="1" x="3922"/>
        <item h="1" m="1" x="4135"/>
        <item h="1" m="1" x="4136"/>
        <item h="1" m="1" x="3483"/>
        <item h="1" m="1" x="4137"/>
        <item h="1" m="1" x="4140"/>
        <item h="1" m="1" x="4006"/>
        <item h="1" m="1" x="4071"/>
        <item h="1" m="1" x="3989"/>
        <item h="1" m="1" x="4141"/>
        <item h="1" m="1" x="4143"/>
        <item h="1" m="1" x="4145"/>
        <item h="1" m="1" x="3701"/>
        <item h="1" m="1" x="3823"/>
        <item h="1" m="1" x="3828"/>
        <item h="1" m="1" x="1793"/>
        <item h="1" m="1" x="1794"/>
        <item h="1" m="1" x="4150"/>
        <item h="1" m="1" x="4151"/>
        <item h="1" m="1" x="3997"/>
        <item h="1" m="1" x="4152"/>
        <item h="1" m="1" x="1594"/>
        <item h="1" m="1" x="1700"/>
        <item h="1" m="1" x="3135"/>
        <item h="1" m="1" x="1699"/>
        <item h="1" m="1" x="3141"/>
        <item h="1" m="1" x="4153"/>
        <item h="1" m="1" x="1795"/>
        <item h="1" m="1" x="1798"/>
        <item h="1" m="1" x="1796"/>
        <item h="1" m="1" x="1589"/>
        <item h="1" m="1" x="3142"/>
        <item h="1" m="1" x="2908"/>
        <item h="1" m="1" x="1251"/>
        <item h="1" m="1" x="2874"/>
        <item h="1" m="1" x="3840"/>
        <item h="1" m="1" x="3725"/>
        <item h="1" m="1" x="4156"/>
        <item h="1" m="1" x="4157"/>
        <item h="1" m="1" x="4158"/>
        <item h="1" m="1" x="2497"/>
        <item h="1" m="1" x="4159"/>
        <item h="1" m="1" x="4160"/>
        <item h="1" m="1" x="4161"/>
        <item h="1" m="1" x="4164"/>
        <item h="1" m="1" x="4166"/>
        <item h="1" m="1" x="2938"/>
        <item h="1" m="1" x="4019"/>
        <item h="1" m="1" x="782"/>
        <item h="1" m="1" x="4021"/>
        <item h="1" m="1" x="4022"/>
        <item h="1" m="1" x="4023"/>
        <item h="1" m="1" x="4024"/>
        <item h="1" m="1" x="4025"/>
        <item h="1" m="1" x="4026"/>
        <item h="1" m="1" x="3851"/>
        <item h="1" m="1" x="4028"/>
        <item h="1" m="1" x="4029"/>
        <item h="1" m="1" x="4030"/>
        <item h="1" m="1" x="4031"/>
        <item h="1" m="1" x="4032"/>
        <item h="1" m="1" x="4033"/>
        <item h="1" m="1" x="3166"/>
        <item h="1" m="1" x="4035"/>
        <item h="1" m="1" x="3854"/>
        <item h="1" m="1" x="4036"/>
        <item h="1" m="1" x="3480"/>
        <item h="1" m="1" x="4037"/>
        <item h="1" m="1" x="4038"/>
        <item h="1" m="1" x="4039"/>
        <item h="1" m="1" x="4040"/>
        <item h="1" m="1" x="3857"/>
        <item h="1" m="1" x="3799"/>
        <item h="1" m="1" x="4041"/>
        <item h="1" m="1" x="3670"/>
        <item h="1" m="1" x="3877"/>
        <item h="1" m="1" x="4042"/>
        <item h="1" m="1" x="4043"/>
        <item h="1" m="1" x="4050"/>
        <item h="1" m="1" x="4051"/>
        <item h="1" m="1" x="4052"/>
        <item h="1" m="1" x="4053"/>
        <item h="1" m="1" x="3904"/>
        <item h="1" m="1" x="4055"/>
        <item h="1" m="1" x="3905"/>
        <item h="1" m="1" x="4056"/>
        <item h="1" m="1" x="2395"/>
        <item h="1" m="1" x="3906"/>
        <item h="1" m="1" x="4057"/>
        <item h="1" m="1" x="4058"/>
        <item h="1" m="1" x="4059"/>
        <item h="1" m="1" x="4060"/>
        <item h="1" m="1" x="4061"/>
        <item h="1" m="1" x="3894"/>
        <item h="1" m="1" x="4062"/>
        <item h="1" m="1" x="3909"/>
        <item h="1" m="1" x="3917"/>
        <item h="1" m="1" x="3919"/>
        <item h="1" m="1" x="3481"/>
        <item h="1" m="1" x="4063"/>
        <item h="1" m="1" x="4064"/>
        <item h="1" m="1" x="3482"/>
        <item h="1" m="1" x="3920"/>
        <item h="1" m="1" x="3912"/>
        <item h="1" m="1" x="3486"/>
        <item h="1" m="1" x="4065"/>
        <item h="1" m="1" x="3925"/>
        <item h="1" m="1" x="4066"/>
        <item h="1" m="1" x="4067"/>
        <item h="1" m="1" x="3926"/>
        <item h="1" m="1" x="3109"/>
        <item h="1" m="1" x="3935"/>
        <item h="1" m="1" x="3936"/>
        <item h="1" m="1" x="3937"/>
        <item h="1" m="1" x="3933"/>
        <item h="1" m="1" x="3934"/>
        <item h="1" m="1" x="3949"/>
        <item h="1" m="1" x="3940"/>
        <item h="1" m="1" x="3939"/>
        <item h="1" m="1" x="4069"/>
        <item h="1" m="1" x="4070"/>
        <item h="1" m="1" x="3952"/>
        <item h="1" m="1" x="3962"/>
        <item h="1" m="1" x="3961"/>
        <item h="1" m="1" x="3959"/>
        <item h="1" m="1" x="3954"/>
        <item h="1" m="1" x="3960"/>
        <item h="1" m="1" x="3956"/>
        <item h="1" m="1" x="3957"/>
        <item h="1" m="1" x="3970"/>
        <item h="1" m="1" x="3971"/>
        <item h="1" m="1" x="3977"/>
        <item h="1" m="1" x="4072"/>
        <item h="1" m="1" x="3972"/>
        <item h="1" m="1" x="3974"/>
        <item h="1" m="1" x="3982"/>
        <item h="1" m="1" x="3973"/>
        <item h="1" m="1" x="3975"/>
        <item h="1" m="1" x="3976"/>
        <item h="1" m="1" x="3978"/>
        <item h="1" m="1" x="4073"/>
        <item h="1" m="1" x="3984"/>
        <item h="1" m="1" x="3985"/>
        <item h="1" m="1" x="3986"/>
        <item h="1" m="1" x="3987"/>
        <item h="1" m="1" x="3988"/>
        <item h="1" m="1" x="3992"/>
        <item h="1" m="1" x="4075"/>
        <item h="1" m="1" x="4076"/>
        <item h="1" m="1" x="4077"/>
        <item h="1" m="1" x="1677"/>
        <item h="1" m="1" x="4079"/>
        <item h="1" m="1" x="4080"/>
        <item h="1" m="1" x="1735"/>
        <item h="1" m="1" x="1729"/>
        <item h="1" m="1" x="4081"/>
        <item h="1" m="1" x="4082"/>
        <item h="1" m="1" x="3062"/>
        <item h="1" m="1" x="1734"/>
        <item h="1" m="1" x="3822"/>
        <item h="1" m="1" x="1501"/>
        <item h="1" m="1" x="1756"/>
        <item h="1" m="1" x="1592"/>
        <item h="1" m="1" x="1593"/>
        <item h="1" m="1" x="2823"/>
        <item h="1" m="1" x="4083"/>
        <item h="1" m="1" x="4084"/>
        <item h="1" m="1" x="4085"/>
        <item h="1" m="1" x="4086"/>
        <item h="1" m="1" x="3403"/>
        <item h="1" m="1" x="4087"/>
        <item h="1" m="1" x="4088"/>
        <item h="1" m="1" x="1689"/>
        <item h="1" m="1" x="1688"/>
        <item h="1" m="1" x="1846"/>
        <item h="1" m="1" x="1923"/>
        <item h="1" m="1" x="1711"/>
        <item h="1" m="1" x="2113"/>
        <item h="1" m="1" x="1731"/>
        <item h="1" m="1" x="1704"/>
        <item h="1" m="1" x="3776"/>
        <item h="1" m="1" x="1819"/>
        <item h="1" m="1" x="3407"/>
        <item h="1" m="1" x="3408"/>
        <item h="1" m="1" x="4090"/>
        <item h="1" m="1" x="4091"/>
        <item h="1" m="1" x="2752"/>
        <item h="1" m="1" x="4092"/>
        <item h="1" m="1" x="4008"/>
        <item h="1" m="1" x="4093"/>
        <item h="1" m="1" x="4094"/>
        <item h="1" m="1" x="4011"/>
        <item h="1" m="1" x="4095"/>
        <item h="1" m="1" x="4096"/>
        <item h="1" m="1" x="1021"/>
        <item h="1" m="1" x="4097"/>
        <item h="1" m="1" x="4013"/>
        <item h="1" m="1" x="1712"/>
        <item h="1" m="1" x="1751"/>
        <item h="1" m="1" x="1797"/>
        <item h="1" m="1" x="3145"/>
        <item h="1" m="1" x="4098"/>
        <item h="1" m="1" x="1806"/>
        <item h="1" m="1" x="2515"/>
        <item h="1" m="1" x="4100"/>
        <item h="1" m="1" x="4101"/>
        <item h="1" m="1" x="3848"/>
        <item h="1" m="1" x="3489"/>
        <item h="1" m="1" x="3490"/>
        <item h="1" m="1" x="3791"/>
        <item h="1" m="1" x="3850"/>
        <item h="1" m="1" x="3852"/>
        <item h="1" m="1" x="2528"/>
        <item h="1" m="1" x="3796"/>
        <item h="1" m="1" x="3856"/>
        <item h="1" m="1" x="3863"/>
        <item h="1" m="1" x="3864"/>
        <item h="1" m="1" x="3865"/>
        <item h="1" m="1" x="2688"/>
        <item h="1" m="1" x="1229"/>
        <item h="1" m="1" x="3506"/>
        <item h="1" m="1" x="3870"/>
        <item h="1" m="1" x="3874"/>
        <item h="1" m="1" x="3875"/>
        <item h="1" m="1" x="3876"/>
        <item h="1" m="1" x="3227"/>
        <item h="1" m="1" x="3802"/>
        <item h="1" m="1" x="3879"/>
        <item h="1" m="1" x="3881"/>
        <item h="1" m="1" x="3882"/>
        <item h="1" m="1" x="3884"/>
        <item h="1" m="1" x="3885"/>
        <item h="1" m="1" x="3886"/>
        <item h="1" m="1" x="3888"/>
        <item h="1" m="1" x="3889"/>
        <item h="1" m="1" x="3890"/>
        <item h="1" m="1" x="3891"/>
        <item h="1" m="1" x="3893"/>
        <item h="1" m="1" x="3317"/>
        <item h="1" m="1" x="3514"/>
        <item h="1" m="1" x="3895"/>
        <item h="1" m="1" x="3896"/>
        <item h="1" m="1" x="3897"/>
        <item h="1" m="1" x="1925"/>
        <item h="1" m="1" x="3898"/>
        <item h="1" m="1" x="3899"/>
        <item h="1" m="1" x="3900"/>
        <item h="1" m="1" x="2396"/>
        <item h="1" m="1" x="3901"/>
        <item h="1" m="1" x="3805"/>
        <item h="1" m="1" x="3907"/>
        <item h="1" m="1" x="3908"/>
        <item h="1" m="1" x="3911"/>
        <item h="1" m="1" x="3913"/>
        <item h="1" m="1" x="3916"/>
        <item h="1" m="1" x="3921"/>
        <item h="1" m="1" x="3808"/>
        <item h="1" m="1" x="3924"/>
        <item h="1" m="1" x="3928"/>
        <item h="1" m="1" x="3930"/>
        <item h="1" m="1" x="3931"/>
        <item h="1" m="1" x="3932"/>
        <item h="1" m="1" x="3527"/>
        <item h="1" m="1" x="3528"/>
        <item h="1" m="1" x="3938"/>
        <item h="1" m="1" x="3941"/>
        <item h="1" m="1" x="3942"/>
        <item h="1" m="1" x="3943"/>
        <item h="1" m="1" x="3944"/>
        <item h="1" m="1" x="3945"/>
        <item h="1" m="1" x="3946"/>
        <item h="1" m="1" x="3947"/>
        <item h="1" m="1" x="3948"/>
        <item h="1" m="1" x="3809"/>
        <item h="1" m="1" x="3950"/>
        <item h="1" m="1" x="3951"/>
        <item h="1" m="1" x="3812"/>
        <item h="1" m="1" x="3484"/>
        <item h="1" m="1" x="3955"/>
        <item h="1" m="1" x="2147"/>
        <item h="1" m="1" x="3963"/>
        <item h="1" m="1" x="3049"/>
        <item h="1" m="1" x="3964"/>
        <item h="1" m="1" x="3965"/>
        <item h="1" m="1" x="3966"/>
        <item h="1" m="1" x="3967"/>
        <item h="1" m="1" x="3968"/>
        <item h="1" m="1" x="3969"/>
        <item h="1" m="1" x="3979"/>
        <item h="1" m="1" x="3980"/>
        <item h="1" m="1" x="3981"/>
        <item h="1" m="1" x="3983"/>
        <item h="1" m="1" x="3815"/>
        <item h="1" m="1" x="1940"/>
        <item h="1" m="1" x="3991"/>
        <item h="1" m="1" x="3993"/>
        <item h="1" m="1" x="1800"/>
        <item h="1" m="1" x="2894"/>
        <item h="1" m="1" x="1888"/>
        <item h="1" m="1" x="2896"/>
        <item h="1" m="1" x="3825"/>
        <item h="1" m="1" x="3826"/>
        <item h="1" m="1" x="3996"/>
        <item h="1" m="1" x="3770"/>
        <item h="1" m="1" x="1881"/>
        <item h="1" m="1" x="2254"/>
        <item h="1" m="1" x="3999"/>
        <item h="1" m="1" x="4000"/>
        <item h="1" m="1" x="4001"/>
        <item h="1" m="1" x="1890"/>
        <item h="1" m="1" x="1843"/>
        <item h="1" m="1" x="3422"/>
        <item h="1" m="1" x="3423"/>
        <item h="1" m="1" x="3424"/>
        <item h="1" m="1" x="4004"/>
        <item h="1" m="1" x="1701"/>
        <item h="1" m="1" x="1727"/>
        <item h="1" m="1" x="2648"/>
        <item h="1" m="1" x="3268"/>
        <item h="1" m="1" x="4010"/>
        <item h="1" m="1" x="3845"/>
        <item h="1" m="1" x="3409"/>
        <item h="1" m="1" x="3272"/>
        <item h="1" m="1" x="3491"/>
        <item h="1" m="1" x="3495"/>
        <item h="1" m="1" x="3496"/>
        <item h="1" m="1" x="3498"/>
        <item h="1" m="1" x="3505"/>
        <item h="1" m="1" x="3503"/>
        <item h="1" m="1" x="3499"/>
        <item h="1" m="1" x="3500"/>
        <item h="1" m="1" x="3501"/>
        <item h="1" m="1" x="3502"/>
        <item h="1" m="1" x="2133"/>
        <item h="1" m="1" x="3794"/>
        <item h="1" m="1" x="3795"/>
        <item h="1" m="1" x="3654"/>
        <item h="1" m="1" x="3659"/>
        <item h="1" m="1" x="3660"/>
        <item h="1" m="1" x="3661"/>
        <item h="1" m="1" x="3662"/>
        <item h="1" m="1" x="3733"/>
        <item h="1" m="1" x="3658"/>
        <item h="1" m="1" x="3413"/>
        <item h="1" m="1" x="3414"/>
        <item h="1" m="1" x="3663"/>
        <item h="1" m="1" x="3804"/>
        <item h="1" m="1" x="3508"/>
        <item h="1" m="1" x="2068"/>
        <item h="1" x="357"/>
        <item h="1" m="1" x="3513"/>
        <item h="1" m="1" x="3806"/>
        <item h="1" m="1" x="3807"/>
        <item h="1" x="244"/>
        <item h="1" m="1" x="1216"/>
        <item h="1" m="1" x="3742"/>
        <item h="1" m="1" x="3519"/>
        <item h="1" m="1" x="3521"/>
        <item h="1" m="1" x="3744"/>
        <item h="1" m="1" x="3745"/>
        <item h="1" m="1" x="3534"/>
        <item h="1" m="1" x="3535"/>
        <item h="1" m="1" x="3536"/>
        <item h="1" m="1" x="3530"/>
        <item h="1" m="1" x="3531"/>
        <item h="1" m="1" x="3810"/>
        <item h="1" m="1" x="3811"/>
        <item h="1" m="1" x="3538"/>
        <item h="1" m="1" x="2957"/>
        <item h="1" m="1" x="3813"/>
        <item h="1" m="1" x="3263"/>
        <item h="1" m="1" x="3264"/>
        <item h="1" m="1" x="3032"/>
        <item h="1" m="1" x="3814"/>
        <item h="1" m="1" x="3539"/>
        <item h="1" m="1" x="3540"/>
        <item h="1" m="1" x="3541"/>
        <item h="1" m="1" x="3542"/>
        <item h="1" m="1" x="3546"/>
        <item h="1" m="1" x="3547"/>
        <item h="1" m="1" x="3265"/>
        <item h="1" m="1" x="3816"/>
        <item h="1" m="1" x="3696"/>
        <item h="1" m="1" x="3702"/>
        <item h="1" m="1" x="3700"/>
        <item h="1" m="1" x="3699"/>
        <item h="1" m="1" x="3703"/>
        <item h="1" m="1" x="3819"/>
        <item h="1" m="1" x="3419"/>
        <item h="1" m="1" x="3757"/>
        <item h="1" m="1" x="3266"/>
        <item h="1" m="1" x="3704"/>
        <item h="1" m="1" x="3707"/>
        <item h="1" m="1" x="3709"/>
        <item h="1" m="1" x="3712"/>
        <item h="1" m="1" x="3713"/>
        <item h="1" m="1" x="3708"/>
        <item h="1" m="1" x="3711"/>
        <item h="1" m="1" x="3710"/>
        <item h="1" m="1" x="3705"/>
        <item h="1" m="1" x="1873"/>
        <item h="1" m="1" x="1893"/>
        <item h="1" m="1" x="3829"/>
        <item h="1" m="1" x="3716"/>
        <item h="1" m="1" x="3772"/>
        <item h="1" m="1" x="3773"/>
        <item h="1" m="1" x="3830"/>
        <item h="1" m="1" x="3267"/>
        <item h="1" m="1" x="3775"/>
        <item h="1" m="1" x="3831"/>
        <item h="1" m="1" x="1757"/>
        <item h="1" m="1" x="3777"/>
        <item h="1" m="1" x="3834"/>
        <item h="1" m="1" x="3836"/>
        <item h="1" m="1" x="3837"/>
        <item h="1" m="1" x="3839"/>
        <item h="1" m="1" x="3841"/>
        <item h="1" m="1" x="3846"/>
        <item h="1" m="1" x="3270"/>
        <item h="1" m="1" x="3271"/>
        <item h="1" m="1" x="3269"/>
        <item h="1" m="1" x="2932"/>
        <item h="1" m="1" x="2946"/>
        <item h="1" m="1" x="3729"/>
        <item h="1" m="1" x="3730"/>
        <item h="1" m="1" x="3731"/>
        <item h="1" m="1" x="3095"/>
        <item h="1" m="1" x="3504"/>
        <item h="1" m="1" x="3497"/>
        <item h="1" m="1" x="1350"/>
        <item h="1" m="1" x="3732"/>
        <item h="1" m="1" x="3667"/>
        <item h="1" m="1" x="3668"/>
        <item h="1" m="1" x="3735"/>
        <item h="1" m="1" x="3669"/>
        <item h="1" m="1" x="3657"/>
        <item h="1" m="1" x="3671"/>
        <item h="1" m="1" x="3655"/>
        <item h="1" m="1" x="3672"/>
        <item h="1" m="1" x="3736"/>
        <item h="1" m="1" x="3509"/>
        <item h="1" m="1" x="3737"/>
        <item h="1" m="1" x="3738"/>
        <item h="1" m="1" x="3739"/>
        <item h="1" m="1" x="3740"/>
        <item h="1" m="1" x="3741"/>
        <item h="1" m="1" x="3510"/>
        <item h="1" m="1" x="3517"/>
        <item h="1" m="1" x="2911"/>
        <item h="1" m="1" x="3682"/>
        <item h="1" m="1" x="3683"/>
        <item h="1" m="1" x="3684"/>
        <item h="1" m="1" x="3681"/>
        <item h="1" m="1" x="3515"/>
        <item h="1" m="1" x="3685"/>
        <item h="1" m="1" x="3743"/>
        <item h="1" m="1" x="3523"/>
        <item h="1" m="1" x="3524"/>
        <item h="1" m="1" x="3525"/>
        <item h="1" m="1" x="3537"/>
        <item h="1" m="1" x="3746"/>
        <item h="1" m="1" x="3747"/>
        <item h="1" m="1" x="3529"/>
        <item h="1" m="1" x="3686"/>
        <item h="1" m="1" x="3748"/>
        <item h="1" m="1" x="3749"/>
        <item h="1" m="1" x="3750"/>
        <item h="1" m="1" x="3691"/>
        <item h="1" m="1" x="3687"/>
        <item h="1" m="1" x="3688"/>
        <item h="1" m="1" x="3690"/>
        <item h="1" m="1" x="3689"/>
        <item h="1" m="1" x="3112"/>
        <item h="1" m="1" x="3287"/>
        <item h="1" m="1" x="1204"/>
        <item h="1" m="1" x="3751"/>
        <item h="1" m="1" x="3544"/>
        <item h="1" m="1" x="3694"/>
        <item h="1" m="1" x="3752"/>
        <item h="1" m="1" x="1874"/>
        <item h="1" m="1" x="3753"/>
        <item h="1" m="1" x="3416"/>
        <item h="1" m="1" x="3417"/>
        <item h="1" m="1" x="3754"/>
        <item h="1" m="1" x="3548"/>
        <item h="1" m="1" x="1864"/>
        <item h="1" m="1" x="1728"/>
        <item h="1" m="1" x="3758"/>
        <item h="1" m="1" x="3759"/>
        <item h="1" m="1" x="3760"/>
        <item h="1" m="1" x="3761"/>
        <item h="1" m="1" x="3765"/>
        <item h="1" m="1" x="3766"/>
        <item h="1" m="1" x="3767"/>
        <item h="1" m="1" x="3768"/>
        <item h="1" m="1" x="3769"/>
        <item h="1" m="1" x="3164"/>
        <item h="1" m="1" x="3420"/>
        <item h="1" m="1" x="3421"/>
        <item h="1" m="1" x="1892"/>
        <item h="1" m="1" x="1891"/>
        <item h="1" m="1" x="1261"/>
        <item h="1" m="1" x="3771"/>
        <item h="1" m="1" x="3290"/>
        <item h="1" m="1" x="3717"/>
        <item h="1" m="1" x="3778"/>
        <item h="1" m="1" x="3779"/>
        <item h="1" m="1" x="3780"/>
        <item h="1" m="1" x="3781"/>
        <item h="1" m="1" x="3782"/>
        <item h="1" m="1" x="3783"/>
        <item h="1" m="1" x="3784"/>
        <item h="1" m="1" x="3785"/>
        <item h="1" m="1" x="3786"/>
        <item h="1" m="1" x="3787"/>
        <item h="1" m="1" x="3293"/>
        <item h="1" m="1" x="3788"/>
        <item h="1" m="1" x="2512"/>
        <item h="1" m="1" x="2516"/>
        <item h="1" m="1" x="3790"/>
        <item h="1" m="1" x="2952"/>
        <item h="1" m="1" x="2953"/>
        <item h="1" m="1" x="1196"/>
        <item h="1" m="1" x="3315"/>
        <item h="1" m="1" x="3492"/>
        <item h="1" m="1" x="3493"/>
        <item h="1" m="1" x="3494"/>
        <item h="1" m="1" x="3652"/>
        <item h="1" m="1" x="3558"/>
        <item h="1" m="1" x="3559"/>
        <item h="1" m="1" x="3274"/>
        <item h="1" m="1" x="3277"/>
        <item h="1" m="1" x="2057"/>
        <item h="1" m="1" x="3656"/>
        <item h="1" m="1" x="2554"/>
        <item h="1" m="1" x="3664"/>
        <item h="1" m="1" x="3665"/>
        <item h="1" m="1" x="544"/>
        <item h="1" m="1" x="3673"/>
        <item h="1" m="1" x="3512"/>
        <item h="1" m="1" x="3511"/>
        <item h="1" m="1" x="3674"/>
        <item h="1" m="1" x="3675"/>
        <item h="1" m="1" x="3676"/>
        <item h="1" m="1" x="3677"/>
        <item h="1" m="1" x="3678"/>
        <item h="1" m="1" x="3566"/>
        <item h="1" m="1" x="3567"/>
        <item h="1" m="1" x="3574"/>
        <item h="1" m="1" x="3579"/>
        <item h="1" m="1" x="3580"/>
        <item h="1" m="1" x="3679"/>
        <item h="1" m="1" x="3680"/>
        <item h="1" m="1" x="1214"/>
        <item h="1" m="1" x="2171"/>
        <item h="1" m="1" x="3518"/>
        <item h="1" m="1" x="3585"/>
        <item h="1" m="1" x="3593"/>
        <item h="1" m="1" x="3526"/>
        <item h="1" m="1" x="3596"/>
        <item h="1" m="1" x="3532"/>
        <item h="1" m="1" x="3692"/>
        <item h="1" m="1" x="2798"/>
        <item h="1" m="1" x="3119"/>
        <item h="1" m="1" x="3105"/>
        <item h="1" m="1" x="3543"/>
        <item h="1" m="1" x="3638"/>
        <item h="1" m="1" x="3645"/>
        <item h="1" m="1" x="3545"/>
        <item h="1" m="1" x="3693"/>
        <item h="1" m="1" x="3643"/>
        <item h="1" m="1" x="3695"/>
        <item h="1" m="1" x="3697"/>
        <item h="1" m="1" x="3698"/>
        <item h="1" m="1" x="1745"/>
        <item h="1" m="1" x="3289"/>
        <item h="1" m="1" x="3163"/>
        <item h="1" m="1" x="2083"/>
        <item h="1" m="1" x="3714"/>
        <item h="1" x="80"/>
        <item h="1" m="1" x="3715"/>
        <item h="1" m="1" x="2108"/>
        <item h="1" m="1" x="3718"/>
        <item h="1" m="1" x="3721"/>
        <item h="1" m="1" x="3722"/>
        <item h="1" m="1" x="3724"/>
        <item h="1" m="1" x="3626"/>
        <item h="1" m="1" x="3089"/>
        <item h="1" m="1" x="2758"/>
        <item h="1" m="1" x="3726"/>
        <item h="1" m="1" x="3727"/>
        <item h="1" m="1" x="3093"/>
        <item h="1" m="1" x="3151"/>
        <item h="1" m="1" x="2687"/>
        <item h="1" m="1" x="3627"/>
        <item h="1" m="1" x="3507"/>
        <item h="1" m="1" x="3549"/>
        <item h="1" m="1" x="3550"/>
        <item h="1" m="1" x="3551"/>
        <item h="1" m="1" x="3552"/>
        <item h="1" m="1" x="3553"/>
        <item h="1" m="1" x="3554"/>
        <item h="1" m="1" x="3555"/>
        <item h="1" m="1" x="3556"/>
        <item h="1" m="1" x="3557"/>
        <item h="1" m="1" x="3560"/>
        <item h="1" x="135"/>
        <item h="1" m="1" x="3561"/>
        <item h="1" m="1" x="3562"/>
        <item h="1" m="1" x="3563"/>
        <item h="1" m="1" x="2536"/>
        <item h="1" m="1" x="3276"/>
        <item h="1" x="83"/>
        <item h="1" m="1" x="3564"/>
        <item h="1" m="1" x="3279"/>
        <item h="1" m="1" x="3565"/>
        <item h="1" m="1" x="3157"/>
        <item h="1" m="1" x="3411"/>
        <item h="1" m="1" x="3412"/>
        <item h="1" x="107"/>
        <item h="1" m="1" x="3568"/>
        <item h="1" m="1" x="3569"/>
        <item h="1" m="1" x="3570"/>
        <item h="1" m="1" x="3571"/>
        <item h="1" m="1" x="3572"/>
        <item h="1" m="1" x="3573"/>
        <item h="1" m="1" x="3575"/>
        <item h="1" m="1" x="3576"/>
        <item h="1" m="1" x="3577"/>
        <item h="1" m="1" x="3578"/>
        <item h="1" m="1" x="3581"/>
        <item h="1" m="1" x="3582"/>
        <item h="1" m="1" x="3583"/>
        <item h="1" m="1" x="3584"/>
        <item h="1" m="1" x="3586"/>
        <item h="1" m="1" x="3587"/>
        <item h="1" m="1" x="3588"/>
        <item h="1" m="1" x="3589"/>
        <item h="1" m="1" x="3590"/>
        <item h="1" m="1" x="3591"/>
        <item h="1" m="1" x="3592"/>
        <item h="1" m="1" x="3594"/>
        <item h="1" m="1" x="3595"/>
        <item h="1" m="1" x="3597"/>
        <item h="1" m="1" x="3598"/>
        <item h="1" m="1" x="3599"/>
        <item h="1" m="1" x="1383"/>
        <item h="1" m="1" x="3600"/>
        <item h="1" m="1" x="3601"/>
        <item h="1" m="1" x="3031"/>
        <item h="1" m="1" x="3106"/>
        <item h="1" m="1" x="3107"/>
        <item h="1" m="1" x="3113"/>
        <item h="1" m="1" x="3602"/>
        <item h="1" m="1" x="3603"/>
        <item h="1" m="1" x="3604"/>
        <item h="1" m="1" x="3288"/>
        <item h="1" m="1" x="3605"/>
        <item h="1" m="1" x="3606"/>
        <item h="1" m="1" x="3607"/>
        <item h="1" m="1" x="1951"/>
        <item h="1" m="1" x="3608"/>
        <item h="1" m="1" x="3609"/>
        <item h="1" m="1" x="3445"/>
        <item h="1" m="1" x="3446"/>
        <item h="1" m="1" x="1812"/>
        <item h="1" m="1" x="3610"/>
        <item h="1" m="1" x="3611"/>
        <item h="1" m="1" x="1887"/>
        <item h="1" m="1" x="3612"/>
        <item h="1" m="1" x="3613"/>
        <item h="1" m="1" x="3614"/>
        <item h="1" m="1" x="2024"/>
        <item h="1" m="1" x="1658"/>
        <item h="1" m="1" x="3615"/>
        <item h="1" m="1" x="1884"/>
        <item h="1" m="1" x="3616"/>
        <item h="1" m="1" x="3617"/>
        <item h="1" m="1" x="3618"/>
        <item h="1" m="1" x="2831"/>
        <item h="1" m="1" x="3425"/>
        <item h="1" m="1" x="3426"/>
        <item h="1" m="1" x="3619"/>
        <item h="1" m="1" x="3620"/>
        <item h="1" m="1" x="3621"/>
        <item h="1" m="1" x="3622"/>
        <item h="1" m="1" x="3623"/>
        <item h="1" m="1" x="1657"/>
        <item h="1" m="1" x="3624"/>
        <item h="1" m="1" x="3292"/>
        <item h="1" m="1" x="3625"/>
        <item h="1" m="1" x="1617"/>
        <item h="1" m="1" x="643"/>
        <item h="1" m="1" x="3295"/>
        <item h="1" m="1" x="3438"/>
        <item h="1" m="1" x="3628"/>
        <item h="1" m="1" x="3629"/>
        <item h="1" m="1" x="3631"/>
        <item h="1" m="1" x="3632"/>
        <item h="1" m="1" x="3633"/>
        <item h="1" m="1" x="3634"/>
        <item h="1" m="1" x="3635"/>
        <item h="1" m="1" x="2887"/>
        <item h="1" m="1" x="3636"/>
        <item h="1" m="1" x="3637"/>
        <item h="1" m="1" x="3639"/>
        <item h="1" m="1" x="3640"/>
        <item h="1" m="1" x="3641"/>
        <item h="1" m="1" x="3642"/>
        <item h="1" m="1" x="3644"/>
        <item h="1" m="1" x="3646"/>
        <item h="1" m="1" x="3647"/>
        <item h="1" m="1" x="3648"/>
        <item h="1" m="1" x="3649"/>
        <item h="1" m="1" x="3650"/>
        <item h="1" m="1" x="3651"/>
        <item h="1" m="1" x="3465"/>
        <item h="1" m="1" x="3466"/>
        <item h="1" m="1" x="3467"/>
        <item h="1" m="1" x="3468"/>
        <item h="1" m="1" x="3410"/>
        <item h="1" m="1" x="3427"/>
        <item h="1" m="1" x="3428"/>
        <item h="1" x="268"/>
        <item h="1" m="1" x="3429"/>
        <item h="1" m="1" x="3430"/>
        <item h="1" m="1" x="3431"/>
        <item h="1" m="1" x="3432"/>
        <item h="1" m="1" x="3297"/>
        <item h="1" m="1" x="2966"/>
        <item h="1" m="1" x="3298"/>
        <item h="1" m="1" x="2519"/>
        <item h="1" m="1" x="3299"/>
        <item h="1" m="1" x="3275"/>
        <item h="1" m="1" x="935"/>
        <item h="1" m="1" x="858"/>
        <item h="1" m="1" x="3435"/>
        <item h="1" x="337"/>
        <item h="1" m="1" x="2544"/>
        <item h="1" m="1" x="3436"/>
        <item h="1" m="1" x="3437"/>
        <item h="1" m="1" x="3154"/>
        <item h="1" m="1" x="2853"/>
        <item h="1" m="1" x="3302"/>
        <item h="1" m="1" x="1535"/>
        <item h="1" m="1" x="3439"/>
        <item h="1" m="1" x="3280"/>
        <item h="1" m="1" x="3440"/>
        <item h="1" m="1" x="3441"/>
        <item h="1" m="1" x="3442"/>
        <item h="1" m="1" x="2873"/>
        <item h="1" m="1" x="3444"/>
        <item h="1" m="1" x="3319"/>
        <item h="1" m="1" x="3320"/>
        <item h="1" m="1" x="3286"/>
        <item h="1" m="1" x="3327"/>
        <item h="1" m="1" x="3330"/>
        <item h="1" m="1" x="3331"/>
        <item h="1" m="1" x="3332"/>
        <item h="1" m="1" x="3333"/>
        <item h="1" m="1" x="3281"/>
        <item h="1" m="1" x="3282"/>
        <item h="1" m="1" x="3283"/>
        <item h="1" m="1" x="3284"/>
        <item h="1" m="1" x="3285"/>
        <item h="1" m="1" x="3338"/>
        <item h="1" m="1" x="3363"/>
        <item h="1" m="1" x="1694"/>
        <item h="1" m="1" x="2735"/>
        <item h="1" m="1" x="2322"/>
        <item h="1" m="1" x="3447"/>
        <item h="1" m="1" x="2106"/>
        <item h="1" m="1" x="2107"/>
        <item h="1" m="1" x="3448"/>
        <item h="1" m="1" x="3449"/>
        <item h="1" m="1" x="3450"/>
        <item h="1" m="1" x="3451"/>
        <item h="1" m="1" x="3452"/>
        <item h="1" m="1" x="3453"/>
        <item h="1" m="1" x="3455"/>
        <item h="1" m="1" x="3456"/>
        <item h="1" m="1" x="3457"/>
        <item h="1" m="1" x="3458"/>
        <item h="1" m="1" x="1656"/>
        <item h="1" m="1" x="3459"/>
        <item h="1" m="1" x="3460"/>
        <item h="1" m="1" x="2345"/>
        <item h="1" m="1" x="2114"/>
        <item h="1" m="1" x="3461"/>
        <item h="1" m="1" x="3291"/>
        <item h="1" m="1" x="1845"/>
        <item h="1" m="1" x="3462"/>
        <item h="1" m="1" x="3463"/>
        <item h="1" m="1" x="1807"/>
        <item h="1" m="1" x="3464"/>
        <item h="1" m="1" x="2935"/>
        <item h="1" m="1" x="2284"/>
        <item h="1" m="1" x="2940"/>
        <item h="1" m="1" x="2942"/>
        <item h="1" m="1" x="2518"/>
        <item h="1" x="157"/>
        <item h="1" m="1" x="3296"/>
        <item h="1" m="1" x="3171"/>
        <item h="1" m="1" x="3155"/>
        <item h="1" m="1" x="3303"/>
        <item h="1" m="1" x="3304"/>
        <item h="1" m="1" x="2776"/>
        <item h="1" m="1" x="2537"/>
        <item h="1" m="1" x="3305"/>
        <item h="1" m="1" x="3158"/>
        <item h="1" m="1" x="1093"/>
        <item h="1" m="1" x="2879"/>
        <item h="1" m="1" x="3308"/>
        <item h="1" m="1" x="3309"/>
        <item h="1" m="1" x="3310"/>
        <item h="1" m="1" x="2714"/>
        <item h="1" m="1" x="2172"/>
        <item h="1" m="1" x="3312"/>
        <item h="1" m="1" x="3011"/>
        <item h="1" m="1" x="3009"/>
        <item h="1" m="1" x="3313"/>
        <item h="1" m="1" x="3314"/>
        <item h="1" m="1" x="3316"/>
        <item h="1" m="1" x="3318"/>
        <item h="1" m="1" x="3321"/>
        <item h="1" m="1" x="3322"/>
        <item h="1" m="1" x="3323"/>
        <item h="1" m="1" x="3325"/>
        <item h="1" m="1" x="3326"/>
        <item h="1" m="1" x="3328"/>
        <item h="1" m="1" x="2570"/>
        <item h="1" m="1" x="3329"/>
        <item h="1" m="1" x="3334"/>
        <item h="1" m="1" x="3335"/>
        <item h="1" m="1" x="3336"/>
        <item h="1" m="1" x="2958"/>
        <item h="1" m="1" x="3036"/>
        <item h="1" m="1" x="1902"/>
        <item h="1" m="1" x="3337"/>
        <item h="1" m="1" x="2852"/>
        <item h="1" m="1" x="3340"/>
        <item h="1" m="1" x="3341"/>
        <item h="1" m="1" x="2885"/>
        <item h="1" m="1" x="3342"/>
        <item h="1" m="1" x="2078"/>
        <item h="1" m="1" x="3042"/>
        <item h="1" m="1" x="3043"/>
        <item h="1" m="1" x="3343"/>
        <item h="1" m="1" x="3344"/>
        <item h="1" m="1" x="3345"/>
        <item h="1" m="1" x="3346"/>
        <item h="1" m="1" x="3347"/>
        <item h="1" m="1" x="3348"/>
        <item h="1" m="1" x="3349"/>
        <item h="1" m="1" x="3350"/>
        <item h="1" m="1" x="3351"/>
        <item h="1" m="1" x="3162"/>
        <item h="1" m="1" x="1654"/>
        <item h="1" m="1" x="1690"/>
        <item h="1" m="1" x="2745"/>
        <item h="1" m="1" x="3353"/>
        <item h="1" m="1" x="1604"/>
        <item h="1" m="1" x="3208"/>
        <item h="1" m="1" x="3209"/>
        <item h="1" m="1" x="3354"/>
        <item h="1" m="1" x="2914"/>
        <item h="1" m="1" x="2919"/>
        <item h="1" m="1" x="3355"/>
        <item h="1" m="1" x="2498"/>
        <item h="1" m="1" x="3235"/>
        <item h="1" m="1" x="3356"/>
        <item h="1" m="1" x="3357"/>
        <item h="1" m="1" x="3358"/>
        <item h="1" m="1" x="3232"/>
        <item h="1" m="1" x="3233"/>
        <item h="1" m="1" x="3359"/>
        <item h="1" m="1" x="3237"/>
        <item h="1" m="1" x="3360"/>
        <item h="1" m="1" x="3229"/>
        <item h="1" m="1" x="3361"/>
        <item h="1" m="1" x="3228"/>
        <item h="1" m="1" x="3230"/>
        <item h="1" m="1" x="3231"/>
        <item h="1" m="1" x="3362"/>
        <item h="1" m="1" x="3364"/>
        <item h="1" m="1" x="3365"/>
        <item h="1" m="1" x="3366"/>
        <item h="1" m="1" x="3367"/>
        <item h="1" m="1" x="3181"/>
        <item h="1" m="1" x="3368"/>
        <item h="1" m="1" x="3369"/>
        <item h="1" m="1" x="3370"/>
        <item h="1" m="1" x="3371"/>
        <item h="1" m="1" x="3372"/>
        <item h="1" m="1" x="3373"/>
        <item h="1" m="1" x="2562"/>
        <item h="1" m="1" x="3374"/>
        <item h="1" m="1" x="3375"/>
        <item h="1" m="1" x="3092"/>
        <item h="1" m="1" x="3377"/>
        <item h="1" m="1" x="3378"/>
        <item h="1" m="1" x="3379"/>
        <item h="1" m="1" x="3198"/>
        <item h="1" m="1" x="3380"/>
        <item h="1" m="1" x="1840"/>
        <item h="1" m="1" x="1801"/>
        <item h="1" m="1" x="3381"/>
        <item h="1" m="1" x="3382"/>
        <item h="1" m="1" x="3383"/>
        <item h="1" m="1" x="3384"/>
        <item h="1" m="1" x="3385"/>
        <item h="1" m="1" x="1886"/>
        <item h="1" m="1" x="3225"/>
        <item h="1" m="1" x="3219"/>
        <item h="1" m="1" x="3386"/>
        <item h="1" m="1" x="3221"/>
        <item h="1" m="1" x="3216"/>
        <item h="1" m="1" x="3387"/>
        <item h="1" m="1" x="3388"/>
        <item h="1" m="1" x="3131"/>
        <item h="1" m="1" x="3389"/>
        <item h="1" m="1" x="3226"/>
        <item h="1" m="1" x="1685"/>
        <item h="1" m="1" x="1842"/>
        <item h="1" m="1" x="2920"/>
        <item h="1" m="1" x="3390"/>
        <item h="1" m="1" x="1938"/>
        <item h="1" m="1" x="3391"/>
        <item h="1" m="1" x="3392"/>
        <item h="1" m="1" x="3393"/>
        <item h="1" m="1" x="3236"/>
        <item h="1" m="1" x="3394"/>
        <item h="1" m="1" x="3395"/>
        <item h="1" m="1" x="3148"/>
        <item h="1" m="1" x="2943"/>
        <item h="1" m="1" x="3396"/>
        <item h="1" m="1" x="3397"/>
        <item h="1" m="1" x="2951"/>
        <item h="1" m="1" x="3161"/>
        <item h="1" m="1" x="1584"/>
        <item h="1" m="1" x="1583"/>
        <item h="1" m="1" x="1900"/>
        <item h="1" m="1" x="1439"/>
        <item h="1" m="1" x="3168"/>
        <item h="1" m="1" x="3169"/>
        <item h="1" m="1" x="3170"/>
        <item h="1" m="1" x="3094"/>
        <item h="1" m="1" x="3172"/>
        <item h="1" m="1" x="3173"/>
        <item h="1" m="1" x="3175"/>
        <item h="1" m="1" x="3176"/>
        <item h="1" m="1" x="1518"/>
        <item h="1" m="1" x="2854"/>
        <item h="1" m="1" x="2855"/>
        <item h="1" m="1" x="2778"/>
        <item h="1" m="1" x="1964"/>
        <item h="1" m="1" x="2550"/>
        <item h="1" m="1" x="2551"/>
        <item h="1" m="1" x="3180"/>
        <item h="1" m="1" x="3183"/>
        <item h="1" m="1" x="3185"/>
        <item h="1" m="1" x="3103"/>
        <item h="1" m="1" x="3186"/>
        <item h="1" m="1" x="3187"/>
        <item h="1" m="1" x="3188"/>
        <item h="1" m="1" x="3189"/>
        <item h="1" m="1" x="1215"/>
        <item h="1" m="1" x="2991"/>
        <item h="1" m="1" x="3191"/>
        <item h="1" m="1" x="2871"/>
        <item h="1" m="1" x="3192"/>
        <item h="1" m="1" x="3193"/>
        <item h="1" m="1" x="3194"/>
        <item h="1" m="1" x="3018"/>
        <item h="1" m="1" x="3195"/>
        <item h="1" m="1" x="3024"/>
        <item h="1" m="1" x="2142"/>
        <item h="1" m="1" x="3196"/>
        <item h="1" m="1" x="3197"/>
        <item h="1" m="1" x="3013"/>
        <item h="1" m="1" x="3117"/>
        <item h="1" m="1" x="3035"/>
        <item h="1" m="1" x="3116"/>
        <item h="1" m="1" x="3115"/>
        <item h="1" m="1" x="3034"/>
        <item h="1" m="1" x="3037"/>
        <item h="1" m="1" x="3199"/>
        <item h="1" m="1" x="1960"/>
        <item h="1" m="1" x="3200"/>
        <item h="1" m="1" x="3201"/>
        <item h="1" m="1" x="3202"/>
        <item h="1" m="1" x="3203"/>
        <item h="1" m="1" x="3204"/>
        <item h="1" m="1" x="2822"/>
        <item h="1" m="1" x="3205"/>
        <item h="1" m="1" x="3206"/>
        <item h="1" m="1" x="3207"/>
        <item h="1" m="1" x="1765"/>
        <item h="1" m="1" x="1733"/>
        <item h="1" m="1" x="3211"/>
        <item h="1" m="1" x="3213"/>
        <item h="1" m="1" x="3214"/>
        <item h="1" m="1" x="3215"/>
        <item h="1" m="1" x="3217"/>
        <item h="1" m="1" x="3218"/>
        <item h="1" m="1" x="3126"/>
        <item h="1" m="1" x="3222"/>
        <item h="1" m="1" x="3224"/>
        <item h="1" m="1" x="2488"/>
        <item h="1" m="1" x="3234"/>
        <item h="1" m="1" x="3238"/>
        <item h="1" m="1" x="2835"/>
        <item h="1" m="1" x="2836"/>
        <item h="1" m="1" x="3240"/>
        <item h="1" m="1" x="3241"/>
        <item h="1" m="1" x="1200"/>
        <item h="1" m="1" x="1519"/>
        <item h="1" m="1" x="3152"/>
        <item h="1" m="1" x="3242"/>
        <item h="1" m="1" x="2967"/>
        <item h="1" m="1" x="3243"/>
        <item h="1" m="1" x="3244"/>
        <item h="1" m="1" x="3245"/>
        <item h="1" m="1" x="3246"/>
        <item h="1" m="1" x="3247"/>
        <item h="1" m="1" x="3248"/>
        <item h="1" m="1" x="3250"/>
        <item h="1" m="1" x="3251"/>
        <item h="1" m="1" x="2214"/>
        <item h="1" m="1" x="3253"/>
        <item h="1" m="1" x="3254"/>
        <item h="1" m="1" x="3255"/>
        <item h="1" m="1" x="3256"/>
        <item h="1" x="367"/>
        <item h="1" m="1" x="3257"/>
        <item h="1" m="1" x="3258"/>
        <item h="1" m="1" x="3259"/>
        <item h="1" m="1" x="1877"/>
        <item h="1" m="1" x="3260"/>
        <item h="1" m="1" x="3261"/>
        <item h="1" m="1" x="3262"/>
        <item h="1" m="1" x="3137"/>
        <item h="1" m="1" x="2962"/>
        <item h="1" m="1" x="2964"/>
        <item h="1" m="1" x="2963"/>
        <item h="1" m="1" x="2848"/>
        <item h="1" m="1" x="2968"/>
        <item h="1" m="1" x="2433"/>
        <item h="1" m="1" x="3096"/>
        <item h="1" m="1" x="3097"/>
        <item h="1" m="1" x="3098"/>
        <item h="1" m="1" x="2973"/>
        <item h="1" m="1" x="2775"/>
        <item h="1" m="1" x="2777"/>
        <item h="1" m="1" x="2978"/>
        <item h="1" m="1" x="2856"/>
        <item h="1" m="1" x="2979"/>
        <item h="1" m="1" x="2982"/>
        <item h="1" m="1" x="2983"/>
        <item h="1" m="1" x="2549"/>
        <item h="1" m="1" x="2989"/>
        <item h="1" m="1" x="2990"/>
        <item h="1" m="1" x="3101"/>
        <item h="1" m="1" x="3102"/>
        <item h="1" m="1" x="2995"/>
        <item h="1" m="1" x="2996"/>
        <item h="1" m="1" x="3004"/>
        <item h="1" m="1" x="3005"/>
        <item h="1" m="1" x="2880"/>
        <item h="1" m="1" x="3008"/>
        <item h="1" m="1" x="3104"/>
        <item h="1" m="1" x="3022"/>
        <item h="1" m="1" x="3017"/>
        <item h="1" m="1" x="3020"/>
        <item h="1" m="1" x="3027"/>
        <item h="1" m="1" x="3033"/>
        <item h="1" m="1" x="3118"/>
        <item h="1" m="1" x="3041"/>
        <item h="1" m="1" x="3046"/>
        <item h="1" m="1" x="3051"/>
        <item h="1" m="1" x="3052"/>
        <item h="1" m="1" x="3053"/>
        <item h="1" m="1" x="3054"/>
        <item h="1" m="1" x="3055"/>
        <item h="1" m="1" x="3120"/>
        <item h="1" m="1" x="3121"/>
        <item h="1" m="1" x="3122"/>
        <item h="1" m="1" x="3123"/>
        <item h="1" m="1" x="2457"/>
        <item h="1" m="1" x="1736"/>
        <item h="1" m="1" x="1568"/>
        <item h="1" m="1" x="2897"/>
        <item h="1" m="1" x="1560"/>
        <item h="1" m="1" x="1569"/>
        <item h="1" m="1" x="1564"/>
        <item h="1" m="1" x="1565"/>
        <item h="1" m="1" x="1567"/>
        <item h="1" m="1" x="3125"/>
        <item h="1" m="1" x="1865"/>
        <item h="1" m="1" x="1866"/>
        <item h="1" m="1" x="3127"/>
        <item h="1" m="1" x="3128"/>
        <item h="1" m="1" x="3129"/>
        <item h="1" m="1" x="3130"/>
        <item h="1" m="1" x="1821"/>
        <item h="1" m="1" x="1822"/>
        <item h="1" m="1" x="3132"/>
        <item h="1" m="1" x="2901"/>
        <item h="1" m="1" x="2902"/>
        <item h="1" m="1" x="3134"/>
        <item h="1" m="1" x="1702"/>
        <item h="1" m="1" x="3140"/>
        <item h="1" m="1" x="2928"/>
        <item h="1" m="1" x="1570"/>
        <item h="1" m="1" x="1566"/>
        <item h="1" m="1" x="3085"/>
        <item h="1" m="1" x="3144"/>
        <item h="1" m="1" x="3147"/>
        <item h="1" m="1" x="3149"/>
        <item h="1" m="1" x="3150"/>
        <item h="1" m="1" x="2949"/>
        <item h="1" m="1" x="2844"/>
        <item h="1" m="1" x="2965"/>
        <item h="1" m="1" x="2769"/>
        <item h="1" m="1" x="2969"/>
        <item h="1" m="1" x="2971"/>
        <item h="1" m="1" x="2972"/>
        <item h="1" m="1" x="2975"/>
        <item h="1" x="84"/>
        <item h="1" m="1" x="2976"/>
        <item h="1" m="1" x="2977"/>
        <item h="1" m="1" x="2779"/>
        <item h="1" m="1" x="2858"/>
        <item h="1" m="1" x="2980"/>
        <item h="1" m="1" x="2784"/>
        <item h="1" m="1" x="2984"/>
        <item h="1" m="1" x="2545"/>
        <item h="1" m="1" x="2546"/>
        <item h="1" m="1" x="2986"/>
        <item h="1" m="1" x="2988"/>
        <item h="1" m="1" x="2992"/>
        <item h="1" m="1" x="2791"/>
        <item h="1" m="1" x="2993"/>
        <item h="1" m="1" x="2997"/>
        <item h="1" m="1" x="2998"/>
        <item h="1" m="1" x="2999"/>
        <item h="1" m="1" x="3000"/>
        <item h="1" m="1" x="2875"/>
        <item h="1" m="1" x="2876"/>
        <item h="1" m="1" x="2877"/>
        <item h="1" m="1" x="3001"/>
        <item h="1" m="1" x="2717"/>
        <item h="1" m="1" x="3002"/>
        <item h="1" m="1" x="2878"/>
        <item h="1" m="1" x="3006"/>
        <item h="1" x="371"/>
        <item h="1" m="1" x="3015"/>
        <item h="1" m="1" x="3019"/>
        <item h="1" m="1" x="3021"/>
        <item h="1" m="1" x="2569"/>
        <item h="1" m="1" x="3025"/>
        <item h="1" m="1" x="3026"/>
        <item h="1" m="1" x="3028"/>
        <item h="1" m="1" x="3029"/>
        <item h="1" m="1" x="3030"/>
        <item h="1" m="1" x="3040"/>
        <item h="1" m="1" x="3044"/>
        <item h="1" m="1" x="3045"/>
        <item h="1" m="1" x="3047"/>
        <item h="1" m="1" x="3048"/>
        <item h="1" m="1" x="3050"/>
        <item h="1" m="1" x="3056"/>
        <item h="1" m="1" x="2888"/>
        <item h="1" m="1" x="2808"/>
        <item h="1" m="1" x="2890"/>
        <item h="1" m="1" x="3057"/>
        <item h="1" m="1" x="3058"/>
        <item h="1" m="1" x="3059"/>
        <item h="1" m="1" x="1753"/>
        <item h="1" m="1" x="3060"/>
        <item h="1" m="1" x="2751"/>
        <item h="1" m="1" x="3061"/>
        <item h="1" m="1" x="2462"/>
        <item h="1" m="1" x="1563"/>
        <item h="1" m="1" x="3063"/>
        <item h="1" m="1" x="3064"/>
        <item h="1" m="1" x="1655"/>
        <item h="1" m="1" x="1602"/>
        <item h="1" m="1" x="1599"/>
        <item h="1" m="1" x="3066"/>
        <item h="1" m="1" x="3067"/>
        <item h="1" m="1" x="3068"/>
        <item h="1" m="1" x="3069"/>
        <item h="1" m="1" x="3070"/>
        <item h="1" m="1" x="3071"/>
        <item h="1" m="1" x="3072"/>
        <item h="1" m="1" x="3074"/>
        <item h="1" m="1" x="1897"/>
        <item h="1" m="1" x="3075"/>
        <item h="1" m="1" x="3076"/>
        <item h="1" m="1" x="3077"/>
        <item h="1" m="1" x="2909"/>
        <item h="1" m="1" x="3080"/>
        <item h="1" m="1" x="3081"/>
        <item h="1" m="1" x="3082"/>
        <item h="1" m="1" x="3083"/>
        <item h="1" m="1" x="3084"/>
        <item h="1" m="1" x="3086"/>
        <item h="1" m="1" x="2661"/>
        <item h="1" m="1" x="3087"/>
        <item h="1" m="1" x="3088"/>
        <item h="1" m="1" x="3090"/>
        <item h="1" m="1" x="3091"/>
        <item h="1" m="1" x="2684"/>
        <item h="1" m="1" x="2686"/>
        <item h="1" m="1" x="924"/>
        <item h="1" m="1" x="2959"/>
        <item h="1" m="1" x="2359"/>
        <item h="1" m="1" x="2847"/>
        <item h="1" x="215"/>
        <item h="1" m="1" x="2849"/>
        <item h="1" m="1" x="2693"/>
        <item h="1" m="1" x="2850"/>
        <item h="1" m="1" x="2770"/>
        <item h="1" m="1" x="2529"/>
        <item h="1" m="1" x="2694"/>
        <item h="1" m="1" x="2851"/>
        <item h="1" x="219"/>
        <item h="1" m="1" x="2774"/>
        <item h="1" m="1" x="2535"/>
        <item h="1" m="1" x="2702"/>
        <item h="1" m="1" x="2857"/>
        <item h="1" m="1" x="2860"/>
        <item h="1" m="1" x="2064"/>
        <item h="1" m="1" x="2781"/>
        <item h="1" m="1" x="2862"/>
        <item h="1" m="1" x="2782"/>
        <item h="1" m="1" x="2864"/>
        <item h="1" m="1" x="2866"/>
        <item h="1" m="1" x="2792"/>
        <item h="1" m="1" x="2793"/>
        <item h="1" m="1" x="2867"/>
        <item h="1" m="1" x="2868"/>
        <item h="1" m="1" x="2785"/>
        <item h="1" m="1" x="2786"/>
        <item h="1" m="1" x="2556"/>
        <item h="1" m="1" x="2711"/>
        <item h="1" m="1" x="2710"/>
        <item h="1" m="1" x="2394"/>
        <item h="1" m="1" x="2177"/>
        <item h="1" m="1" x="2176"/>
        <item h="1" m="1" x="2398"/>
        <item h="1" m="1" x="2397"/>
        <item h="1" m="1" x="2794"/>
        <item h="1" m="1" x="2574"/>
        <item h="1" m="1" x="2418"/>
        <item h="1" m="1" x="2419"/>
        <item h="1" m="1" x="2421"/>
        <item h="1" m="1" x="2420"/>
        <item h="1" m="1" x="2883"/>
        <item h="1" m="1" x="2577"/>
        <item h="1" m="1" x="2884"/>
        <item h="1" m="1" x="2886"/>
        <item h="1" m="1" x="2802"/>
        <item h="1" m="1" x="2804"/>
        <item h="1" m="1" x="2805"/>
        <item h="1" m="1" x="2450"/>
        <item h="1" m="1" x="2731"/>
        <item h="1" m="1" x="2451"/>
        <item h="1" m="1" x="1944"/>
        <item h="1" m="1" x="2599"/>
        <item h="1" m="1" x="2891"/>
        <item h="1" m="1" x="2892"/>
        <item h="1" m="1" x="2893"/>
        <item h="1" m="1" x="1791"/>
        <item h="1" m="1" x="2895"/>
        <item h="1" m="1" x="2898"/>
        <item h="1" m="1" x="2484"/>
        <item h="1" m="1" x="2900"/>
        <item h="1" m="1" x="2613"/>
        <item h="1" m="1" x="2903"/>
        <item h="1" m="1" x="2904"/>
        <item h="1" m="1" x="2905"/>
        <item h="1" m="1" x="2912"/>
        <item h="1" m="1" x="2915"/>
        <item h="1" m="1" x="2650"/>
        <item h="1" m="1" x="2924"/>
        <item h="1" m="1" x="2927"/>
        <item h="1" m="1" x="2652"/>
        <item h="1" m="1" x="2837"/>
        <item h="1" m="1" x="2929"/>
        <item h="1" m="1" x="2681"/>
        <item h="1" m="1" x="2933"/>
        <item h="1" m="1" x="2944"/>
        <item h="1" m="1" x="2137"/>
        <item h="1" m="1" x="2138"/>
        <item h="1" m="1" x="2361"/>
        <item h="1" m="1" x="2690"/>
        <item h="1" x="238"/>
        <item h="1" m="1" x="2763"/>
        <item h="1" m="1" x="2764"/>
        <item h="1" m="1" x="2765"/>
        <item h="1" m="1" x="2368"/>
        <item h="1" m="1" x="2771"/>
        <item h="1" m="1" x="2531"/>
        <item h="1" m="1" x="2530"/>
        <item h="1" m="1" x="2696"/>
        <item h="1" m="1" x="2697"/>
        <item h="1" m="1" x="2699"/>
        <item h="1" m="1" x="2703"/>
        <item h="1" m="1" x="2539"/>
        <item h="1" m="1" x="2541"/>
        <item h="1" m="1" x="1058"/>
        <item h="1" m="1" x="2780"/>
        <item h="1" m="1" x="2547"/>
        <item h="1" m="1" x="2548"/>
        <item h="1" m="1" x="2295"/>
        <item h="1" m="1" x="2783"/>
        <item h="1" m="1" x="2787"/>
        <item h="1" m="1" x="2708"/>
        <item h="1" m="1" x="2788"/>
        <item h="1" m="1" x="2790"/>
        <item h="1" m="1" x="2719"/>
        <item h="1" x="252"/>
        <item h="1" m="1" x="2560"/>
        <item h="1" m="1" x="2564"/>
        <item h="1" m="1" x="2071"/>
        <item h="1" m="1" x="2724"/>
        <item h="1" m="1" x="2572"/>
        <item h="1" m="1" x="2427"/>
        <item h="1" m="1" x="2576"/>
        <item h="1" m="1" x="2432"/>
        <item h="1" m="1" x="2800"/>
        <item h="1" m="1" x="2801"/>
        <item h="1" x="329"/>
        <item h="1" m="1" x="2730"/>
        <item h="1" m="1" x="2803"/>
        <item h="1" m="1" x="2807"/>
        <item h="1" m="1" x="2809"/>
        <item h="1" m="1" x="2810"/>
        <item h="1" m="1" x="2811"/>
        <item h="1" m="1" x="2458"/>
        <item h="1" m="1" x="2812"/>
        <item h="1" m="1" x="1783"/>
        <item h="1" m="1" x="1296"/>
        <item h="1" m="1" x="2813"/>
        <item h="1" m="1" x="2739"/>
        <item h="1" m="1" x="2814"/>
        <item h="1" m="1" x="2815"/>
        <item h="1" m="1" x="2085"/>
        <item h="1" m="1" x="2816"/>
        <item h="1" m="1" x="2817"/>
        <item h="1" m="1" x="2818"/>
        <item h="1" m="1" x="2819"/>
        <item h="1" m="1" x="2820"/>
        <item h="1" m="1" x="2821"/>
        <item h="1" m="1" x="2825"/>
        <item h="1" m="1" x="2826"/>
        <item h="1" m="1" x="1571"/>
        <item h="1" m="1" x="2827"/>
        <item h="1" m="1" x="2828"/>
        <item h="1" m="1" x="2829"/>
        <item h="1" m="1" x="2830"/>
        <item h="1" m="1" x="1894"/>
        <item h="1" m="1" x="2832"/>
        <item h="1" m="1" x="2833"/>
        <item h="1" m="1" x="2838"/>
        <item h="1" m="1" x="2839"/>
        <item h="1" m="1" x="2840"/>
        <item h="1" m="1" x="2841"/>
        <item h="1" m="1" x="2286"/>
        <item h="1" m="1" x="2759"/>
        <item h="1" m="1" x="2845"/>
        <item h="1" m="1" x="773"/>
        <item h="1" m="1" x="2846"/>
        <item h="1" m="1" x="2692"/>
        <item h="1" m="1" x="2532"/>
        <item h="1" m="1" x="2698"/>
        <item h="1" m="1" x="2376"/>
        <item h="1" m="1" x="2700"/>
        <item h="1" m="1" x="2701"/>
        <item h="1" m="1" x="2387"/>
        <item h="1" m="1" x="2296"/>
        <item h="1" m="1" x="2704"/>
        <item h="1" m="1" x="2507"/>
        <item h="1" m="1" x="2384"/>
        <item h="1" m="1" x="2385"/>
        <item h="1" m="1" x="2705"/>
        <item h="1" m="1" x="2555"/>
        <item h="1" m="1" x="2706"/>
        <item h="1" m="1" x="2709"/>
        <item h="1" m="1" x="2713"/>
        <item h="1" m="1" x="2715"/>
        <item h="1" m="1" x="1311"/>
        <item h="1" x="1"/>
        <item h="1" m="1" x="2399"/>
        <item h="1" m="1" x="2400"/>
        <item h="1" m="1" x="2406"/>
        <item h="1" m="1" x="2407"/>
        <item h="1" m="1" x="2186"/>
        <item h="1" m="1" x="2722"/>
        <item h="1" m="1" x="2568"/>
        <item h="1" m="1" x="2723"/>
        <item h="1" m="1" x="2573"/>
        <item h="1" m="1" x="2195"/>
        <item h="1" m="1" x="2571"/>
        <item h="1" m="1" x="2417"/>
        <item h="1" m="1" x="2725"/>
        <item h="1" m="1" x="2580"/>
        <item h="1" m="1" x="2726"/>
        <item h="1" m="1" x="2193"/>
        <item h="1" m="1" x="2581"/>
        <item h="1" m="1" x="2728"/>
        <item h="1" m="1" x="2729"/>
        <item h="1" m="1" x="2452"/>
        <item h="1" m="1" x="2596"/>
        <item h="1" m="1" x="2733"/>
        <item h="1" m="1" x="2075"/>
        <item h="1" m="1" x="2734"/>
        <item h="1" m="1" x="2736"/>
        <item h="1" m="1" x="1782"/>
        <item h="1" m="1" x="2740"/>
        <item h="1" m="1" x="2092"/>
        <item h="1" m="1" x="2093"/>
        <item h="1" m="1" x="2741"/>
        <item h="1" m="1" x="2742"/>
        <item h="1" m="1" x="2743"/>
        <item h="1" m="1" x="2744"/>
        <item h="1" m="1" x="2746"/>
        <item h="1" m="1" x="2747"/>
        <item h="1" m="1" x="2604"/>
        <item h="1" m="1" x="2605"/>
        <item h="1" m="1" x="2748"/>
        <item h="1" m="1" x="2482"/>
        <item h="1" m="1" x="2749"/>
        <item h="1" m="1" x="2750"/>
        <item h="1" m="1" x="1814"/>
        <item h="1" m="1" x="1815"/>
        <item h="1" m="1" x="1572"/>
        <item h="1" m="1" x="2121"/>
        <item h="1" m="1" x="2660"/>
        <item h="1" m="1" x="2754"/>
        <item h="1" m="1" x="2755"/>
        <item h="1" m="1" x="2677"/>
        <item h="1" m="1" x="2678"/>
        <item h="1" m="1" x="2510"/>
        <item h="1" m="1" x="2682"/>
        <item h="1" m="1" x="2760"/>
        <item h="1" m="1" x="2761"/>
        <item h="1" m="1" x="2521"/>
        <item h="1" m="1" x="2360"/>
        <item h="1" m="1" x="2363"/>
        <item h="1" m="1" x="2365"/>
        <item h="1" m="1" x="1790"/>
        <item h="1" m="1" x="2050"/>
        <item h="1" m="1" x="2366"/>
        <item h="1" m="1" x="2525"/>
        <item h="1" m="1" x="2527"/>
        <item h="1" m="1" x="2135"/>
        <item h="1" m="1" x="2533"/>
        <item h="1" m="1" x="2534"/>
        <item h="1" m="1" x="2538"/>
        <item h="1" m="1" x="2543"/>
        <item h="1" m="1" x="2383"/>
        <item h="1" m="1" x="2165"/>
        <item h="1" m="1" x="2392"/>
        <item h="1" x="253"/>
        <item h="1" x="254"/>
        <item h="1" x="255"/>
        <item h="1" x="256"/>
        <item h="1" m="1" x="2391"/>
        <item h="1" m="1" x="2558"/>
        <item h="1" m="1" x="2561"/>
        <item h="1" m="1" x="2563"/>
        <item h="1" m="1" x="2410"/>
        <item h="1" m="1" x="2411"/>
        <item h="1" m="1" x="2567"/>
        <item h="1" m="1" x="2206"/>
        <item h="1" m="1" x="2582"/>
        <item h="1" m="1" x="2583"/>
        <item h="1" m="1" x="2434"/>
        <item h="1" m="1" x="2306"/>
        <item h="1" m="1" x="2444"/>
        <item h="1" m="1" x="2440"/>
        <item h="1" m="1" x="2443"/>
        <item h="1" m="1" x="2442"/>
        <item h="1" m="1" x="2441"/>
        <item h="1" m="1" x="1242"/>
        <item h="1" m="1" x="2584"/>
        <item h="1" m="1" x="2585"/>
        <item h="1" m="1" x="2587"/>
        <item h="1" m="1" x="2588"/>
        <item h="1" m="1" x="2589"/>
        <item h="1" m="1" x="2590"/>
        <item h="1" m="1" x="2591"/>
        <item h="1" m="1" x="2592"/>
        <item h="1" m="1" x="2593"/>
        <item h="1" m="1" x="2594"/>
        <item h="1" m="1" x="2595"/>
        <item h="1" m="1" x="2074"/>
        <item h="1" m="1" x="2600"/>
        <item h="1" m="1" x="2601"/>
        <item h="1" m="1" x="2602"/>
        <item h="1" m="1" x="2603"/>
        <item h="1" m="1" x="1738"/>
        <item h="1" m="1" x="2324"/>
        <item h="1" m="1" x="2323"/>
        <item h="1" m="1" x="2464"/>
        <item h="1" m="1" x="1562"/>
        <item h="1" m="1" x="2329"/>
        <item h="1" m="1" x="1740"/>
        <item h="1" m="1" x="2465"/>
        <item h="1" m="1" x="2086"/>
        <item h="1" m="1" x="2606"/>
        <item h="1" m="1" x="2607"/>
        <item h="1" m="1" x="2608"/>
        <item h="1" m="1" x="2609"/>
        <item h="1" m="1" x="2610"/>
        <item h="1" m="1" x="2612"/>
        <item h="1" m="1" x="2487"/>
        <item h="1" m="1" x="2614"/>
        <item h="1" m="1" x="2615"/>
        <item h="1" m="1" x="2616"/>
        <item h="1" m="1" x="2617"/>
        <item h="1" m="1" x="2618"/>
        <item h="1" m="1" x="2619"/>
        <item h="1" m="1" x="2620"/>
        <item h="1" m="1" x="2621"/>
        <item h="1" m="1" x="2622"/>
        <item h="1" m="1" x="2623"/>
        <item h="1" m="1" x="2624"/>
        <item h="1" m="1" x="2625"/>
        <item h="1" m="1" x="2626"/>
        <item h="1" m="1" x="2627"/>
        <item h="1" m="1" x="2628"/>
        <item h="1" m="1" x="2629"/>
        <item h="1" m="1" x="2630"/>
        <item h="1" m="1" x="2631"/>
        <item h="1" m="1" x="2632"/>
        <item h="1" m="1" x="2633"/>
        <item h="1" m="1" x="2634"/>
        <item h="1" m="1" x="2635"/>
        <item h="1" m="1" x="2636"/>
        <item h="1" m="1" x="2637"/>
        <item h="1" m="1" x="2638"/>
        <item h="1" m="1" x="2639"/>
        <item h="1" m="1" x="2640"/>
        <item h="1" m="1" x="2641"/>
        <item h="1" m="1" x="2642"/>
        <item h="1" m="1" x="2643"/>
        <item h="1" m="1" x="2644"/>
        <item h="1" m="1" x="2645"/>
        <item h="1" m="1" x="2646"/>
        <item h="1" m="1" x="2647"/>
        <item h="1" m="1" x="1943"/>
        <item h="1" m="1" x="1760"/>
        <item h="1" m="1" x="1737"/>
        <item h="1" m="1" x="2651"/>
        <item h="1" m="1" x="2653"/>
        <item h="1" m="1" x="2655"/>
        <item h="1" m="1" x="2656"/>
        <item h="1" m="1" x="2657"/>
        <item h="1" m="1" x="2658"/>
        <item h="1" m="1" x="2659"/>
        <item h="1" m="1" x="1561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669"/>
        <item h="1" m="1" x="2670"/>
        <item h="1" m="1" x="2671"/>
        <item h="1" m="1" x="2672"/>
        <item h="1" m="1" x="2673"/>
        <item h="1" m="1" x="2674"/>
        <item h="1" m="1" x="2675"/>
        <item h="1" m="1" x="1810"/>
        <item h="1" m="1" x="2679"/>
        <item h="1" m="1" x="2680"/>
        <item h="1" m="1" x="1809"/>
        <item h="1" m="1" x="2683"/>
        <item h="1" m="1" x="1582"/>
        <item h="1" m="1" x="1664"/>
        <item h="1" m="1" x="2367"/>
        <item h="1" m="1" x="2369"/>
        <item h="1" m="1" x="2370"/>
        <item h="1" m="1" x="2371"/>
        <item h="1" m="1" x="2372"/>
        <item h="1" m="1" x="2373"/>
        <item h="1" m="1" x="2375"/>
        <item h="1" m="1" x="2378"/>
        <item h="1" m="1" x="2293"/>
        <item h="1" m="1" x="2386"/>
        <item h="1" m="1" x="2160"/>
        <item h="1" m="1" x="2389"/>
        <item h="1" m="1" x="2390"/>
        <item h="1" m="1" x="2170"/>
        <item h="1" m="1" x="2393"/>
        <item h="1" m="1" x="2180"/>
        <item h="1" m="1" x="2401"/>
        <item h="1" m="1" x="2402"/>
        <item h="1" m="1" x="2403"/>
        <item h="1" m="1" x="2404"/>
        <item h="1" m="1" x="2405"/>
        <item h="1" m="1" x="2408"/>
        <item h="1" m="1" x="2409"/>
        <item h="1" m="1" x="2412"/>
        <item h="1" m="1" x="2413"/>
        <item h="1" m="1" x="2414"/>
        <item h="1" m="1" x="2415"/>
        <item h="1" m="1" x="2422"/>
        <item h="1" m="1" x="2424"/>
        <item h="1" m="1" x="2425"/>
        <item h="1" m="1" x="2428"/>
        <item h="1" m="1" x="1946"/>
        <item h="1" m="1" x="2435"/>
        <item h="1" m="1" x="2436"/>
        <item h="1" m="1" x="2437"/>
        <item h="1" m="1" x="2438"/>
        <item h="1" m="1" x="2439"/>
        <item h="1" m="1" x="2218"/>
        <item h="1" m="1" x="2445"/>
        <item h="1" m="1" x="2446"/>
        <item h="1" m="1" x="2447"/>
        <item h="1" m="1" x="2305"/>
        <item h="1" m="1" x="2448"/>
        <item h="1" m="1" x="2449"/>
        <item h="1" m="1" x="1841"/>
        <item h="1" m="1" x="2307"/>
        <item h="1" m="1" x="1595"/>
        <item h="1" m="1" x="1591"/>
        <item h="1" m="1" x="2454"/>
        <item h="1" m="1" x="2455"/>
        <item h="1" m="1" x="2456"/>
        <item h="1" m="1" x="2235"/>
        <item h="1" m="1" x="2234"/>
        <item h="1" m="1" x="1878"/>
        <item h="1" m="1" x="1784"/>
        <item h="1" m="1" x="2459"/>
        <item h="1" m="1" x="2460"/>
        <item h="1" m="1" x="2461"/>
        <item h="1" m="1" x="2463"/>
        <item h="1" m="1" x="1803"/>
        <item h="1" m="1" x="1597"/>
        <item h="1" m="1" x="2466"/>
        <item h="1" m="1" x="2467"/>
        <item h="1" m="1" x="2261"/>
        <item h="1" m="1" x="2468"/>
        <item h="1" m="1" x="2469"/>
        <item h="1" m="1" x="2470"/>
        <item h="1" m="1" x="2471"/>
        <item h="1" m="1" x="2472"/>
        <item h="1" m="1" x="2473"/>
        <item h="1" m="1" x="2475"/>
        <item h="1" m="1" x="2477"/>
        <item h="1" m="1" x="1372"/>
        <item h="1" m="1" x="2091"/>
        <item h="1" m="1" x="2478"/>
        <item h="1" m="1" x="2479"/>
        <item h="1" m="1" x="2333"/>
        <item h="1" m="1" x="2334"/>
        <item h="1" m="1" x="1880"/>
        <item h="1" m="1" x="2481"/>
        <item h="1" m="1" x="2483"/>
        <item h="1" m="1" x="1724"/>
        <item h="1" m="1" x="2485"/>
        <item h="1" m="1" x="2486"/>
        <item h="1" m="1" x="1962"/>
        <item h="1" m="1" x="1954"/>
        <item h="1" m="1" x="1816"/>
        <item h="1" m="1" x="2494"/>
        <item h="1" m="1" x="1937"/>
        <item h="1" m="1" x="2495"/>
        <item h="1" m="1" x="2496"/>
        <item h="1" m="1" x="2499"/>
        <item h="1" m="1" x="2500"/>
        <item h="1" m="1" x="2501"/>
        <item h="1" m="1" x="2502"/>
        <item h="1" m="1" x="2503"/>
        <item h="1" m="1" x="2504"/>
        <item h="1" m="1" x="1936"/>
        <item h="1" m="1" x="2508"/>
        <item h="1" m="1" x="2511"/>
        <item h="1" m="1" x="1605"/>
        <item h="1" m="1" x="2522"/>
        <item h="1" m="1" x="2143"/>
        <item h="1" m="1" x="2146"/>
        <item h="1" m="1" x="2289"/>
        <item h="1" m="1" x="2148"/>
        <item h="1" m="1" x="2290"/>
        <item h="1" m="1" x="2291"/>
        <item h="1" m="1" x="2292"/>
        <item h="1" m="1" x="1522"/>
        <item h="1" m="1" x="2153"/>
        <item h="1" m="1" x="2154"/>
        <item h="1" m="1" x="2294"/>
        <item h="1" m="1" x="2155"/>
        <item h="1" m="1" x="2065"/>
        <item h="1" m="1" x="2157"/>
        <item h="1" m="1" x="2159"/>
        <item h="1" m="1" x="2297"/>
        <item h="1" m="1" x="2298"/>
        <item h="1" m="1" x="2299"/>
        <item h="1" m="1" x="2300"/>
        <item h="1" m="1" x="2168"/>
        <item h="1" m="1" x="2169"/>
        <item h="1" m="1" x="2174"/>
        <item h="1" m="1" x="2175"/>
        <item h="1" m="1" x="2173"/>
        <item h="1" m="1" x="1835"/>
        <item h="1" m="1" x="2178"/>
        <item h="1" m="1" x="2179"/>
        <item h="1" m="1" x="2181"/>
        <item h="1" m="1" x="2196"/>
        <item h="1" m="1" x="2197"/>
        <item h="1" m="1" x="2198"/>
        <item h="1" m="1" x="2199"/>
        <item h="1" m="1" x="2303"/>
        <item h="1" m="1" x="1949"/>
        <item h="1" m="1" x="1252"/>
        <item h="1" m="1" x="2304"/>
        <item h="1" m="1" x="2217"/>
        <item h="1" m="1" x="2213"/>
        <item h="1" m="1" x="2220"/>
        <item h="1" m="1" x="2221"/>
        <item h="1" m="1" x="2222"/>
        <item h="1" m="1" x="2223"/>
        <item h="1" m="1" x="2227"/>
        <item h="1" m="1" x="2210"/>
        <item h="1" m="1" x="2211"/>
        <item h="1" m="1" x="2308"/>
        <item h="1" m="1" x="2309"/>
        <item h="1" m="1" x="2310"/>
        <item h="1" m="1" x="2311"/>
        <item h="1" m="1" x="2312"/>
        <item h="1" m="1" x="2313"/>
        <item h="1" m="1" x="2314"/>
        <item h="1" m="1" x="2316"/>
        <item h="1" m="1" x="1608"/>
        <item h="1" m="1" x="1804"/>
        <item h="1" m="1" x="2317"/>
        <item h="1" m="1" x="2318"/>
        <item h="1" m="1" x="2319"/>
        <item h="1" m="1" x="2320"/>
        <item h="1" m="1" x="2321"/>
        <item h="1" m="1" x="1611"/>
        <item h="1" m="1" x="1879"/>
        <item h="1" m="1" x="2325"/>
        <item h="1" m="1" x="2326"/>
        <item h="1" m="1" x="2327"/>
        <item h="1" m="1" x="2328"/>
        <item h="1" m="1" x="2330"/>
        <item h="1" m="1" x="2331"/>
        <item h="1" m="1" x="2332"/>
        <item h="1" m="1" x="2335"/>
        <item h="1" m="1" x="2336"/>
        <item h="1" m="1" x="2337"/>
        <item h="1" m="1" x="2338"/>
        <item h="1" m="1" x="1872"/>
        <item h="1" m="1" x="2339"/>
        <item h="1" m="1" x="2340"/>
        <item h="1" m="1" x="2341"/>
        <item h="1" m="1" x="2342"/>
        <item h="1" m="1" x="1618"/>
        <item h="1" m="1" x="1612"/>
        <item h="1" m="1" x="1616"/>
        <item h="1" m="1" x="1614"/>
        <item h="1" m="1" x="1912"/>
        <item h="1" m="1" x="1904"/>
        <item h="1" m="1" x="1691"/>
        <item h="1" m="1" x="1692"/>
        <item h="1" m="1" x="1722"/>
        <item h="1" m="1" x="2343"/>
        <item h="1" m="1" x="2344"/>
        <item h="1" m="1" x="1703"/>
        <item h="1" m="1" x="1693"/>
        <item h="1" m="1" x="2346"/>
        <item h="1" m="1" x="2347"/>
        <item h="1" m="1" x="1817"/>
        <item h="1" m="1" x="1766"/>
        <item h="1" m="1" x="1767"/>
        <item h="1" m="1" x="1768"/>
        <item h="1" m="1" x="2276"/>
        <item h="1" m="1" x="742"/>
        <item h="1" m="1" x="2349"/>
        <item h="1" m="1" x="2350"/>
        <item h="1" m="1" x="2351"/>
        <item h="1" m="1" x="2352"/>
        <item h="1" m="1" x="2353"/>
        <item h="1" m="1" x="2354"/>
        <item h="1" m="1" x="2355"/>
        <item h="1" m="1" x="1754"/>
        <item h="1" m="1" x="2356"/>
        <item h="1" m="1" x="1805"/>
        <item h="1" m="1" x="2357"/>
        <item h="1" m="1" x="2358"/>
        <item h="1" m="1" x="2144"/>
        <item h="1" x="347"/>
        <item h="1" m="1" x="1531"/>
        <item h="1" m="1" x="2149"/>
        <item h="1" m="1" x="2150"/>
        <item h="1" m="1" x="1483"/>
        <item h="1" m="1" x="2054"/>
        <item h="1" m="1" x="2056"/>
        <item h="1" m="1" x="1876"/>
        <item h="1" m="1" x="2061"/>
        <item h="1" m="1" x="2066"/>
        <item h="1" m="1" x="2156"/>
        <item h="1" m="1" x="1857"/>
        <item h="1" m="1" x="2161"/>
        <item h="1" m="1" x="2162"/>
        <item h="1" m="1" x="2163"/>
        <item h="1" m="1" x="2166"/>
        <item h="1" m="1" x="2167"/>
        <item h="1" m="1" x="1226"/>
        <item h="1" m="1" x="2039"/>
        <item h="1" m="1" x="1546"/>
        <item h="1" m="1" x="1895"/>
        <item h="1" m="1" x="2182"/>
        <item h="1" m="1" x="2183"/>
        <item h="1" m="1" x="2184"/>
        <item h="1" m="1" x="2187"/>
        <item h="1" m="1" x="2188"/>
        <item h="1" m="1" x="2190"/>
        <item h="1" m="1" x="2191"/>
        <item h="1" m="1" x="2192"/>
        <item h="1" m="1" x="2200"/>
        <item h="1" m="1" x="2201"/>
        <item h="1" m="1" x="2202"/>
        <item h="1" m="1" x="2203"/>
        <item h="1" m="1" x="2204"/>
        <item h="1" m="1" x="2205"/>
        <item h="1" m="1" x="2207"/>
        <item h="1" m="1" x="2209"/>
        <item h="1" m="1" x="1956"/>
        <item h="1" m="1" x="2212"/>
        <item h="1" m="1" x="2215"/>
        <item h="1" m="1" x="2216"/>
        <item h="1" m="1" x="2219"/>
        <item h="1" m="1" x="2224"/>
        <item h="1" m="1" x="2225"/>
        <item h="1" m="1" x="2226"/>
        <item h="1" m="1" x="1917"/>
        <item h="1" m="1" x="2229"/>
        <item h="1" m="1" x="2230"/>
        <item h="1" m="1" x="2231"/>
        <item h="1" m="1" x="2232"/>
        <item h="1" m="1" x="2233"/>
        <item h="1" m="1" x="1559"/>
        <item h="1" m="1" x="1606"/>
        <item h="1" m="1" x="2236"/>
        <item h="1" m="1" x="2237"/>
        <item h="1" m="1" x="2238"/>
        <item h="1" m="1" x="2239"/>
        <item h="1" m="1" x="2240"/>
        <item h="1" m="1" x="2241"/>
        <item h="1" m="1" x="2242"/>
        <item h="1" m="1" x="2244"/>
        <item h="1" m="1" x="2245"/>
        <item h="1" m="1" x="2246"/>
        <item h="1" m="1" x="2247"/>
        <item h="1" m="1" x="2248"/>
        <item h="1" m="1" x="2249"/>
        <item h="1" m="1" x="2250"/>
        <item h="1" m="1" x="2251"/>
        <item h="1" m="1" x="2252"/>
        <item h="1" m="1" x="1723"/>
        <item h="1" m="1" x="2253"/>
        <item h="1" x="293"/>
        <item h="1" m="1" x="1860"/>
        <item h="1" m="1" x="1862"/>
        <item h="1" m="1" x="2042"/>
        <item h="1" m="1" x="2255"/>
        <item h="1" m="1" x="1615"/>
        <item h="1" m="1" x="2256"/>
        <item h="1" m="1" x="2257"/>
        <item h="1" m="1" x="2041"/>
        <item h="1" m="1" x="2258"/>
        <item h="1" m="1" x="1579"/>
        <item h="1" m="1" x="2259"/>
        <item h="1" m="1" x="2260"/>
        <item h="1" m="1" x="2262"/>
        <item h="1" m="1" x="2263"/>
        <item h="1" m="1" x="2264"/>
        <item h="1" m="1" x="2265"/>
        <item h="1" m="1" x="2266"/>
        <item h="1" m="1" x="2267"/>
        <item h="1" m="1" x="1749"/>
        <item h="1" m="1" x="2268"/>
        <item h="1" m="1" x="2269"/>
        <item h="1" m="1" x="2270"/>
        <item h="1" m="1" x="2271"/>
        <item h="1" m="1" x="2272"/>
        <item h="1" m="1" x="2273"/>
        <item h="1" m="1" x="2274"/>
        <item h="1" m="1" x="2275"/>
        <item h="1" m="1" x="2109"/>
        <item h="1" m="1" x="2110"/>
        <item h="1" m="1" x="2111"/>
        <item h="1" m="1" x="1730"/>
        <item h="1" m="1" x="2277"/>
        <item h="1" m="1" x="2278"/>
        <item h="1" m="1" x="2279"/>
        <item h="1" m="1" x="2280"/>
        <item h="1" m="1" x="1095"/>
        <item h="1" m="1" x="2130"/>
        <item h="1" m="1" x="2076"/>
        <item h="1" m="1" x="2281"/>
        <item h="1" m="1" x="1558"/>
        <item h="1" m="1" x="1588"/>
        <item h="1" m="1" x="2282"/>
        <item h="1" m="1" x="2285"/>
        <item h="1" m="1" x="2025"/>
        <item h="1" m="1" x="2029"/>
        <item h="1" m="1" x="2030"/>
        <item h="1" m="1" x="2051"/>
        <item h="1" m="1" x="2052"/>
        <item h="1" m="1" x="2053"/>
        <item h="1" m="1" x="2055"/>
        <item h="1" x="152"/>
        <item h="1" x="153"/>
        <item h="1" m="1" x="1521"/>
        <item h="1" m="1" x="2058"/>
        <item h="1" m="1" x="2059"/>
        <item h="1" m="1" x="1680"/>
        <item h="1" m="1" x="2015"/>
        <item h="1" m="1" x="2062"/>
        <item h="1" m="1" x="2063"/>
        <item h="1" m="1" x="2067"/>
        <item h="1" m="1" x="961"/>
        <item h="1" m="1" x="1829"/>
        <item h="1" m="1" x="2036"/>
        <item h="1" x="291"/>
        <item h="1" m="1" x="1232"/>
        <item h="1" m="1" x="2069"/>
        <item h="1" m="1" x="1910"/>
        <item h="1" m="1" x="1911"/>
        <item h="1" m="1" x="2070"/>
        <item h="1" m="1" x="879"/>
        <item h="1" m="1" x="2073"/>
        <item h="1" m="1" x="1918"/>
        <item h="1" m="1" x="1919"/>
        <item h="1" m="1" x="1920"/>
        <item h="1" m="1" x="1105"/>
        <item h="1" m="1" x="2077"/>
        <item h="1" m="1" x="2079"/>
        <item h="1" m="1" x="2080"/>
        <item h="1" m="1" x="2081"/>
        <item h="1" m="1" x="1744"/>
        <item h="1" m="1" x="2082"/>
        <item h="1" m="1" x="2084"/>
        <item h="1" m="1" x="1581"/>
        <item h="1" m="1" x="1026"/>
        <item h="1" m="1" x="2087"/>
        <item h="1" m="1" x="2088"/>
        <item h="1" m="1" x="2089"/>
        <item h="1" m="1" x="2090"/>
        <item h="1" m="1" x="2094"/>
        <item h="1" m="1" x="2095"/>
        <item h="1" m="1" x="2096"/>
        <item h="1" m="1" x="2097"/>
        <item h="1" m="1" x="2098"/>
        <item h="1" m="1" x="2099"/>
        <item h="1" m="1" x="2100"/>
        <item h="1" m="1" x="2102"/>
        <item h="1" m="1" x="1859"/>
        <item h="1" m="1" x="2103"/>
        <item h="1" m="1" x="2104"/>
        <item h="1" m="1" x="2105"/>
        <item h="1" m="1" x="1725"/>
        <item h="1" m="1" x="2112"/>
        <item h="1" m="1" x="1122"/>
        <item h="1" m="1" x="1882"/>
        <item h="1" m="1" x="1596"/>
        <item h="1" m="1" x="2115"/>
        <item h="1" m="1" x="2117"/>
        <item h="1" m="1" x="2118"/>
        <item h="1" m="1" x="2119"/>
        <item h="1" m="1" x="2120"/>
        <item h="1" m="1" x="1368"/>
        <item h="1" m="1" x="2122"/>
        <item h="1" m="1" x="2123"/>
        <item h="1" m="1" x="2124"/>
        <item h="1" m="1" x="2125"/>
        <item h="1" m="1" x="2126"/>
        <item h="1" m="1" x="2127"/>
        <item h="1" m="1" x="2128"/>
        <item h="1" m="1" x="2129"/>
        <item h="1" m="1" x="2131"/>
        <item h="1" m="1" x="1557"/>
        <item h="1" m="1" x="2132"/>
        <item h="1" m="1" x="1356"/>
        <item h="1" m="1" x="2139"/>
        <item h="1" m="1" x="2140"/>
        <item h="1" m="1" x="1520"/>
        <item h="1" m="1" x="1353"/>
        <item h="1" m="1" x="1963"/>
        <item h="1" m="1" x="1965"/>
        <item h="1" m="1" x="1577"/>
        <item h="1" m="1" x="1575"/>
        <item h="1" m="1" x="1576"/>
        <item h="1" m="1" x="1573"/>
        <item h="1" m="1" x="1574"/>
        <item h="1" m="1" x="1966"/>
        <item h="1" m="1" x="1967"/>
        <item h="1" m="1" x="1968"/>
        <item h="1" m="1" x="1969"/>
        <item h="1" m="1" x="1970"/>
        <item h="1" m="1" x="1603"/>
        <item h="1" m="1" x="1609"/>
        <item h="1" m="1" x="1971"/>
        <item h="1" m="1" x="1972"/>
        <item h="1" m="1" x="1973"/>
        <item h="1" m="1" x="1974"/>
        <item h="1" m="1" x="1975"/>
        <item h="1" m="1" x="1976"/>
        <item h="1" m="1" x="1977"/>
        <item h="1" m="1" x="1978"/>
        <item h="1" m="1" x="1979"/>
        <item h="1" m="1" x="1980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637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1999"/>
        <item h="1" m="1" x="2000"/>
        <item h="1" m="1" x="2001"/>
        <item h="1" m="1" x="2002"/>
        <item h="1" m="1" x="2003"/>
        <item h="1" m="1" x="2004"/>
        <item h="1" m="1" x="2005"/>
        <item h="1" m="1" x="1653"/>
        <item h="1" m="1" x="2006"/>
        <item h="1" m="1" x="2007"/>
        <item h="1" m="1" x="2008"/>
        <item h="1" m="1" x="2009"/>
        <item h="1" m="1" x="2010"/>
        <item h="1" m="1" x="1516"/>
        <item h="1" m="1" x="2011"/>
        <item h="1" m="1" x="960"/>
        <item h="1" m="1" x="1672"/>
        <item h="1" m="1" x="1673"/>
        <item h="1" m="1" x="2013"/>
        <item h="1" m="1" x="2014"/>
        <item h="1" m="1" x="1684"/>
        <item h="1" m="1" x="2016"/>
        <item h="1" m="1" x="2017"/>
        <item h="1" m="1" x="2018"/>
        <item h="1" m="1" x="2019"/>
        <item h="1" m="1" x="2020"/>
        <item h="1" m="1" x="1714"/>
        <item h="1" m="1" x="2021"/>
        <item h="1" m="1" x="1195"/>
        <item h="1" m="1" x="2022"/>
        <item h="1" m="1" x="1742"/>
        <item h="1" m="1" x="1747"/>
        <item h="1" m="1" x="1750"/>
        <item h="1" m="1" x="1758"/>
        <item h="1" m="1" x="1066"/>
        <item h="1" m="1" x="1408"/>
        <item h="1" m="1" x="1076"/>
        <item h="1" m="1" x="2031"/>
        <item h="1" m="1" x="1826"/>
        <item h="1" m="1" x="1827"/>
        <item h="1" m="1" x="1832"/>
        <item h="1" m="1" x="1836"/>
        <item h="1" m="1" x="2038"/>
        <item h="1" x="292"/>
        <item h="1" m="1" x="2040"/>
        <item h="1" m="1" x="1851"/>
        <item h="1" m="1" x="1858"/>
        <item h="1" m="1" x="1861"/>
        <item h="1" m="1" x="1875"/>
        <item h="1" m="1" x="1443"/>
        <item h="1" m="1" x="2043"/>
        <item h="1" m="1" x="1915"/>
        <item h="1" m="1" x="1914"/>
        <item h="1" m="1" x="1913"/>
        <item h="1" m="1" x="1924"/>
        <item h="1" m="1" x="1930"/>
        <item h="1" m="1" x="1934"/>
        <item h="1" x="375"/>
        <item h="1" m="1" x="2045"/>
        <item h="1" m="1" x="1947"/>
        <item h="1" m="1" x="1952"/>
        <item h="1" m="1" x="2047"/>
        <item h="1" m="1" x="2048"/>
        <item h="1" m="1" x="1958"/>
        <item h="1" m="1" x="1959"/>
        <item h="1" m="1" x="1127"/>
        <item h="1" m="1" x="1578"/>
        <item h="1" m="1" x="1580"/>
        <item h="1" m="1" x="1484"/>
        <item h="1" m="1" x="1600"/>
        <item h="1" m="1" x="1601"/>
        <item h="1" m="1" x="989"/>
        <item h="1" m="1" x="1619"/>
        <item h="1" m="1" x="1620"/>
        <item h="1" m="1" x="1621"/>
        <item h="1" m="1" x="1622"/>
        <item h="1" m="1" x="1623"/>
        <item h="1" m="1" x="1624"/>
        <item h="1" m="1" x="1625"/>
        <item h="1" m="1" x="1626"/>
        <item h="1" m="1" x="1627"/>
        <item h="1" m="1" x="1628"/>
        <item h="1" m="1" x="1629"/>
        <item h="1" m="1" x="1630"/>
        <item h="1" m="1" x="1631"/>
        <item h="1" m="1" x="1632"/>
        <item h="1" m="1" x="1633"/>
        <item h="1" m="1" x="1634"/>
        <item h="1" m="1" x="1635"/>
        <item h="1" m="1" x="1636"/>
        <item h="1" m="1" x="1638"/>
        <item h="1" m="1" x="1639"/>
        <item h="1" m="1" x="1640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650"/>
        <item h="1" m="1" x="1659"/>
        <item h="1" m="1" x="1660"/>
        <item h="1" m="1" x="1661"/>
        <item h="1" m="1" x="1667"/>
        <item h="1" m="1" x="1186"/>
        <item h="1" m="1" x="1524"/>
        <item h="1" m="1" x="958"/>
        <item h="1" m="1" x="1675"/>
        <item h="1" m="1" x="1695"/>
        <item h="1" m="1" x="1696"/>
        <item h="1" m="1" x="1345"/>
        <item h="1" x="156"/>
        <item h="1" m="1" x="1716"/>
        <item h="1" m="1" x="1718"/>
        <item h="1" m="1" x="1719"/>
        <item h="1" m="1" x="1741"/>
        <item h="1" m="1" x="1746"/>
        <item h="1" m="1" x="1752"/>
        <item h="1" m="1" x="1769"/>
        <item h="1" m="1" x="1770"/>
        <item h="1" m="1" x="1771"/>
        <item h="1" m="1" x="1799"/>
        <item h="1" m="1" x="1070"/>
        <item h="1" m="1" x="1071"/>
        <item h="1" m="1" x="1808"/>
        <item h="1" m="1" x="1820"/>
        <item h="1" m="1" x="1205"/>
        <item h="1" m="1" x="1825"/>
        <item h="1" x="221"/>
        <item h="1" m="1" x="1830"/>
        <item h="1" m="1" x="1831"/>
        <item h="1" m="1" x="1834"/>
        <item h="1" m="1" x="1837"/>
        <item h="1" m="1" x="1838"/>
        <item h="1" m="1" x="1839"/>
        <item h="1" m="1" x="1850"/>
        <item h="1" m="1" x="1430"/>
        <item h="1" m="1" x="1852"/>
        <item h="1" m="1" x="1853"/>
        <item h="1" m="1" x="1854"/>
        <item h="1" m="1" x="1855"/>
        <item h="1" m="1" x="1856"/>
        <item h="1" m="1" x="1863"/>
        <item h="1" m="1" x="1867"/>
        <item h="1" m="1" x="1868"/>
        <item h="1" m="1" x="1869"/>
        <item h="1" m="1" x="1870"/>
        <item h="1" m="1" x="1871"/>
        <item h="1" m="1" x="1094"/>
        <item h="1" m="1" x="1883"/>
        <item h="1" m="1" x="1885"/>
        <item h="1" m="1" x="1344"/>
        <item h="1" m="1" x="968"/>
        <item h="1" m="1" x="1896"/>
        <item h="1" m="1" x="1899"/>
        <item h="1" m="1" x="1921"/>
        <item h="1" m="1" x="1922"/>
        <item h="1" m="1" x="1926"/>
        <item h="1" m="1" x="1927"/>
        <item h="1" m="1" x="1928"/>
        <item h="1" m="1" x="1929"/>
        <item h="1" m="1" x="1118"/>
        <item h="1" m="1" x="1932"/>
        <item h="1" m="1" x="1953"/>
        <item h="1" m="1" x="1955"/>
        <item h="1" m="1" x="1473"/>
        <item h="1" m="1" x="1474"/>
        <item h="1" m="1" x="1475"/>
        <item h="1" m="1" x="1476"/>
        <item h="1" m="1" x="957"/>
        <item h="1" m="1" x="1477"/>
        <item h="1" m="1" x="1478"/>
        <item h="1" m="1" x="1479"/>
        <item h="1" m="1" x="1480"/>
        <item h="1" m="1" x="1481"/>
        <item h="1" m="1" x="1482"/>
        <item h="1" m="1" x="1485"/>
        <item h="1" m="1" x="1486"/>
        <item h="1" m="1" x="1487"/>
        <item h="1" m="1" x="1489"/>
        <item h="1" m="1" x="1490"/>
        <item h="1" m="1" x="1491"/>
        <item h="1" m="1" x="1492"/>
        <item h="1" m="1" x="1493"/>
        <item h="1" m="1" x="1494"/>
        <item h="1" m="1" x="669"/>
        <item h="1" m="1" x="1495"/>
        <item h="1" m="1" x="1496"/>
        <item h="1" m="1" x="1497"/>
        <item h="1" m="1" x="1498"/>
        <item h="1" m="1" x="1499"/>
        <item h="1" m="1" x="1500"/>
        <item h="1" m="1" x="1502"/>
        <item h="1" m="1" x="1503"/>
        <item h="1" m="1" x="1504"/>
        <item h="1" m="1" x="1505"/>
        <item h="1" m="1" x="1506"/>
        <item h="1" m="1" x="1507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166"/>
        <item h="1" m="1" x="913"/>
        <item h="1" m="1" x="1523"/>
        <item h="1" m="1" x="1526"/>
        <item h="1" m="1" x="1527"/>
        <item h="1" m="1" x="1528"/>
        <item h="1" m="1" x="1529"/>
        <item h="1" m="1" x="1394"/>
        <item h="1" m="1" x="1404"/>
        <item h="1" m="1" x="1401"/>
        <item h="1" m="1" x="1533"/>
        <item h="1" m="1" x="1407"/>
        <item h="1" m="1" x="1069"/>
        <item h="1" m="1" x="1411"/>
        <item h="1" m="1" x="1202"/>
        <item h="1" m="1" x="1207"/>
        <item h="1" m="1" x="1208"/>
        <item h="1" m="1" x="1209"/>
        <item h="1" m="1" x="1414"/>
        <item h="1" m="1" x="1415"/>
        <item h="1" m="1" x="1416"/>
        <item h="1" m="1" x="1421"/>
        <item h="1" m="1" x="1428"/>
        <item h="1" m="1" x="1425"/>
        <item h="1" m="1" x="1538"/>
        <item h="1" m="1" x="1539"/>
        <item h="1" m="1" x="1540"/>
        <item h="1" m="1" x="1541"/>
        <item h="1" m="1" x="1542"/>
        <item h="1" m="1" x="671"/>
        <item h="1" m="1" x="1544"/>
        <item h="1" m="1" x="1545"/>
        <item h="1" m="1" x="1442"/>
        <item h="1" m="1" x="1441"/>
        <item h="1" m="1" x="1547"/>
        <item h="1" m="1" x="1548"/>
        <item h="1" m="1" x="1549"/>
        <item h="1" m="1" x="1444"/>
        <item h="1" m="1" x="1235"/>
        <item h="1" m="1" x="1236"/>
        <item h="1" m="1" x="1446"/>
        <item h="1" m="1" x="1449"/>
        <item h="1" m="1" x="1240"/>
        <item h="1" m="1" x="1241"/>
        <item h="1" m="1" x="1454"/>
        <item h="1" m="1" x="1453"/>
        <item h="1" m="1" x="1456"/>
        <item h="1" m="1" x="1462"/>
        <item h="1" m="1" x="1343"/>
        <item h="1" m="1" x="1551"/>
        <item h="1" m="1" x="878"/>
        <item h="1" x="388"/>
        <item h="1" m="1" x="1464"/>
        <item h="1" m="1" x="1342"/>
        <item h="1" m="1" x="1341"/>
        <item h="1" m="1" x="1553"/>
        <item h="1" m="1" x="1554"/>
        <item h="1" m="1" x="972"/>
        <item h="1" m="1" x="703"/>
        <item h="1" m="1" x="1351"/>
        <item h="1" m="1" x="978"/>
        <item h="1" m="1" x="979"/>
        <item h="1" m="1" x="982"/>
        <item h="1" m="1" x="1352"/>
        <item h="1" m="1" x="1354"/>
        <item h="1" m="1" x="1163"/>
        <item h="1" m="1" x="1355"/>
        <item h="1" m="1" x="1357"/>
        <item h="1" m="1" x="1358"/>
        <item h="1" m="1" x="1359"/>
        <item h="1" m="1" x="1360"/>
        <item h="1" m="1" x="1361"/>
        <item h="1" m="1" x="1335"/>
        <item h="1" m="1" x="1362"/>
        <item h="1" m="1" x="1334"/>
        <item h="1" m="1" x="658"/>
        <item h="1" m="1" x="1363"/>
        <item h="1" m="1" x="1364"/>
        <item h="1" m="1" x="1365"/>
        <item h="1" m="1" x="1366"/>
        <item h="1" m="1" x="780"/>
        <item h="1" m="1" x="1367"/>
        <item h="1" m="1" x="1369"/>
        <item h="1" m="1" x="1340"/>
        <item h="1" x="39"/>
        <item h="1" m="1" x="1370"/>
        <item h="1" m="1" x="1371"/>
        <item h="1" m="1" x="1373"/>
        <item h="1" m="1" x="1332"/>
        <item h="1" m="1" x="1374"/>
        <item h="1" m="1" x="1375"/>
        <item h="1" m="1" x="1376"/>
        <item h="1" m="1" x="1377"/>
        <item h="1" m="1" x="1378"/>
        <item h="1" m="1" x="1379"/>
        <item h="1" m="1" x="1381"/>
        <item h="1" m="1" x="1382"/>
        <item h="1" m="1" x="999"/>
        <item h="1" m="1" x="1384"/>
        <item h="1" m="1" x="1385"/>
        <item h="1" m="1" x="1386"/>
        <item h="1" m="1" x="1387"/>
        <item h="1" m="1" x="1388"/>
        <item h="1" m="1" x="1337"/>
        <item h="1" m="1" x="1336"/>
        <item h="1" m="1" x="1389"/>
        <item h="1" m="1" x="1390"/>
        <item h="1" m="1" x="1391"/>
        <item h="1" m="1" x="1185"/>
        <item h="1" m="1" x="1333"/>
        <item h="1" m="1" x="1392"/>
        <item h="1" m="1" x="1339"/>
        <item h="1" m="1" x="1192"/>
        <item h="1" x="117"/>
        <item h="1" m="1" x="1393"/>
        <item h="1" m="1" x="1395"/>
        <item h="1" m="1" x="1397"/>
        <item h="1" m="1" x="1398"/>
        <item h="1" m="1" x="1039"/>
        <item h="1" m="1" x="1405"/>
        <item h="1" m="1" x="1409"/>
        <item h="1" m="1" x="1410"/>
        <item h="1" m="1" x="1074"/>
        <item h="1" m="1" x="1412"/>
        <item h="1" m="1" x="1078"/>
        <item h="1" m="1" x="1413"/>
        <item h="1" m="1" x="1417"/>
        <item h="1" m="1" x="1418"/>
        <item h="1" m="1" x="1419"/>
        <item h="1" m="1" x="1420"/>
        <item h="1" m="1" x="1423"/>
        <item h="1" m="1" x="1424"/>
        <item h="1" m="1" x="1427"/>
        <item h="1" m="1" x="1083"/>
        <item h="1" m="1" x="1429"/>
        <item h="1" m="1" x="953"/>
        <item h="1" m="1" x="1431"/>
        <item h="1" m="1" x="1432"/>
        <item h="1" m="1" x="1433"/>
        <item h="1" m="1" x="1434"/>
        <item h="1" m="1" x="1435"/>
        <item h="1" m="1" x="1436"/>
        <item h="1" m="1" x="1437"/>
        <item h="1" m="1" x="1438"/>
        <item h="1" m="1" x="1088"/>
        <item h="1" m="1" x="1101"/>
        <item h="1" m="1" x="1102"/>
        <item h="1" m="1" x="1445"/>
        <item h="1" m="1" x="1447"/>
        <item h="1" m="1" x="1448"/>
        <item h="1" m="1" x="1451"/>
        <item h="1" m="1" x="1452"/>
        <item h="1" m="1" x="1455"/>
        <item h="1" x="369"/>
        <item h="1" m="1" x="1457"/>
        <item h="1" m="1" x="1458"/>
        <item h="1" m="1" x="1459"/>
        <item h="1" m="1" x="1460"/>
        <item h="1" m="1" x="1461"/>
        <item h="1" m="1" x="1465"/>
        <item h="1" m="1" x="1466"/>
        <item h="1" m="1" x="1467"/>
        <item h="1" m="1" x="1468"/>
        <item h="1" m="1" x="1469"/>
        <item h="1" m="1" x="1470"/>
        <item h="1" m="1" x="1471"/>
        <item h="1" m="1" x="1472"/>
        <item h="1" m="1" x="1310"/>
        <item h="1" m="1" x="980"/>
        <item h="1" m="1" x="1287"/>
        <item h="1" m="1" x="1159"/>
        <item h="1" m="1" x="912"/>
        <item h="1" m="1" x="1286"/>
        <item h="1" m="1" x="987"/>
        <item h="1" m="1" x="1167"/>
        <item h="1" m="1" x="1259"/>
        <item h="1" m="1" x="1263"/>
        <item h="1" m="1" x="1326"/>
        <item h="1" m="1" x="1320"/>
        <item h="1" m="1" x="1319"/>
        <item h="1" m="1" x="1306"/>
        <item h="1" m="1" x="1318"/>
        <item h="1" m="1" x="1317"/>
        <item h="1" m="1" x="1316"/>
        <item h="1" m="1" x="1315"/>
        <item h="1" m="1" x="1314"/>
        <item h="1" m="1" x="1331"/>
        <item h="1" m="1" x="1330"/>
        <item h="1" m="1" x="1329"/>
        <item h="1" m="1" x="1298"/>
        <item h="1" m="1" x="1297"/>
        <item h="1" m="1" x="1327"/>
        <item h="1" m="1" x="1285"/>
        <item h="1" m="1" x="1295"/>
        <item h="1" m="1" x="1292"/>
        <item h="1" m="1" x="1304"/>
        <item h="1" m="1" x="1303"/>
        <item h="1" m="1" x="1301"/>
        <item h="1" m="1" x="1302"/>
        <item h="1" m="1" x="998"/>
        <item h="1" m="1" x="1300"/>
        <item h="1" m="1" x="1299"/>
        <item h="1" m="1" x="1309"/>
        <item h="1" m="1" x="1308"/>
        <item h="1" m="1" x="1307"/>
        <item h="1" m="1" x="1283"/>
        <item h="1" m="1" x="1282"/>
        <item h="1" m="1" x="1281"/>
        <item h="1" m="1" x="1264"/>
        <item h="1" m="1" x="1015"/>
        <item h="1" x="76"/>
        <item h="1" m="1" x="1275"/>
        <item h="1" m="1" x="1016"/>
        <item h="1" m="1" x="1183"/>
        <item h="1" m="1" x="1280"/>
        <item h="1" m="1" x="1279"/>
        <item h="1" m="1" x="1291"/>
        <item h="1" m="1" x="1290"/>
        <item h="1" m="1" x="1289"/>
        <item h="1" m="1" x="1288"/>
        <item h="1" m="1" x="1278"/>
        <item h="1" m="1" x="1277"/>
        <item h="1" m="1" x="952"/>
        <item h="1" m="1" x="1191"/>
        <item h="1" m="1" x="1312"/>
        <item h="1" m="1" x="1321"/>
        <item h="1" m="1" x="1194"/>
        <item h="1" m="1" x="1041"/>
        <item h="1" m="1" x="1044"/>
        <item h="1" m="1" x="1045"/>
        <item h="1" m="1" x="1199"/>
        <item h="1" m="1" x="1258"/>
        <item h="1" m="1" x="1262"/>
        <item h="1" m="1" x="1077"/>
        <item h="1" m="1" x="1274"/>
        <item h="1" m="1" x="1273"/>
        <item h="1" m="1" x="1272"/>
        <item h="1" m="1" x="1271"/>
        <item h="1" m="1" x="1325"/>
        <item h="1" m="1" x="1324"/>
        <item h="1" m="1" x="1223"/>
        <item h="1" m="1" x="1221"/>
        <item h="1" m="1" x="1222"/>
        <item h="1" m="1" x="1220"/>
        <item h="1" m="1" x="1322"/>
        <item h="1" m="1" x="1293"/>
        <item h="1" m="1" x="1260"/>
        <item h="1" m="1" x="1294"/>
        <item h="1" m="1" x="1097"/>
        <item h="1" m="1" x="1096"/>
        <item h="1" m="1" x="1284"/>
        <item h="1" m="1" x="1328"/>
        <item h="1" m="1" x="1230"/>
        <item h="1" m="1" x="1104"/>
        <item h="1" m="1" x="951"/>
        <item h="1" m="1" x="1313"/>
        <item h="1" m="1" x="1269"/>
        <item h="1" m="1" x="1268"/>
        <item h="1" m="1" x="1323"/>
        <item h="1" m="1" x="950"/>
        <item h="1" m="1" x="1266"/>
        <item h="1" m="1" x="1243"/>
        <item h="1" m="1" x="1257"/>
        <item h="1" m="1" x="1119"/>
        <item h="1" m="1" x="877"/>
        <item h="1" m="1" x="1276"/>
        <item h="1" m="1" x="1128"/>
        <item h="1" m="1" x="971"/>
        <item h="1" m="1" x="977"/>
        <item h="1" m="1" x="1129"/>
        <item h="1" m="1" x="1130"/>
        <item h="1" m="1" x="1131"/>
        <item h="1" m="1" x="1132"/>
        <item h="1" m="1" x="1133"/>
        <item h="1" m="1" x="1135"/>
        <item h="1" m="1" x="1136"/>
        <item h="1" m="1" x="1137"/>
        <item h="1" m="1" x="1138"/>
        <item h="1" m="1" x="1139"/>
        <item h="1" m="1" x="1140"/>
        <item h="1" m="1" x="1141"/>
        <item h="1" m="1" x="1142"/>
        <item h="1" m="1" x="1143"/>
        <item h="1" m="1" x="1144"/>
        <item h="1" m="1" x="1145"/>
        <item h="1" m="1" x="1146"/>
        <item h="1" m="1" x="1147"/>
        <item h="1" m="1" x="1148"/>
        <item h="1" m="1" x="1149"/>
        <item h="1" m="1" x="1150"/>
        <item h="1" m="1" x="1151"/>
        <item h="1" m="1" x="1152"/>
        <item h="1" m="1" x="1153"/>
        <item h="1" m="1" x="1154"/>
        <item h="1" m="1" x="1155"/>
        <item h="1" m="1" x="1156"/>
        <item h="1" m="1" x="1157"/>
        <item h="1" m="1" x="1158"/>
        <item h="1" m="1" x="1160"/>
        <item h="1" m="1" x="1161"/>
        <item h="1" x="24"/>
        <item h="1" m="1" x="990"/>
        <item h="1" m="1" x="914"/>
        <item h="1" m="1" x="922"/>
        <item h="1" m="1" x="1164"/>
        <item h="1" m="1" x="1165"/>
        <item h="1" m="1" x="997"/>
        <item h="1" m="1" x="996"/>
        <item h="1" m="1" x="1168"/>
        <item h="1" m="1" x="1169"/>
        <item h="1" m="1" x="1170"/>
        <item h="1" m="1" x="1171"/>
        <item h="1" m="1" x="1172"/>
        <item h="1" m="1" x="1173"/>
        <item h="1" m="1" x="1174"/>
        <item h="1" m="1" x="1175"/>
        <item h="1" m="1" x="995"/>
        <item h="1" m="1" x="1176"/>
        <item h="1" m="1" x="991"/>
        <item h="1" m="1" x="1177"/>
        <item h="1" m="1" x="992"/>
        <item h="1" m="1" x="1178"/>
        <item h="1" m="1" x="1179"/>
        <item h="1" m="1" x="1180"/>
        <item h="1" m="1" x="1181"/>
        <item h="1" m="1" x="1182"/>
        <item h="1" m="1" x="993"/>
        <item h="1" m="1" x="994"/>
        <item h="1" m="1" x="726"/>
        <item h="1" x="78"/>
        <item h="1" x="81"/>
        <item h="1" m="1" x="915"/>
        <item h="1" x="86"/>
        <item h="1" m="1" x="1184"/>
        <item h="1" m="1" x="1188"/>
        <item h="1" m="1" x="1189"/>
        <item h="1" m="1" x="946"/>
        <item h="1" m="1" x="1034"/>
        <item h="1" m="1" x="1035"/>
        <item h="1" m="1" x="1036"/>
        <item h="1" m="1" x="1037"/>
        <item h="1" x="174"/>
        <item h="1" m="1" x="1197"/>
        <item h="1" m="1" x="1042"/>
        <item h="1" m="1" x="1198"/>
        <item h="1" m="1" x="1049"/>
        <item h="1" m="1" x="1050"/>
        <item h="1" m="1" x="1051"/>
        <item h="1" m="1" x="1052"/>
        <item h="1" m="1" x="1064"/>
        <item h="1" m="1" x="551"/>
        <item h="1" m="1" x="1068"/>
        <item h="1" m="1" x="1203"/>
        <item h="1" m="1" x="1211"/>
        <item h="1" m="1" x="1212"/>
        <item h="1" m="1" x="1213"/>
        <item h="1" m="1" x="1218"/>
        <item h="1" m="1" x="1219"/>
        <item h="1" m="1" x="1224"/>
        <item h="1" m="1" x="1085"/>
        <item h="1" m="1" x="1092"/>
        <item h="1" m="1" x="1090"/>
        <item h="1" x="318"/>
        <item h="1" x="338"/>
        <item h="1" m="1" x="1227"/>
        <item h="1" m="1" x="1228"/>
        <item h="1" m="1" x="1103"/>
        <item h="1" m="1" x="1237"/>
        <item h="1" m="1" x="1106"/>
        <item h="1" m="1" x="1238"/>
        <item h="1" m="1" x="1107"/>
        <item h="1" m="1" x="1111"/>
        <item h="1" m="1" x="1117"/>
        <item h="1" m="1" x="1113"/>
        <item h="1" m="1" x="1114"/>
        <item h="1" m="1" x="1115"/>
        <item h="1" m="1" x="1116"/>
        <item h="1" m="1" x="1244"/>
        <item h="1" m="1" x="1245"/>
        <item h="1" m="1" x="766"/>
        <item h="1" m="1" x="1246"/>
        <item h="1" m="1" x="1247"/>
        <item h="1" m="1" x="1248"/>
        <item h="1" m="1" x="1250"/>
        <item h="1" m="1" x="1253"/>
        <item h="1" m="1" x="1254"/>
        <item h="1" m="1" x="1255"/>
        <item h="1" m="1" x="1256"/>
        <item h="1" m="1" x="592"/>
        <item h="1" m="1" x="1125"/>
        <item h="1" m="1" x="1126"/>
        <item h="1" m="1" x="931"/>
        <item h="1" m="1" x="969"/>
        <item h="1" m="1" x="970"/>
        <item h="1" m="1" x="421"/>
        <item h="1" m="1" x="973"/>
        <item h="1" m="1" x="974"/>
        <item h="1" m="1" x="975"/>
        <item h="1" m="1" x="955"/>
        <item h="1" m="1" x="981"/>
        <item h="1" m="1" x="929"/>
        <item h="1" m="1" x="984"/>
        <item h="1" m="1" x="985"/>
        <item h="1" m="1" x="986"/>
        <item h="1" m="1" x="928"/>
        <item h="1" m="1" x="988"/>
        <item h="1" m="1" x="949"/>
        <item h="1" m="1" x="1000"/>
        <item h="1" m="1" x="1001"/>
        <item h="1" m="1" x="1002"/>
        <item h="1" m="1" x="1003"/>
        <item h="1" m="1" x="1004"/>
        <item h="1" m="1" x="1005"/>
        <item h="1" m="1" x="1006"/>
        <item h="1" m="1" x="1007"/>
        <item h="1" m="1" x="1008"/>
        <item h="1" m="1" x="1009"/>
        <item h="1" m="1" x="1010"/>
        <item h="1" m="1" x="1011"/>
        <item h="1" m="1" x="1012"/>
        <item h="1" m="1" x="1013"/>
        <item h="1" m="1" x="937"/>
        <item h="1" m="1" x="1014"/>
        <item h="1" m="1" x="1017"/>
        <item h="1" m="1" x="964"/>
        <item h="1" m="1" x="1018"/>
        <item h="1" m="1" x="1019"/>
        <item h="1" m="1" x="1020"/>
        <item h="1" m="1" x="1022"/>
        <item h="1" m="1" x="1023"/>
        <item h="1" m="1" x="1024"/>
        <item h="1" m="1" x="1025"/>
        <item h="1" m="1" x="940"/>
        <item h="1" m="1" x="938"/>
        <item h="1" m="1" x="944"/>
        <item h="1" m="1" x="943"/>
        <item h="1" m="1" x="1030"/>
        <item h="1" m="1" x="927"/>
        <item h="1" m="1" x="1032"/>
        <item h="1" m="1" x="1033"/>
        <item h="1" m="1" x="1038"/>
        <item h="1" x="121"/>
        <item h="1" m="1" x="1040"/>
        <item h="1" x="155"/>
        <item h="1" x="180"/>
        <item h="1" m="1" x="1043"/>
        <item h="1" m="1" x="1046"/>
        <item h="1" m="1" x="1047"/>
        <item h="1" m="1" x="1048"/>
        <item h="1" m="1" x="1053"/>
        <item h="1" m="1" x="1054"/>
        <item h="1" m="1" x="1055"/>
        <item h="1" m="1" x="747"/>
        <item h="1" m="1" x="1057"/>
        <item h="1" m="1" x="750"/>
        <item h="1" m="1" x="1067"/>
        <item h="1" m="1" x="1075"/>
        <item h="1" m="1" x="1079"/>
        <item h="1" m="1" x="1081"/>
        <item h="1" m="1" x="521"/>
        <item h="1" m="1" x="1082"/>
        <item h="1" m="1" x="528"/>
        <item h="1" m="1" x="1086"/>
        <item h="1" m="1" x="1087"/>
        <item h="1" m="1" x="948"/>
        <item h="1" m="1" x="947"/>
        <item h="1" m="1" x="855"/>
        <item h="1" x="324"/>
        <item h="1" x="316"/>
        <item h="1" m="1" x="1089"/>
        <item h="1" m="1" x="1091"/>
        <item h="1" x="302"/>
        <item h="1" m="1" x="1099"/>
        <item h="1" m="1" x="1100"/>
        <item h="1" m="1" x="760"/>
        <item h="1" m="1" x="761"/>
        <item h="1" m="1" x="930"/>
        <item h="1" x="360"/>
        <item h="1" m="1" x="1108"/>
        <item h="1" m="1" x="1109"/>
        <item h="1" m="1" x="1110"/>
        <item h="1" m="1" x="554"/>
        <item h="1" m="1" x="1112"/>
        <item h="1" m="1" x="572"/>
        <item h="1" m="1" x="702"/>
        <item h="1" m="1" x="701"/>
        <item h="1" m="1" x="1123"/>
        <item h="1" m="1" x="1124"/>
        <item h="1" m="1" x="582"/>
        <item h="1" m="1" x="419"/>
        <item h="1" m="1" x="903"/>
        <item h="1" m="1" x="892"/>
        <item h="1" m="1" x="893"/>
        <item h="1" x="14"/>
        <item h="1" x="23"/>
        <item h="1" m="1" x="911"/>
        <item h="1" m="1" x="942"/>
        <item h="1" m="1" x="901"/>
        <item h="1" m="1" x="923"/>
        <item h="1" m="1" x="603"/>
        <item h="1" m="1" x="902"/>
        <item h="1" m="1" x="896"/>
        <item h="1" m="1" x="898"/>
        <item h="1" m="1" x="926"/>
        <item h="1" m="1" x="908"/>
        <item h="1" m="1" x="797"/>
        <item h="1" m="1" x="798"/>
        <item h="1" m="1" x="904"/>
        <item h="1" m="1" x="894"/>
        <item h="1" m="1" x="794"/>
        <item h="1" m="1" x="897"/>
        <item h="1" m="1" x="899"/>
        <item h="1" m="1" x="941"/>
        <item h="1" m="1" x="816"/>
        <item h="1" m="1" x="821"/>
        <item h="1" m="1" x="745"/>
        <item h="1" x="141"/>
        <item h="1" x="146"/>
        <item h="1" m="1" x="817"/>
        <item h="1" m="1" x="818"/>
        <item h="1" x="126"/>
        <item h="1" m="1" x="825"/>
        <item h="1" m="1" x="909"/>
        <item h="1" m="1" x="900"/>
        <item h="1" m="1" x="917"/>
        <item h="1" m="1" x="895"/>
        <item h="1" m="1" x="919"/>
        <item h="1" m="1" x="918"/>
        <item h="1" x="119"/>
        <item h="1" m="1" x="838"/>
        <item h="1" m="1" x="836"/>
        <item h="1" m="1" x="840"/>
        <item h="1" m="1" x="698"/>
        <item h="1" m="1" x="916"/>
        <item h="1" m="1" x="907"/>
        <item h="1" m="1" x="965"/>
        <item h="1" m="1" x="847"/>
        <item h="1" x="278"/>
        <item h="1" x="279"/>
        <item h="1" x="332"/>
        <item h="1" m="1" x="857"/>
        <item h="1" m="1" x="856"/>
        <item h="1" m="1" x="932"/>
        <item h="1" x="322"/>
        <item h="1" x="323"/>
        <item h="1" x="296"/>
        <item h="1" x="352"/>
        <item h="1" x="356"/>
        <item h="1" x="361"/>
        <item h="1" m="1" x="861"/>
        <item h="1" m="1" x="862"/>
        <item h="1" m="1" x="863"/>
        <item h="1" m="1" x="865"/>
        <item h="1" m="1" x="866"/>
        <item h="1" m="1" x="567"/>
        <item h="1" m="1" x="871"/>
        <item h="1" m="1" x="872"/>
        <item h="1" m="1" x="873"/>
        <item h="1" m="1" x="874"/>
        <item h="1" m="1" x="699"/>
        <item h="1" m="1" x="934"/>
        <item h="1" m="1" x="933"/>
        <item h="1" m="1" x="880"/>
        <item h="1" m="1" x="881"/>
        <item h="1" m="1" x="882"/>
        <item h="1" m="1" x="906"/>
        <item h="1" m="1" x="905"/>
        <item h="1" m="1" x="920"/>
        <item h="1" m="1" x="884"/>
        <item h="1" m="1" x="886"/>
        <item h="1" m="1" x="887"/>
        <item h="1" m="1" x="888"/>
        <item h="1" m="1" x="889"/>
        <item h="1" m="1" x="890"/>
        <item h="1" m="1" x="586"/>
        <item h="1" m="1" x="595"/>
        <item h="1" m="1" x="885"/>
        <item h="1" m="1" x="769"/>
        <item h="1" m="1" x="770"/>
        <item h="1" m="1" x="771"/>
        <item h="1" m="1" x="772"/>
        <item h="1" m="1" x="774"/>
        <item h="1" x="32"/>
        <item h="1" x="33"/>
        <item h="1" m="1" x="776"/>
        <item h="1" m="1" x="777"/>
        <item h="1" m="1" x="778"/>
        <item h="1" m="1" x="779"/>
        <item h="1" m="1" x="781"/>
        <item h="1" m="1" x="719"/>
        <item h="1" m="1" x="720"/>
        <item h="1" m="1" x="783"/>
        <item h="1" m="1" x="784"/>
        <item h="1" m="1" x="785"/>
        <item h="1" m="1" x="786"/>
        <item h="1" m="1" x="430"/>
        <item h="1" x="42"/>
        <item h="1" m="1" x="787"/>
        <item h="1" m="1" x="788"/>
        <item h="1" m="1" x="789"/>
        <item h="1" m="1" x="791"/>
        <item h="1" m="1" x="792"/>
        <item h="1" x="41"/>
        <item h="1" m="1" x="795"/>
        <item h="1" m="1" x="796"/>
        <item h="1" m="1" x="799"/>
        <item h="1" m="1" x="800"/>
        <item h="1" m="1" x="801"/>
        <item h="1" m="1" x="715"/>
        <item h="1" m="1" x="716"/>
        <item h="1" m="1" x="803"/>
        <item h="1" x="43"/>
        <item h="1" m="1" x="804"/>
        <item h="1" m="1" x="805"/>
        <item h="1" m="1" x="806"/>
        <item h="1" m="1" x="808"/>
        <item h="1" m="1" x="809"/>
        <item h="1" m="1" x="813"/>
        <item h="1" m="1" x="814"/>
        <item h="1" m="1" x="815"/>
        <item h="1" x="147"/>
        <item h="1" m="1" x="819"/>
        <item h="1" m="1" x="823"/>
        <item h="1" m="1" x="824"/>
        <item h="1" m="1" x="500"/>
        <item h="1" m="1" x="695"/>
        <item h="1" m="1" x="827"/>
        <item h="1" m="1" x="828"/>
        <item h="1" m="1" x="829"/>
        <item h="1" m="1" x="830"/>
        <item h="1" m="1" x="831"/>
        <item h="1" m="1" x="832"/>
        <item h="1" m="1" x="833"/>
        <item h="1" m="1" x="834"/>
        <item h="1" m="1" x="835"/>
        <item h="1" x="216"/>
        <item h="1" x="217"/>
        <item h="1" m="1" x="746"/>
        <item h="1" m="1" x="839"/>
        <item h="1" x="127"/>
        <item h="1" m="1" x="841"/>
        <item h="1" m="1" x="842"/>
        <item h="1" m="1" x="843"/>
        <item h="1" m="1" x="844"/>
        <item h="1" m="1" x="846"/>
        <item h="1" m="1" x="756"/>
        <item h="1" m="1" x="523"/>
        <item h="1" m="1" x="527"/>
        <item h="1" x="280"/>
        <item h="1" m="1" x="848"/>
        <item h="1" m="1" x="849"/>
        <item h="1" m="1" x="850"/>
        <item h="1" m="1" x="851"/>
        <item h="1" m="1" x="853"/>
        <item h="1" x="295"/>
        <item h="1" m="1" x="697"/>
        <item h="1" x="294"/>
        <item h="1" x="320"/>
        <item h="1" x="321"/>
        <item h="1" x="312"/>
        <item h="1" x="339"/>
        <item h="1" m="1" x="859"/>
        <item h="1" m="1" x="860"/>
        <item h="1" m="1" x="696"/>
        <item h="1" x="351"/>
        <item h="1" x="362"/>
        <item h="1" m="1" x="864"/>
        <item h="1" m="1" x="867"/>
        <item h="1" m="1" x="765"/>
        <item h="1" m="1" x="868"/>
        <item h="1" m="1" x="869"/>
        <item h="1" m="1" x="870"/>
        <item h="1" x="387"/>
        <item h="1" m="1" x="883"/>
        <item h="1" m="1" x="693"/>
        <item h="1" x="410"/>
        <item h="1" x="411"/>
        <item h="1" m="1" x="891"/>
        <item h="1" m="1" x="704"/>
        <item h="1" m="1" x="705"/>
        <item h="1" m="1" x="423"/>
        <item h="1" x="29"/>
        <item h="1" m="1" x="706"/>
        <item h="1" m="1" x="707"/>
        <item h="1" m="1" x="708"/>
        <item h="1" m="1" x="709"/>
        <item h="1" m="1" x="710"/>
        <item h="1" m="1" x="711"/>
        <item h="1" m="1" x="712"/>
        <item h="1" x="46"/>
        <item h="1" m="1" x="713"/>
        <item h="1" m="1" x="714"/>
        <item h="1" m="1" x="717"/>
        <item h="1" m="1" x="718"/>
        <item h="1" x="44"/>
        <item h="1" m="1" x="721"/>
        <item h="1" m="1" x="722"/>
        <item h="1" m="1" x="724"/>
        <item h="1" m="1" x="725"/>
        <item h="1" m="1" x="727"/>
        <item h="1" m="1" x="728"/>
        <item h="1" m="1" x="729"/>
        <item h="1" m="1" x="730"/>
        <item h="1" m="1" x="731"/>
        <item h="1" m="1" x="465"/>
        <item h="1" m="1" x="734"/>
        <item h="1" m="1" x="735"/>
        <item h="1" m="1" x="736"/>
        <item h="1" m="1" x="737"/>
        <item h="1" m="1" x="738"/>
        <item h="1" m="1" x="739"/>
        <item h="1" m="1" x="740"/>
        <item h="1" m="1" x="741"/>
        <item h="1" x="144"/>
        <item h="1" x="133"/>
        <item h="1" m="1" x="478"/>
        <item h="1" m="1" x="488"/>
        <item h="1" m="1" x="486"/>
        <item h="1" m="1" x="489"/>
        <item h="1" m="1" x="491"/>
        <item h="1" m="1" x="492"/>
        <item h="1" x="173"/>
        <item h="1" x="172"/>
        <item h="1" m="1" x="688"/>
        <item h="1" m="1" x="748"/>
        <item h="1" m="1" x="752"/>
        <item h="1" m="1" x="753"/>
        <item h="1" m="1" x="686"/>
        <item h="1" m="1" x="683"/>
        <item h="1" m="1" x="690"/>
        <item h="1" m="1" x="687"/>
        <item h="1" m="1" x="689"/>
        <item h="1" m="1" x="754"/>
        <item h="1" m="1" x="516"/>
        <item h="1" m="1" x="517"/>
        <item h="1" m="1" x="522"/>
        <item h="1" m="1" x="524"/>
        <item h="1" m="1" x="685"/>
        <item h="1" m="1" x="537"/>
        <item h="1" m="1" x="757"/>
        <item h="1" m="1" x="607"/>
        <item h="1" x="311"/>
        <item h="1" x="301"/>
        <item h="1" m="1" x="691"/>
        <item h="1" x="331"/>
        <item h="1" m="1" x="545"/>
        <item h="1" x="334"/>
        <item h="1" m="1" x="759"/>
        <item h="1" m="1" x="762"/>
        <item h="1" m="1" x="763"/>
        <item h="1" m="1" x="556"/>
        <item h="1" m="1" x="557"/>
        <item h="1" m="1" x="558"/>
        <item h="1" m="1" x="559"/>
        <item h="1" m="1" x="563"/>
        <item h="1" m="1" x="564"/>
        <item h="1" m="1" x="568"/>
        <item h="1" m="1" x="682"/>
        <item h="1" m="1" x="692"/>
        <item h="1" x="385"/>
        <item h="1" m="1" x="768"/>
        <item h="1" m="1" x="577"/>
        <item h="1" m="1" x="594"/>
        <item h="1" m="1" x="681"/>
        <item h="1" m="1" x="593"/>
        <item h="1" m="1" x="581"/>
        <item h="1" m="1" x="583"/>
        <item h="1" x="416"/>
        <item h="1" m="1" x="584"/>
        <item h="1" m="1" x="591"/>
        <item h="1" m="1" x="590"/>
        <item h="1" m="1" x="663"/>
        <item h="1" m="1" x="428"/>
        <item h="1" m="1" x="427"/>
        <item h="1" m="1" x="600"/>
        <item h="1" m="1" x="424"/>
        <item h="1" m="1" x="425"/>
        <item h="1" m="1" x="426"/>
        <item h="1" m="1" x="674"/>
        <item h="1" m="1" x="608"/>
        <item h="1" x="15"/>
        <item h="1" m="1" x="670"/>
        <item h="1" m="1" x="680"/>
        <item h="1" m="1" x="601"/>
        <item h="1" m="1" x="439"/>
        <item h="1" m="1" x="612"/>
        <item h="1" m="1" x="611"/>
        <item h="1" m="1" x="610"/>
        <item h="1" m="1" x="609"/>
        <item h="1" m="1" x="440"/>
        <item h="1" m="1" x="599"/>
        <item h="1" m="1" x="598"/>
        <item h="1" m="1" x="597"/>
        <item h="1" m="1" x="441"/>
        <item h="1" m="1" x="438"/>
        <item h="1" m="1" x="437"/>
        <item h="1" m="1" x="615"/>
        <item h="1" m="1" x="632"/>
        <item h="1" m="1" x="642"/>
        <item h="1" m="1" x="434"/>
        <item h="1" m="1" x="644"/>
        <item h="1" m="1" x="436"/>
        <item h="1" x="59"/>
        <item h="1" m="1" x="435"/>
        <item h="1" m="1" x="653"/>
        <item h="1" m="1" x="652"/>
        <item h="1" m="1" x="651"/>
        <item h="1" m="1" x="649"/>
        <item h="1" m="1" x="673"/>
        <item h="1" m="1" x="675"/>
        <item h="1" m="1" x="431"/>
        <item h="1" m="1" x="672"/>
        <item h="1" m="1" x="679"/>
        <item h="1" m="1" x="678"/>
        <item h="1" m="1" x="677"/>
        <item h="1" m="1" x="432"/>
        <item h="1" m="1" x="664"/>
        <item h="1" m="1" x="659"/>
        <item h="1" m="1" x="660"/>
        <item h="1" m="1" x="433"/>
        <item h="1" m="1" x="657"/>
        <item h="1" m="1" x="640"/>
        <item h="1" m="1" x="641"/>
        <item h="1" m="1" x="631"/>
        <item h="1" m="1" x="630"/>
        <item h="1" m="1" x="636"/>
        <item h="1" m="1" x="668"/>
        <item h="1" m="1" x="466"/>
        <item h="1" m="1" x="470"/>
        <item h="1" m="1" x="614"/>
        <item h="1" x="114"/>
        <item h="1" x="116"/>
        <item h="1" m="1" x="648"/>
        <item h="1" m="1" x="647"/>
        <item h="1" m="1" x="490"/>
        <item h="1" m="1" x="480"/>
        <item h="1" m="1" x="606"/>
        <item h="1" m="1" x="483"/>
        <item h="1" x="149"/>
        <item h="1" m="1" x="626"/>
        <item h="1" m="1" x="499"/>
        <item h="1" m="1" x="497"/>
        <item h="1" x="201"/>
        <item h="1" m="1" x="667"/>
        <item h="1" m="1" x="666"/>
        <item h="1" m="1" x="665"/>
        <item h="1" m="1" x="621"/>
        <item h="1" x="230"/>
        <item h="1" m="1" x="505"/>
        <item h="1" m="1" x="506"/>
        <item h="1" m="1" x="617"/>
        <item h="1" x="235"/>
        <item h="1" m="1" x="662"/>
        <item h="1" m="1" x="645"/>
        <item h="1" m="1" x="618"/>
        <item h="1" m="1" x="661"/>
        <item h="1" m="1" x="627"/>
        <item h="1" m="1" x="514"/>
        <item h="1" m="1" x="628"/>
        <item h="1" x="245"/>
        <item h="1" m="1" x="518"/>
        <item h="1" m="1" x="519"/>
        <item h="1" x="262"/>
        <item h="1" m="1" x="531"/>
        <item h="1" m="1" x="655"/>
        <item h="1" m="1" x="526"/>
        <item h="1" m="1" x="529"/>
        <item h="1" x="287"/>
        <item h="1" x="288"/>
        <item h="1" x="286"/>
        <item h="1" m="1" x="541"/>
        <item h="1" x="315"/>
        <item h="1" x="304"/>
        <item h="1" x="305"/>
        <item h="1" x="308"/>
        <item h="1" x="309"/>
        <item h="1" x="310"/>
        <item h="1" x="330"/>
        <item h="1" m="1" x="676"/>
        <item h="1" x="335"/>
        <item h="1" m="1" x="546"/>
        <item h="1" x="341"/>
        <item h="1" m="1" x="547"/>
        <item h="1" m="1" x="548"/>
        <item h="1" m="1" x="549"/>
        <item h="1" m="1" x="646"/>
        <item h="1" m="1" x="550"/>
        <item h="1" x="353"/>
        <item h="1" m="1" x="605"/>
        <item h="1" m="1" x="638"/>
        <item h="1" m="1" x="637"/>
        <item h="1" m="1" x="623"/>
        <item h="1" m="1" x="622"/>
        <item h="1" m="1" x="602"/>
        <item h="1" m="1" x="562"/>
        <item h="1" m="1" x="553"/>
        <item h="1" m="1" x="555"/>
        <item h="1" m="1" x="569"/>
        <item h="1" m="1" x="570"/>
        <item h="1" m="1" x="565"/>
        <item h="1" m="1" x="656"/>
        <item h="1" x="378"/>
        <item h="1" m="1" x="625"/>
        <item h="1" m="1" x="624"/>
        <item h="1" m="1" x="588"/>
        <item h="1" m="1" x="635"/>
        <item h="1" m="1" x="589"/>
        <item h="1" m="1" x="634"/>
        <item h="1" m="1" x="579"/>
        <item h="1" m="1" x="580"/>
        <item h="1" x="414"/>
        <item h="1" m="1" x="633"/>
        <item h="1" m="1" x="578"/>
        <item h="1" x="5"/>
        <item h="1" m="1" x="422"/>
        <item h="1" x="27"/>
        <item h="1" x="28"/>
        <item h="1" m="1" x="442"/>
        <item h="1" m="1" x="443"/>
        <item h="1" m="1" x="444"/>
        <item h="1" m="1" x="445"/>
        <item h="1" m="1" x="447"/>
        <item h="1" m="1" x="448"/>
        <item h="1" m="1" x="449"/>
        <item h="1" m="1" x="450"/>
        <item h="1" m="1" x="451"/>
        <item h="1" m="1" x="452"/>
        <item h="1" m="1" x="453"/>
        <item h="1" m="1" x="454"/>
        <item h="1" m="1" x="455"/>
        <item h="1" m="1" x="456"/>
        <item h="1" m="1" x="457"/>
        <item h="1" m="1" x="458"/>
        <item h="1" m="1" x="459"/>
        <item h="1" m="1" x="460"/>
        <item h="1" m="1" x="461"/>
        <item h="1" m="1" x="462"/>
        <item h="1" m="1" x="463"/>
        <item h="1" m="1" x="464"/>
        <item h="1" x="79"/>
        <item h="1" x="85"/>
        <item h="1" m="1" x="467"/>
        <item h="1" m="1" x="468"/>
        <item h="1" m="1" x="469"/>
        <item h="1" m="1" x="472"/>
        <item h="1" m="1" x="474"/>
        <item h="1" x="100"/>
        <item h="1" x="99"/>
        <item h="1" x="102"/>
        <item h="1" x="103"/>
        <item h="1" x="101"/>
        <item h="1" x="111"/>
        <item h="1" x="115"/>
        <item h="1" x="112"/>
        <item h="1" x="113"/>
        <item h="1" x="130"/>
        <item h="1" x="139"/>
        <item h="1" x="124"/>
        <item h="1" m="1" x="485"/>
        <item h="1" m="1" x="487"/>
        <item h="1" x="120"/>
        <item h="1" x="162"/>
        <item h="1" x="163"/>
        <item h="1" x="164"/>
        <item h="1" m="1" x="493"/>
        <item h="1" m="1" x="494"/>
        <item h="1" x="167"/>
        <item h="1" x="168"/>
        <item h="1" m="1" x="495"/>
        <item h="1" m="1" x="496"/>
        <item h="1" x="170"/>
        <item h="1" x="171"/>
        <item h="1" x="179"/>
        <item h="1" x="182"/>
        <item h="1" x="183"/>
        <item h="1" x="181"/>
        <item h="1" x="184"/>
        <item h="1" x="185"/>
        <item h="1" x="194"/>
        <item h="1" x="193"/>
        <item h="1" x="192"/>
        <item h="1" x="189"/>
        <item h="1" x="190"/>
        <item h="1" x="191"/>
        <item h="1" x="187"/>
        <item h="1" x="188"/>
        <item h="1" x="186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m="1" x="502"/>
        <item h="1" m="1" x="503"/>
        <item h="1" m="1" x="504"/>
        <item h="1" x="236"/>
        <item h="1" m="1" x="512"/>
        <item h="1" m="1" x="513"/>
        <item h="1" m="1" x="515"/>
        <item h="1" x="246"/>
        <item h="1" x="258"/>
        <item h="1" x="259"/>
        <item h="1" m="1" x="536"/>
        <item h="1" m="1" x="538"/>
        <item h="1" x="283"/>
        <item h="1" m="1" x="539"/>
        <item h="1" m="1" x="540"/>
        <item h="1" x="290"/>
        <item h="1" m="1" x="542"/>
        <item h="1" m="1" x="543"/>
        <item h="1" x="306"/>
        <item h="1" x="307"/>
        <item h="1" x="317"/>
        <item h="1" x="300"/>
        <item h="1" x="297"/>
        <item h="1" x="336"/>
        <item h="1" m="1" x="552"/>
        <item h="1" m="1" x="560"/>
        <item h="1" m="1" x="561"/>
        <item h="1" m="1" x="566"/>
        <item h="1" m="1" x="571"/>
        <item h="1" x="379"/>
        <item h="1" x="381"/>
        <item h="1" x="377"/>
        <item h="1" x="399"/>
        <item h="1" m="1" x="576"/>
        <item h="1" m="1" x="585"/>
        <item h="1" m="1" x="587"/>
        <item h="1" x="412"/>
        <item h="1" x="0"/>
        <item h="1" x="2"/>
        <item h="1" x="3"/>
        <item h="1" x="4"/>
        <item h="1" x="6"/>
        <item h="1" x="8"/>
        <item h="1" x="9"/>
        <item h="1" x="10"/>
        <item h="1" x="11"/>
        <item h="1" x="12"/>
        <item h="1" x="16"/>
        <item h="1" x="17"/>
        <item h="1" x="18"/>
        <item h="1" x="30"/>
        <item h="1" x="31"/>
        <item h="1" x="34"/>
        <item h="1" x="35"/>
        <item h="1" x="36"/>
        <item h="1" x="37"/>
        <item h="1" x="38"/>
        <item h="1" x="47"/>
        <item h="1" x="48"/>
        <item h="1" x="49"/>
        <item h="1" x="50"/>
        <item h="1" x="51"/>
        <item h="1" x="52"/>
        <item h="1" x="53"/>
        <item h="1" x="55"/>
        <item h="1" x="56"/>
        <item h="1" x="57"/>
        <item h="1" x="58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70"/>
        <item h="1" x="71"/>
        <item h="1" x="74"/>
        <item h="1" x="90"/>
        <item h="1" x="94"/>
        <item h="1" x="95"/>
        <item h="1" x="97"/>
        <item h="1" x="98"/>
        <item h="1" x="104"/>
        <item h="1" x="105"/>
        <item h="1" x="110"/>
        <item h="1" x="122"/>
        <item h="1" x="125"/>
        <item h="1" x="129"/>
        <item h="1" x="148"/>
        <item h="1" x="150"/>
        <item h="1" x="151"/>
        <item h="1" x="154"/>
        <item h="1" x="158"/>
        <item h="1" x="159"/>
        <item h="1" x="160"/>
        <item h="1" x="161"/>
        <item h="1" x="176"/>
        <item h="1" x="177"/>
        <item h="1" x="178"/>
        <item h="1" x="195"/>
        <item h="1" x="196"/>
        <item h="1" x="197"/>
        <item h="1" x="198"/>
        <item h="1" x="199"/>
        <item h="1" x="211"/>
        <item h="1" x="213"/>
        <item h="1" x="214"/>
        <item h="1" x="226"/>
        <item h="1" x="227"/>
        <item h="1" x="228"/>
        <item h="1" x="229"/>
        <item h="1" x="232"/>
        <item h="1" x="233"/>
        <item h="1" x="234"/>
        <item h="1" x="240"/>
        <item h="1" x="242"/>
        <item h="1" x="243"/>
        <item h="1" x="270"/>
        <item h="1" x="272"/>
        <item h="1" x="275"/>
        <item h="1" x="277"/>
        <item h="1" x="281"/>
        <item h="1" x="282"/>
        <item h="1" x="284"/>
        <item h="1" x="285"/>
        <item h="1" x="313"/>
        <item h="1" x="314"/>
        <item h="1" x="325"/>
        <item h="1" x="327"/>
        <item h="1" x="340"/>
        <item h="1" x="343"/>
        <item h="1" x="345"/>
        <item h="1" x="346"/>
        <item h="1" x="355"/>
        <item h="1" x="363"/>
        <item h="1" x="364"/>
        <item h="1" x="365"/>
        <item h="1" x="372"/>
        <item h="1" x="389"/>
        <item h="1" x="391"/>
        <item h="1" x="397"/>
        <item h="1" x="400"/>
        <item h="1" x="402"/>
        <item h="1" x="403"/>
        <item h="1" x="404"/>
        <item h="1" x="405"/>
        <item h="1" x="406"/>
        <item h="1" x="407"/>
        <item h="1" x="408"/>
        <item h="1" x="409"/>
        <item h="1" x="413"/>
        <item h="1" x="415"/>
        <item h="1" x="4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48">
    <format dxfId="911">
      <pivotArea outline="0" collapsedLevelsAreSubtotals="1" fieldPosition="0"/>
    </format>
    <format dxfId="910">
      <pivotArea type="all" dataOnly="0" outline="0" fieldPosition="0"/>
    </format>
    <format dxfId="909">
      <pivotArea outline="0" collapsedLevelsAreSubtotals="1" fieldPosition="0"/>
    </format>
    <format dxfId="908">
      <pivotArea dataOnly="0" labelOnly="1" grandRow="1" outline="0" fieldPosition="0"/>
    </format>
    <format dxfId="907">
      <pivotArea dataOnly="0" labelOnly="1" outline="0" axis="axisValues" fieldPosition="0"/>
    </format>
    <format dxfId="906">
      <pivotArea type="all" dataOnly="0" outline="0" fieldPosition="0"/>
    </format>
    <format dxfId="905">
      <pivotArea outline="0" collapsedLevelsAreSubtotals="1" fieldPosition="0"/>
    </format>
    <format dxfId="904">
      <pivotArea dataOnly="0" labelOnly="1" grandRow="1" outline="0" fieldPosition="0"/>
    </format>
    <format dxfId="903">
      <pivotArea dataOnly="0" labelOnly="1" outline="0" axis="axisValues" fieldPosition="0"/>
    </format>
    <format dxfId="902">
      <pivotArea outline="0" collapsedLevelsAreSubtotals="1" fieldPosition="0"/>
    </format>
    <format dxfId="901">
      <pivotArea dataOnly="0" labelOnly="1" outline="0" axis="axisValues" fieldPosition="0"/>
    </format>
    <format dxfId="900">
      <pivotArea type="all" dataOnly="0" outline="0" fieldPosition="0"/>
    </format>
    <format dxfId="899">
      <pivotArea outline="0" collapsedLevelsAreSubtotals="1" fieldPosition="0"/>
    </format>
    <format dxfId="898">
      <pivotArea dataOnly="0" labelOnly="1" grandRow="1" outline="0" fieldPosition="0"/>
    </format>
    <format dxfId="897">
      <pivotArea dataOnly="0" labelOnly="1" outline="0" axis="axisValues" fieldPosition="0"/>
    </format>
    <format dxfId="896">
      <pivotArea type="all" dataOnly="0" outline="0" fieldPosition="0"/>
    </format>
    <format dxfId="895">
      <pivotArea outline="0" collapsedLevelsAreSubtotals="1" fieldPosition="0"/>
    </format>
    <format dxfId="894">
      <pivotArea dataOnly="0" labelOnly="1" grandRow="1" outline="0" fieldPosition="0"/>
    </format>
    <format dxfId="893">
      <pivotArea dataOnly="0" labelOnly="1" outline="0" axis="axisValues" fieldPosition="0"/>
    </format>
    <format dxfId="892">
      <pivotArea field="27" type="button" dataOnly="0" labelOnly="1" outline="0" axis="axisPage" fieldPosition="0"/>
    </format>
    <format dxfId="891">
      <pivotArea type="all" dataOnly="0" outline="0" fieldPosition="0"/>
    </format>
    <format dxfId="890">
      <pivotArea outline="0" collapsedLevelsAreSubtotals="1" fieldPosition="0"/>
    </format>
    <format dxfId="889">
      <pivotArea dataOnly="0" labelOnly="1" grandRow="1" outline="0" fieldPosition="0"/>
    </format>
    <format dxfId="888">
      <pivotArea dataOnly="0" labelOnly="1" outline="0" axis="axisValues" fieldPosition="0"/>
    </format>
    <format dxfId="887">
      <pivotArea type="all" dataOnly="0" outline="0" fieldPosition="0"/>
    </format>
    <format dxfId="886">
      <pivotArea dataOnly="0" labelOnly="1" outline="0" axis="axisValues" fieldPosition="0"/>
    </format>
    <format dxfId="885">
      <pivotArea outline="0" collapsedLevelsAreSubtotals="1" fieldPosition="0"/>
    </format>
    <format dxfId="884">
      <pivotArea dataOnly="0" labelOnly="1" grandRow="1" outline="0" fieldPosition="0"/>
    </format>
    <format dxfId="883">
      <pivotArea dataOnly="0" labelOnly="1" grandRow="1" outline="0" fieldPosition="0"/>
    </format>
    <format dxfId="882">
      <pivotArea type="all" dataOnly="0" outline="0" fieldPosition="0"/>
    </format>
    <format dxfId="881">
      <pivotArea outline="0" collapsedLevelsAreSubtotals="1" fieldPosition="0"/>
    </format>
    <format dxfId="880">
      <pivotArea dataOnly="0" labelOnly="1" grandRow="1" outline="0" fieldPosition="0"/>
    </format>
    <format dxfId="879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 dxfId="878">
      <pivotArea dataOnly="0" labelOnly="1" fieldPosition="0">
        <references count="1">
          <reference field="6" count="0"/>
        </references>
      </pivotArea>
    </format>
    <format dxfId="877">
      <pivotArea dataOnly="0" labelOnly="1" fieldPosition="0">
        <references count="1">
          <reference field="6" count="0"/>
        </references>
      </pivotArea>
    </format>
    <format dxfId="876">
      <pivotArea field="27" type="button" dataOnly="0" labelOnly="1" outline="0" axis="axisPage" fieldPosition="0"/>
    </format>
    <format dxfId="875">
      <pivotArea field="6" type="button" dataOnly="0" labelOnly="1" outline="0" axis="axisRow" fieldPosition="0"/>
    </format>
    <format dxfId="874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873">
      <pivotArea dataOnly="0" labelOnly="1" grandRow="1" outline="0" fieldPosition="0"/>
    </format>
    <format dxfId="872">
      <pivotArea field="27" type="button" dataOnly="0" labelOnly="1" outline="0" axis="axisPage" fieldPosition="0"/>
    </format>
    <format dxfId="871">
      <pivotArea field="6" type="button" dataOnly="0" labelOnly="1" outline="0" axis="axisRow" fieldPosition="0"/>
    </format>
    <format dxfId="870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869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1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1:I38" firstHeaderRow="1" firstDataRow="2" firstDataCol="1"/>
  <pivotFields count="45">
    <pivotField showAll="0"/>
    <pivotField showAll="0"/>
    <pivotField showAll="0"/>
    <pivotField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1"/>
        <item h="1" m="1" x="9"/>
        <item x="5"/>
        <item x="4"/>
        <item x="6"/>
        <item x="2"/>
        <item x="0"/>
        <item h="1" m="1" x="8"/>
        <item x="3"/>
        <item h="1" x="7"/>
        <item t="default"/>
      </items>
    </pivotField>
    <pivotField showAll="0"/>
    <pivotField showAll="0"/>
    <pivotField axis="axisRow" dataField="1" showAll="0" sortType="descending">
      <items count="7">
        <item x="5"/>
        <item x="0"/>
        <item x="1"/>
        <item x="3"/>
        <item x="2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6">
    <i>
      <x v="1"/>
    </i>
    <i>
      <x v="4"/>
    </i>
    <i>
      <x v="3"/>
    </i>
    <i>
      <x v="5"/>
    </i>
    <i>
      <x v="2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TIPO DE ERRO" fld="39" subtotal="count" baseField="0" baseItem="0" numFmtId="3"/>
  </dataFields>
  <formats count="104">
    <format dxfId="1007">
      <pivotArea type="origin" dataOnly="0" labelOnly="1" outline="0" fieldPosition="0"/>
    </format>
    <format dxfId="1006">
      <pivotArea field="36" type="button" dataOnly="0" labelOnly="1" outline="0" axis="axisCol" fieldPosition="0"/>
    </format>
    <format dxfId="1005">
      <pivotArea type="topRight" dataOnly="0" labelOnly="1" outline="0" fieldPosition="0"/>
    </format>
    <format dxfId="1004">
      <pivotArea field="39" type="button" dataOnly="0" labelOnly="1" outline="0" axis="axisRow" fieldPosition="0"/>
    </format>
    <format dxfId="1003">
      <pivotArea dataOnly="0" labelOnly="1" fieldPosition="0">
        <references count="1">
          <reference field="36" count="0"/>
        </references>
      </pivotArea>
    </format>
    <format dxfId="1002">
      <pivotArea dataOnly="0" labelOnly="1" grandCol="1" outline="0" fieldPosition="0"/>
    </format>
    <format dxfId="1001">
      <pivotArea grandRow="1" outline="0" collapsedLevelsAreSubtotals="1" fieldPosition="0"/>
    </format>
    <format dxfId="1000">
      <pivotArea outline="0" collapsedLevelsAreSubtotals="1" fieldPosition="0"/>
    </format>
    <format dxfId="999">
      <pivotArea dataOnly="0" labelOnly="1" fieldPosition="0">
        <references count="1">
          <reference field="36" count="0"/>
        </references>
      </pivotArea>
    </format>
    <format dxfId="998">
      <pivotArea dataOnly="0" labelOnly="1" grandCol="1" outline="0" fieldPosition="0"/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type="origin" dataOnly="0" labelOnly="1" outline="0" fieldPosition="0"/>
    </format>
    <format dxfId="994">
      <pivotArea field="36" type="button" dataOnly="0" labelOnly="1" outline="0" axis="axisCol" fieldPosition="0"/>
    </format>
    <format dxfId="993">
      <pivotArea type="topRight" dataOnly="0" labelOnly="1" outline="0" fieldPosition="0"/>
    </format>
    <format dxfId="992">
      <pivotArea field="39" type="button" dataOnly="0" labelOnly="1" outline="0" axis="axisRow" fieldPosition="0"/>
    </format>
    <format dxfId="991">
      <pivotArea dataOnly="0" labelOnly="1" grandRow="1" outline="0" fieldPosition="0"/>
    </format>
    <format dxfId="990">
      <pivotArea dataOnly="0" labelOnly="1" fieldPosition="0">
        <references count="1">
          <reference field="36" count="0"/>
        </references>
      </pivotArea>
    </format>
    <format dxfId="989">
      <pivotArea dataOnly="0" labelOnly="1" grandCol="1" outline="0" fieldPosition="0"/>
    </format>
    <format dxfId="988">
      <pivotArea type="all" dataOnly="0" outline="0" fieldPosition="0"/>
    </format>
    <format dxfId="987">
      <pivotArea outline="0" collapsedLevelsAreSubtotals="1" fieldPosition="0"/>
    </format>
    <format dxfId="986">
      <pivotArea type="origin" dataOnly="0" labelOnly="1" outline="0" fieldPosition="0"/>
    </format>
    <format dxfId="985">
      <pivotArea field="36" type="button" dataOnly="0" labelOnly="1" outline="0" axis="axisCol" fieldPosition="0"/>
    </format>
    <format dxfId="984">
      <pivotArea type="topRight" dataOnly="0" labelOnly="1" outline="0" fieldPosition="0"/>
    </format>
    <format dxfId="983">
      <pivotArea field="39" type="button" dataOnly="0" labelOnly="1" outline="0" axis="axisRow" fieldPosition="0"/>
    </format>
    <format dxfId="982">
      <pivotArea dataOnly="0" labelOnly="1" grandRow="1" outline="0" fieldPosition="0"/>
    </format>
    <format dxfId="981">
      <pivotArea dataOnly="0" labelOnly="1" fieldPosition="0">
        <references count="1">
          <reference field="36" count="0"/>
        </references>
      </pivotArea>
    </format>
    <format dxfId="980">
      <pivotArea dataOnly="0" labelOnly="1" grandCol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type="origin" dataOnly="0" labelOnly="1" outline="0" fieldPosition="0"/>
    </format>
    <format dxfId="976">
      <pivotArea field="36" type="button" dataOnly="0" labelOnly="1" outline="0" axis="axisCol" fieldPosition="0"/>
    </format>
    <format dxfId="975">
      <pivotArea type="topRight" dataOnly="0" labelOnly="1" outline="0" fieldPosition="0"/>
    </format>
    <format dxfId="974">
      <pivotArea field="39" type="button" dataOnly="0" labelOnly="1" outline="0" axis="axisRow" fieldPosition="0"/>
    </format>
    <format dxfId="973">
      <pivotArea dataOnly="0" labelOnly="1" grandRow="1" outline="0" fieldPosition="0"/>
    </format>
    <format dxfId="972">
      <pivotArea dataOnly="0" labelOnly="1" fieldPosition="0">
        <references count="1">
          <reference field="36" count="0"/>
        </references>
      </pivotArea>
    </format>
    <format dxfId="971">
      <pivotArea dataOnly="0" labelOnly="1" grandCol="1" outline="0" fieldPosition="0"/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type="origin" dataOnly="0" labelOnly="1" outline="0" fieldPosition="0"/>
    </format>
    <format dxfId="967">
      <pivotArea field="36" type="button" dataOnly="0" labelOnly="1" outline="0" axis="axisCol" fieldPosition="0"/>
    </format>
    <format dxfId="966">
      <pivotArea type="topRight" dataOnly="0" labelOnly="1" outline="0" fieldPosition="0"/>
    </format>
    <format dxfId="965">
      <pivotArea field="39" type="button" dataOnly="0" labelOnly="1" outline="0" axis="axisRow" fieldPosition="0"/>
    </format>
    <format dxfId="964">
      <pivotArea dataOnly="0" labelOnly="1" grandRow="1" outline="0" fieldPosition="0"/>
    </format>
    <format dxfId="963">
      <pivotArea dataOnly="0" labelOnly="1" fieldPosition="0">
        <references count="1">
          <reference field="36" count="0"/>
        </references>
      </pivotArea>
    </format>
    <format dxfId="962">
      <pivotArea dataOnly="0" labelOnly="1" grandCol="1" outline="0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type="origin" dataOnly="0" labelOnly="1" outline="0" fieldPosition="0"/>
    </format>
    <format dxfId="958">
      <pivotArea field="39" type="button" dataOnly="0" labelOnly="1" outline="0" axis="axisRow" fieldPosition="0"/>
    </format>
    <format dxfId="957">
      <pivotArea dataOnly="0" labelOnly="1" grandRow="1" outline="0" fieldPosition="0"/>
    </format>
    <format dxfId="956">
      <pivotArea dataOnly="0" labelOnly="1" fieldPosition="0">
        <references count="1">
          <reference field="36" count="0"/>
        </references>
      </pivotArea>
    </format>
    <format dxfId="955">
      <pivotArea dataOnly="0" labelOnly="1" grandCol="1" outline="0" fieldPosition="0"/>
    </format>
    <format dxfId="954">
      <pivotArea type="origin" dataOnly="0" labelOnly="1" outline="0" fieldPosition="0"/>
    </format>
    <format dxfId="953">
      <pivotArea field="39" type="button" dataOnly="0" labelOnly="1" outline="0" axis="axisRow" fieldPosition="0"/>
    </format>
    <format dxfId="952">
      <pivotArea dataOnly="0" labelOnly="1" grandRow="1" outline="0" fieldPosition="0"/>
    </format>
    <format dxfId="951">
      <pivotArea outline="0" collapsedLevelsAreSubtotals="1" fieldPosition="0"/>
    </format>
    <format dxfId="950">
      <pivotArea dataOnly="0" labelOnly="1" fieldPosition="0">
        <references count="1">
          <reference field="36" count="0"/>
        </references>
      </pivotArea>
    </format>
    <format dxfId="949">
      <pivotArea dataOnly="0" labelOnly="1" grandCol="1" outline="0" fieldPosition="0"/>
    </format>
    <format dxfId="948">
      <pivotArea outline="0" collapsedLevelsAreSubtotals="1" fieldPosition="0"/>
    </format>
    <format dxfId="947">
      <pivotArea dataOnly="0" labelOnly="1" fieldPosition="0">
        <references count="1">
          <reference field="36" count="0"/>
        </references>
      </pivotArea>
    </format>
    <format dxfId="946">
      <pivotArea dataOnly="0" labelOnly="1" grandCol="1" outline="0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type="origin" dataOnly="0" labelOnly="1" outline="0" fieldPosition="0"/>
    </format>
    <format dxfId="942">
      <pivotArea field="36" type="button" dataOnly="0" labelOnly="1" outline="0" axis="axisCol" fieldPosition="0"/>
    </format>
    <format dxfId="941">
      <pivotArea type="topRight" dataOnly="0" labelOnly="1" outline="0" fieldPosition="0"/>
    </format>
    <format dxfId="940">
      <pivotArea field="39" type="button" dataOnly="0" labelOnly="1" outline="0" axis="axisRow" fieldPosition="0"/>
    </format>
    <format dxfId="939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938">
      <pivotArea dataOnly="0" labelOnly="1" grandRow="1" outline="0" fieldPosition="0"/>
    </format>
    <format dxfId="937">
      <pivotArea dataOnly="0" labelOnly="1" fieldPosition="0">
        <references count="1">
          <reference field="36" count="0"/>
        </references>
      </pivotArea>
    </format>
    <format dxfId="936">
      <pivotArea dataOnly="0" labelOnly="1" grandCol="1" outline="0" fieldPosition="0"/>
    </format>
    <format dxfId="935">
      <pivotArea type="all" dataOnly="0" outline="0" fieldPosition="0"/>
    </format>
    <format dxfId="934">
      <pivotArea outline="0" collapsedLevelsAreSubtotals="1" fieldPosition="0"/>
    </format>
    <format dxfId="933">
      <pivotArea field="36" type="button" dataOnly="0" labelOnly="1" outline="0" axis="axisCol" fieldPosition="0"/>
    </format>
    <format dxfId="932">
      <pivotArea type="topRight" dataOnly="0" labelOnly="1" outline="0" fieldPosition="0"/>
    </format>
    <format dxfId="931">
      <pivotArea dataOnly="0" labelOnly="1" fieldPosition="0">
        <references count="1">
          <reference field="36" count="0"/>
        </references>
      </pivotArea>
    </format>
    <format dxfId="930">
      <pivotArea dataOnly="0" labelOnly="1" grandCol="1" outline="0" fieldPosition="0"/>
    </format>
    <format dxfId="929">
      <pivotArea type="origin" dataOnly="0" labelOnly="1" outline="0" fieldPosition="0"/>
    </format>
    <format dxfId="928">
      <pivotArea field="39" type="button" dataOnly="0" labelOnly="1" outline="0" axis="axisRow" fieldPosition="0"/>
    </format>
    <format dxfId="927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926">
      <pivotArea dataOnly="0" labelOnly="1" grandRow="1" outline="0" fieldPosition="0"/>
    </format>
    <format dxfId="925">
      <pivotArea type="all" dataOnly="0" outline="0" fieldPosition="0"/>
    </format>
    <format dxfId="924">
      <pivotArea outline="0" collapsedLevelsAreSubtotals="1" fieldPosition="0"/>
    </format>
    <format dxfId="923">
      <pivotArea type="origin" dataOnly="0" labelOnly="1" outline="0" fieldPosition="0"/>
    </format>
    <format dxfId="922">
      <pivotArea field="36" type="button" dataOnly="0" labelOnly="1" outline="0" axis="axisCol" fieldPosition="0"/>
    </format>
    <format dxfId="921">
      <pivotArea type="topRight" dataOnly="0" labelOnly="1" outline="0" fieldPosition="0"/>
    </format>
    <format dxfId="920">
      <pivotArea field="39" type="button" dataOnly="0" labelOnly="1" outline="0" axis="axisRow" fieldPosition="0"/>
    </format>
    <format dxfId="919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918">
      <pivotArea dataOnly="0" labelOnly="1" grandRow="1" outline="0" fieldPosition="0"/>
    </format>
    <format dxfId="917">
      <pivotArea dataOnly="0" labelOnly="1" fieldPosition="0">
        <references count="1">
          <reference field="36" count="0"/>
        </references>
      </pivotArea>
    </format>
    <format dxfId="916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915">
      <pivotArea type="origin" dataOnly="0" labelOnly="1" outline="0" fieldPosition="0"/>
    </format>
    <format dxfId="914">
      <pivotArea field="39" type="button" dataOnly="0" labelOnly="1" outline="0" axis="axisRow" fieldPosition="0"/>
    </format>
    <format dxfId="913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912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10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8" firstHeaderRow="1" firstDataRow="2" firstDataCol="1"/>
  <pivotFields count="45">
    <pivotField showAll="0"/>
    <pivotField showAll="0"/>
    <pivotField showAll="0"/>
    <pivotField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3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1"/>
        <item x="5"/>
        <item x="4"/>
        <item x="6"/>
        <item x="2"/>
        <item x="0"/>
        <item x="3"/>
        <item h="1" x="7"/>
        <item h="1" m="1" x="9"/>
        <item h="1" m="1"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8">
    <i>
      <x v="5"/>
    </i>
    <i>
      <x/>
    </i>
    <i>
      <x v="3"/>
    </i>
    <i>
      <x v="2"/>
    </i>
    <i>
      <x v="1"/>
    </i>
    <i>
      <x v="4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6">
    <format dxfId="1033">
      <pivotArea grandRow="1" grandCol="1" outline="0" collapsedLevelsAreSubtotals="1" fieldPosition="0"/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8" type="button" dataOnly="0" labelOnly="1" outline="0" axis="axisCol" fieldPosition="0"/>
    </format>
    <format dxfId="1029">
      <pivotArea type="topRight" dataOnly="0" labelOnly="1" outline="0" fieldPosition="0"/>
    </format>
    <format dxfId="1028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27">
      <pivotArea dataOnly="0" labelOnly="1" grandCol="1" outline="0" fieldPosition="0"/>
    </format>
    <format dxfId="1026">
      <pivotArea type="origin" dataOnly="0" labelOnly="1" outline="0" fieldPosition="0"/>
    </format>
    <format dxfId="1025">
      <pivotArea field="36" type="button" dataOnly="0" labelOnly="1" outline="0" axis="axisRow" fieldPosition="0"/>
    </format>
    <format dxfId="1024">
      <pivotArea dataOnly="0" labelOnly="1" fieldPosition="0">
        <references count="1">
          <reference field="36" count="0"/>
        </references>
      </pivotArea>
    </format>
    <format dxfId="1023">
      <pivotArea dataOnly="0" labelOnly="1" grandRow="1" outline="0" fieldPosition="0"/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type="origin" dataOnly="0" labelOnly="1" outline="0" fieldPosition="0"/>
    </format>
    <format dxfId="1019">
      <pivotArea field="18" type="button" dataOnly="0" labelOnly="1" outline="0" axis="axisCol" fieldPosition="0"/>
    </format>
    <format dxfId="1018">
      <pivotArea type="topRight" dataOnly="0" labelOnly="1" outline="0" fieldPosition="0"/>
    </format>
    <format dxfId="1017">
      <pivotArea field="36" type="button" dataOnly="0" labelOnly="1" outline="0" axis="axisRow" fieldPosition="0"/>
    </format>
    <format dxfId="1016">
      <pivotArea dataOnly="0" labelOnly="1" fieldPosition="0">
        <references count="1">
          <reference field="36" count="0"/>
        </references>
      </pivotArea>
    </format>
    <format dxfId="1015">
      <pivotArea dataOnly="0" labelOnly="1" grandRow="1" outline="0" fieldPosition="0"/>
    </format>
    <format dxfId="1014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13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1012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1011">
      <pivotArea type="origin" dataOnly="0" labelOnly="1" outline="0" fieldPosition="0"/>
    </format>
    <format dxfId="1010">
      <pivotArea field="36" type="button" dataOnly="0" labelOnly="1" outline="0" axis="axisRow" fieldPosition="0"/>
    </format>
    <format dxfId="1009">
      <pivotArea dataOnly="0" labelOnly="1" fieldPosition="0">
        <references count="1">
          <reference field="36" count="0"/>
        </references>
      </pivotArea>
    </format>
    <format dxfId="1008">
      <pivotArea dataOnly="0" labelOnly="1" grandRow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11" cacheId="1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1:I60" firstHeaderRow="1" firstDataRow="2" firstDataCol="1"/>
  <pivotFields count="45">
    <pivotField showAll="0"/>
    <pivotField showAll="0"/>
    <pivotField showAll="0"/>
    <pivotField numFmtId="164"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1"/>
        <item h="1" m="1" x="9"/>
        <item x="5"/>
        <item x="4"/>
        <item x="6"/>
        <item x="2"/>
        <item x="0"/>
        <item h="1" m="1" x="8"/>
        <item x="3"/>
        <item h="1" x="7"/>
        <item t="default"/>
      </items>
    </pivotField>
    <pivotField axis="axisRow" showAll="0" sortType="descending">
      <items count="38">
        <item x="6"/>
        <item m="1" x="34"/>
        <item m="1" x="26"/>
        <item x="3"/>
        <item x="1"/>
        <item x="2"/>
        <item x="9"/>
        <item x="7"/>
        <item x="17"/>
        <item x="14"/>
        <item m="1" x="33"/>
        <item m="1" x="21"/>
        <item m="1" x="32"/>
        <item m="1" x="31"/>
        <item x="4"/>
        <item x="12"/>
        <item m="1" x="36"/>
        <item m="1" x="35"/>
        <item m="1" x="25"/>
        <item m="1" x="27"/>
        <item x="10"/>
        <item m="1" x="20"/>
        <item x="16"/>
        <item x="0"/>
        <item x="13"/>
        <item x="8"/>
        <item x="11"/>
        <item m="1" x="30"/>
        <item x="5"/>
        <item m="1" x="28"/>
        <item m="1" x="19"/>
        <item x="15"/>
        <item m="1" x="29"/>
        <item m="1" x="23"/>
        <item m="1" x="24"/>
        <item m="1" x="18"/>
        <item m="1"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18">
    <i>
      <x v="4"/>
    </i>
    <i>
      <x/>
    </i>
    <i>
      <x v="23"/>
    </i>
    <i>
      <x v="14"/>
    </i>
    <i>
      <x v="3"/>
    </i>
    <i>
      <x v="28"/>
    </i>
    <i>
      <x v="15"/>
    </i>
    <i>
      <x v="7"/>
    </i>
    <i>
      <x v="6"/>
    </i>
    <i>
      <x v="22"/>
    </i>
    <i>
      <x v="24"/>
    </i>
    <i>
      <x v="9"/>
    </i>
    <i>
      <x v="26"/>
    </i>
    <i>
      <x v="20"/>
    </i>
    <i>
      <x v="25"/>
    </i>
    <i>
      <x v="31"/>
    </i>
    <i>
      <x v="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OBTS" fld="36" subtotal="count" baseField="0" baseItem="0"/>
  </dataFields>
  <formats count="53">
    <format dxfId="1073">
      <pivotArea outline="0" collapsedLevelsAreSubtotals="1" fieldPosition="0"/>
    </format>
    <format dxfId="1072">
      <pivotArea dataOnly="0" labelOnly="1" fieldPosition="0">
        <references count="1">
          <reference field="36" count="0"/>
        </references>
      </pivotArea>
    </format>
    <format dxfId="1071">
      <pivotArea dataOnly="0" labelOnly="1" grandCol="1" outline="0" fieldPosition="0"/>
    </format>
    <format dxfId="1070">
      <pivotArea type="all" dataOnly="0" outline="0" fieldPosition="0"/>
    </format>
    <format dxfId="1069">
      <pivotArea outline="0" collapsedLevelsAreSubtotals="1" fieldPosition="0"/>
    </format>
    <format dxfId="1068">
      <pivotArea type="origin" dataOnly="0" labelOnly="1" outline="0" fieldPosition="0"/>
    </format>
    <format dxfId="1067">
      <pivotArea field="36" type="button" dataOnly="0" labelOnly="1" outline="0" axis="axisCol" fieldPosition="0"/>
    </format>
    <format dxfId="1066">
      <pivotArea type="topRight" dataOnly="0" labelOnly="1" outline="0" fieldPosition="0"/>
    </format>
    <format dxfId="1065">
      <pivotArea field="37" type="button" dataOnly="0" labelOnly="1" outline="0" axis="axisRow" fieldPosition="0"/>
    </format>
    <format dxfId="1064">
      <pivotArea dataOnly="0" labelOnly="1" grandRow="1" outline="0" fieldPosition="0"/>
    </format>
    <format dxfId="1063">
      <pivotArea dataOnly="0" labelOnly="1" fieldPosition="0">
        <references count="1">
          <reference field="36" count="0"/>
        </references>
      </pivotArea>
    </format>
    <format dxfId="1062">
      <pivotArea dataOnly="0" labelOnly="1" grandCol="1" outline="0" fieldPosition="0"/>
    </format>
    <format>
      <pivotArea type="all" dataOnly="0" outline="0" fieldPosition="0"/>
    </format>
    <format dxfId="1061">
      <pivotArea grandRow="1" outline="0" collapsedLevelsAreSubtotals="1" fieldPosition="0"/>
    </format>
    <format>
      <pivotArea type="all" dataOnly="0" outline="0" fieldPosition="0"/>
    </format>
    <format dxfId="1060">
      <pivotArea outline="0" collapsedLevelsAreSubtotals="1" fieldPosition="0">
        <references count="1">
          <reference field="36" count="0" selected="0"/>
        </references>
      </pivotArea>
    </format>
    <format dxfId="1059">
      <pivotArea type="all" dataOnly="0" outline="0" fieldPosition="0"/>
    </format>
    <format dxfId="1058">
      <pivotArea outline="0" collapsedLevelsAreSubtotals="1" fieldPosition="0"/>
    </format>
    <format dxfId="1057">
      <pivotArea field="36" type="button" dataOnly="0" labelOnly="1" outline="0" axis="axisCol" fieldPosition="0"/>
    </format>
    <format dxfId="1056">
      <pivotArea type="topRight" dataOnly="0" labelOnly="1" outline="0" fieldPosition="0"/>
    </format>
    <format dxfId="1055">
      <pivotArea dataOnly="0" labelOnly="1" fieldPosition="0">
        <references count="1">
          <reference field="36" count="0"/>
        </references>
      </pivotArea>
    </format>
    <format dxfId="1054">
      <pivotArea dataOnly="0" labelOnly="1" grandCol="1" outline="0" fieldPosition="0"/>
    </format>
    <format dxfId="1053">
      <pivotArea type="origin" dataOnly="0" labelOnly="1" outline="0" fieldPosition="0"/>
    </format>
    <format dxfId="1052">
      <pivotArea field="37" type="button" dataOnly="0" labelOnly="1" outline="0" axis="axisRow" fieldPosition="0"/>
    </format>
    <format dxfId="1051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050">
      <pivotArea dataOnly="0" labelOnly="1" grandRow="1" outline="0" fieldPosition="0"/>
    </format>
    <format dxfId="1049">
      <pivotArea type="all" dataOnly="0" outline="0" fieldPosition="0"/>
    </format>
    <format dxfId="1048">
      <pivotArea outline="0" collapsedLevelsAreSubtotals="1" fieldPosition="0"/>
    </format>
    <format dxfId="1047">
      <pivotArea type="origin" dataOnly="0" labelOnly="1" outline="0" fieldPosition="0"/>
    </format>
    <format dxfId="1046">
      <pivotArea field="36" type="button" dataOnly="0" labelOnly="1" outline="0" axis="axisCol" fieldPosition="0"/>
    </format>
    <format dxfId="1045">
      <pivotArea type="topRight" dataOnly="0" labelOnly="1" outline="0" fieldPosition="0"/>
    </format>
    <format dxfId="1044">
      <pivotArea field="37" type="button" dataOnly="0" labelOnly="1" outline="0" axis="axisRow" fieldPosition="0"/>
    </format>
    <format dxfId="1043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1042">
      <pivotArea dataOnly="0" labelOnly="1" grandRow="1" outline="0" fieldPosition="0"/>
    </format>
    <format dxfId="1041">
      <pivotArea dataOnly="0" labelOnly="1" fieldPosition="0">
        <references count="1">
          <reference field="36" count="0"/>
        </references>
      </pivotArea>
    </format>
    <format dxfId="1040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1039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1038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037">
      <pivotArea type="origin" dataOnly="0" labelOnly="1" outline="0" fieldPosition="0"/>
    </format>
    <format dxfId="1036">
      <pivotArea field="37" type="button" dataOnly="0" labelOnly="1" outline="0" axis="axisRow" fieldPosition="0"/>
    </format>
    <format dxfId="1035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1034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14" cacheId="1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1:T127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522"/>
        <item m="1" x="6107"/>
        <item m="1" x="6181"/>
        <item m="1" x="6176"/>
        <item m="1" x="2066"/>
        <item m="1" x="6109"/>
        <item m="1" x="7971"/>
        <item m="1" x="6110"/>
        <item m="1" x="7336"/>
        <item m="1" x="7337"/>
        <item m="1" x="6100"/>
        <item m="1" x="6094"/>
        <item m="1" x="6112"/>
        <item m="1" x="6095"/>
        <item m="1" x="7228"/>
        <item m="1" x="7665"/>
        <item m="1" x="6091"/>
        <item m="1" x="5137"/>
        <item m="1" x="6150"/>
        <item m="1" x="7596"/>
        <item m="1" x="7658"/>
        <item m="1" x="6030"/>
        <item m="1" x="6156"/>
        <item m="1" x="7664"/>
        <item m="1" x="6153"/>
        <item m="1" x="7657"/>
        <item m="1" x="7433"/>
        <item m="1" x="4067"/>
        <item m="1" x="6935"/>
        <item m="1" x="7666"/>
        <item m="1" x="7662"/>
        <item m="1" x="7660"/>
        <item m="1" x="7661"/>
        <item m="1" x="6118"/>
        <item m="1" x="6119"/>
        <item m="1" x="6148"/>
        <item m="1" x="7973"/>
        <item m="1" x="6071"/>
        <item m="1" x="7656"/>
        <item m="1" x="7663"/>
        <item m="1" x="7655"/>
        <item m="1" x="6106"/>
        <item m="1" x="7659"/>
        <item m="1" x="6057"/>
        <item m="1" x="6031"/>
        <item m="1" x="6127"/>
        <item m="1" x="6074"/>
        <item m="1" x="6081"/>
        <item m="1" x="7972"/>
        <item m="1" x="6098"/>
        <item m="1" x="6101"/>
        <item m="1" x="7671"/>
        <item m="1" x="6140"/>
        <item m="1" x="7064"/>
        <item m="1" x="6936"/>
        <item m="1" x="6175"/>
        <item m="1" x="7975"/>
        <item m="1" x="7984"/>
        <item m="1" x="6014"/>
        <item m="1" x="7976"/>
        <item m="1" x="7066"/>
        <item m="1" x="6939"/>
        <item m="1" x="6037"/>
        <item m="1" x="6036"/>
        <item m="1" x="6035"/>
        <item m="1" x="6033"/>
        <item m="1" x="6034"/>
        <item m="1" x="7978"/>
        <item m="1" x="6065"/>
        <item m="1" x="6083"/>
        <item m="1" x="6080"/>
        <item m="1" x="7669"/>
        <item m="1" x="6051"/>
        <item m="1" x="6047"/>
        <item m="1" x="7979"/>
        <item m="1" x="7977"/>
        <item m="1" x="7980"/>
        <item m="1" x="7670"/>
        <item m="1" x="6104"/>
        <item m="1" x="6111"/>
        <item m="1" x="6116"/>
        <item m="1" x="6139"/>
        <item m="1" x="6628"/>
        <item m="1" x="7981"/>
        <item m="1" x="6144"/>
        <item m="1" x="6143"/>
        <item m="1" x="6147"/>
        <item m="1" x="7983"/>
        <item m="1" x="6951"/>
        <item m="1" x="7667"/>
        <item m="1" x="7067"/>
        <item m="1" x="6940"/>
        <item m="1" x="6941"/>
        <item m="1" x="6942"/>
        <item m="1" x="6943"/>
        <item m="1" x="6944"/>
        <item m="1" x="6937"/>
        <item m="1" x="6938"/>
        <item m="1" x="6060"/>
        <item m="1" x="6061"/>
        <item m="1" x="6088"/>
        <item m="1" x="7668"/>
        <item m="1" x="6130"/>
        <item m="1" x="6945"/>
        <item m="1" x="6946"/>
        <item m="1" x="6947"/>
        <item m="1" x="6948"/>
        <item m="1" x="6949"/>
        <item m="1" x="6950"/>
        <item m="1" x="7672"/>
        <item m="1" x="7982"/>
        <item m="1" x="6162"/>
        <item m="1" x="6161"/>
        <item m="1" x="7997"/>
        <item m="1" x="6953"/>
        <item m="1" x="6172"/>
        <item m="1" x="6952"/>
        <item m="1" x="6954"/>
        <item m="1" x="7595"/>
        <item m="1" x="7070"/>
        <item m="1" x="7074"/>
        <item m="1" x="7073"/>
        <item m="1" x="7341"/>
        <item m="1" x="7340"/>
        <item m="1" x="7342"/>
        <item m="1" x="7679"/>
        <item m="1" x="6079"/>
        <item m="1" x="6070"/>
        <item m="1" x="6629"/>
        <item m="1" x="6114"/>
        <item m="1" x="6115"/>
        <item m="1" x="6113"/>
        <item m="1" x="6961"/>
        <item m="1" x="6048"/>
        <item m="1" x="6052"/>
        <item m="1" x="6155"/>
        <item m="1" x="7692"/>
        <item m="1" x="6163"/>
        <item m="1" x="6179"/>
        <item m="1" x="3298"/>
        <item m="1" x="6164"/>
        <item m="1" x="7798"/>
        <item m="1" x="5293"/>
        <item m="1" x="7069"/>
        <item m="1" x="6059"/>
        <item m="1" x="6145"/>
        <item m="1" x="7343"/>
        <item m="1" x="6971"/>
        <item m="1" x="6972"/>
        <item m="1" x="6174"/>
        <item m="1" x="6133"/>
        <item m="1" x="7076"/>
        <item m="1" x="6170"/>
        <item m="1" x="7990"/>
        <item m="1" x="7678"/>
        <item m="1" x="6064"/>
        <item m="1" x="6973"/>
        <item m="1" x="5822"/>
        <item m="1" x="7784"/>
        <item m="1" x="7072"/>
        <item m="1" x="7987"/>
        <item m="1" x="6038"/>
        <item m="1" x="6032"/>
        <item m="1" x="6039"/>
        <item m="1" x="6041"/>
        <item m="1" x="6117"/>
        <item m="1" x="6105"/>
        <item m="1" x="6103"/>
        <item m="1" x="6093"/>
        <item m="1" x="6092"/>
        <item m="1" x="6097"/>
        <item m="1" x="7988"/>
        <item m="1" x="7796"/>
        <item m="1" x="6129"/>
        <item m="1" x="7686"/>
        <item m="1" x="6126"/>
        <item m="1" x="6068"/>
        <item m="1" x="7994"/>
        <item m="1" x="7991"/>
        <item m="1" x="6045"/>
        <item m="1" x="6055"/>
        <item m="1" x="6044"/>
        <item m="1" x="6056"/>
        <item m="1" x="6058"/>
        <item m="1" x="7680"/>
        <item m="1" x="6087"/>
        <item m="1" x="6084"/>
        <item m="1" x="6966"/>
        <item m="1" x="6066"/>
        <item m="1" x="6063"/>
        <item m="1" x="7989"/>
        <item m="1" x="6089"/>
        <item m="1" x="6090"/>
        <item m="1" x="6043"/>
        <item m="1" x="7684"/>
        <item m="1" x="7685"/>
        <item m="1" x="6046"/>
        <item m="1" x="6138"/>
        <item m="1" x="6142"/>
        <item m="1" x="7690"/>
        <item m="1" x="6146"/>
        <item m="1" x="7995"/>
        <item m="1" x="7996"/>
        <item m="1" x="6165"/>
        <item m="1" x="6177"/>
        <item m="1" x="7985"/>
        <item m="1" x="7779"/>
        <item m="1" x="2764"/>
        <item m="1" x="7434"/>
        <item m="1" x="6955"/>
        <item m="1" x="7681"/>
        <item m="1" x="7682"/>
        <item m="1" x="7683"/>
        <item m="1" x="6042"/>
        <item m="1" x="6067"/>
        <item m="1" x="6073"/>
        <item m="1" x="6053"/>
        <item m="1" x="6069"/>
        <item m="1" x="6086"/>
        <item m="1" x="6078"/>
        <item m="1" x="6085"/>
        <item m="1" x="6077"/>
        <item m="1" x="7993"/>
        <item m="1" x="6121"/>
        <item m="1" x="6108"/>
        <item m="1" x="7436"/>
        <item m="1" x="7687"/>
        <item m="1" x="6054"/>
        <item m="1" x="7600"/>
        <item m="1" x="7691"/>
        <item m="1" x="7799"/>
        <item m="1" x="4292"/>
        <item m="1" x="6974"/>
        <item m="1" x="3940"/>
        <item m="1" x="7801"/>
        <item m="1" x="7803"/>
        <item m="1" x="7065"/>
        <item m="1" x="7677"/>
        <item m="1" x="6965"/>
        <item m="1" x="6963"/>
        <item m="1" x="6099"/>
        <item m="1" x="7599"/>
        <item m="1" x="6072"/>
        <item m="1" x="7689"/>
        <item m="1" x="7688"/>
        <item m="1" x="6149"/>
        <item m="1" x="6151"/>
        <item m="1" x="6968"/>
        <item m="1" x="7969"/>
        <item m="1" x="7970"/>
        <item m="1" x="7974"/>
        <item m="1" x="6020"/>
        <item m="1" x="6019"/>
        <item m="1" x="6021"/>
        <item m="1" x="6958"/>
        <item m="1" x="6960"/>
        <item m="1" x="6135"/>
        <item m="1" x="6136"/>
        <item m="1" x="6128"/>
        <item m="1" x="7344"/>
        <item m="1" x="7998"/>
        <item m="1" x="7999"/>
        <item m="1" x="6778"/>
        <item m="1" x="7813"/>
        <item m="1" x="7814"/>
        <item m="1" x="7815"/>
        <item m="1" x="7816"/>
        <item m="1" x="7068"/>
        <item m="1" x="7602"/>
        <item m="1" x="7338"/>
        <item m="1" x="7339"/>
        <item m="1" x="7775"/>
        <item m="1" x="7776"/>
        <item m="1" x="7777"/>
        <item m="1" x="7778"/>
        <item m="1" x="7674"/>
        <item m="1" x="7673"/>
        <item m="1" x="7829"/>
        <item m="1" x="7780"/>
        <item m="1" x="7986"/>
        <item m="1" x="7854"/>
        <item m="1" x="7855"/>
        <item m="1" x="7675"/>
        <item m="1" x="7438"/>
        <item m="1" x="7786"/>
        <item m="1" x="7787"/>
        <item m="1" x="7788"/>
        <item m="1" x="7783"/>
        <item m="1" x="7781"/>
        <item m="1" x="7782"/>
        <item m="1" x="7846"/>
        <item m="1" x="7789"/>
        <item m="1" x="7790"/>
        <item m="1" x="7785"/>
        <item m="1" x="7791"/>
        <item m="1" x="7792"/>
        <item m="1" x="7793"/>
        <item m="1" x="7874"/>
        <item m="1" x="7876"/>
        <item m="1" x="7676"/>
        <item m="1" x="5425"/>
        <item m="1" x="7890"/>
        <item m="1" x="7896"/>
        <item m="1" x="7794"/>
        <item m="1" x="7899"/>
        <item m="1" x="7914"/>
        <item m="1" x="7915"/>
        <item m="1" x="7795"/>
        <item m="1" x="6642"/>
        <item m="1" x="7925"/>
        <item m="1" x="6512"/>
        <item m="1" x="6513"/>
        <item m="1" x="6012"/>
        <item m="1" x="6013"/>
        <item m="1" x="7071"/>
        <item m="1" x="7075"/>
        <item m="1" x="7435"/>
        <item m="1" x="6956"/>
        <item m="1" x="6962"/>
        <item m="1" x="6959"/>
        <item m="1" x="6964"/>
        <item m="1" x="6957"/>
        <item m="1" x="2305"/>
        <item m="1" x="5833"/>
        <item m="1" x="7992"/>
        <item m="1" x="6152"/>
        <item m="1" x="7077"/>
        <item m="1" x="6976"/>
        <item m="1" x="7693"/>
        <item m="1" x="6969"/>
        <item m="1" x="6970"/>
        <item m="1" x="6977"/>
        <item m="1" x="6967"/>
        <item m="1" x="6975"/>
        <item m="1" x="7800"/>
        <item m="1" x="7802"/>
        <item m="1" x="3287"/>
        <item m="1" x="4832"/>
        <item m="1" x="6075"/>
        <item m="1" x="6076"/>
        <item m="1" x="7774"/>
        <item m="1" x="7797"/>
        <item m="1" x="7804"/>
        <item m="1" x="7817"/>
        <item m="1" x="7818"/>
        <item m="1" x="7081"/>
        <item m="1" x="7824"/>
        <item m="1" x="7706"/>
        <item m="1" x="7825"/>
        <item m="1" x="7826"/>
        <item m="1" x="7764"/>
        <item m="1" x="7830"/>
        <item m="1" x="7610"/>
        <item m="1" x="7831"/>
        <item m="1" x="7710"/>
        <item m="1" x="7833"/>
        <item m="1" x="7834"/>
        <item m="1" x="7832"/>
        <item m="1" x="7856"/>
        <item m="1" x="7857"/>
        <item m="1" x="7858"/>
        <item m="1" x="7859"/>
        <item m="1" x="7860"/>
        <item m="1" x="7836"/>
        <item m="1" x="7838"/>
        <item m="1" x="7839"/>
        <item m="1" x="7841"/>
        <item m="1" x="7842"/>
        <item m="1" x="7843"/>
        <item m="1" x="7844"/>
        <item m="1" x="7845"/>
        <item m="1" x="7840"/>
        <item m="1" x="7861"/>
        <item m="1" x="7835"/>
        <item m="1" x="7853"/>
        <item m="1" x="7862"/>
        <item m="1" x="7863"/>
        <item m="1" x="7877"/>
        <item m="1" x="7875"/>
        <item m="1" x="7885"/>
        <item m="1" x="6406"/>
        <item m="1" x="7891"/>
        <item m="1" x="5426"/>
        <item m="1" x="7728"/>
        <item m="1" x="5427"/>
        <item m="1" x="7895"/>
        <item m="1" x="7897"/>
        <item m="1" x="7898"/>
        <item m="1" x="7900"/>
        <item m="1" x="7901"/>
        <item m="1" x="7902"/>
        <item m="1" x="7916"/>
        <item m="1" x="7913"/>
        <item m="1" x="7922"/>
        <item m="1" x="7923"/>
        <item m="1" x="7924"/>
        <item m="1" x="7926"/>
        <item m="1" x="7927"/>
        <item m="1" x="7928"/>
        <item m="1" x="7929"/>
        <item m="1" x="7930"/>
        <item m="1" x="7937"/>
        <item m="1" x="7464"/>
        <item m="1" x="7934"/>
        <item m="1" x="7471"/>
        <item m="1" x="2189"/>
        <item m="1" x="2204"/>
        <item m="1" x="2203"/>
        <item m="1" x="6472"/>
        <item m="1" x="7943"/>
        <item m="1" x="2269"/>
        <item m="1" x="2268"/>
        <item m="1" x="2267"/>
        <item m="1" x="1369"/>
        <item m="1" x="2266"/>
        <item m="1" x="2265"/>
        <item m="1" x="2264"/>
        <item m="1" x="7956"/>
        <item m="1" x="7945"/>
        <item m="1" x="7628"/>
        <item m="1" x="7116"/>
        <item m="1" x="7487"/>
        <item m="1" x="7965"/>
        <item m="1" x="7493"/>
        <item m="1" x="7386"/>
        <item m="1" x="7805"/>
        <item m="1" x="7806"/>
        <item m="1" x="7807"/>
        <item m="1" x="7808"/>
        <item m="1" x="7809"/>
        <item m="1" x="7810"/>
        <item m="1" x="7811"/>
        <item m="1" x="7812"/>
        <item m="1" x="7819"/>
        <item m="1" x="7820"/>
        <item m="1" x="7821"/>
        <item m="1" x="7822"/>
        <item m="1" x="7823"/>
        <item m="1" x="6633"/>
        <item m="1" x="6634"/>
        <item m="1" x="6635"/>
        <item m="1" x="7827"/>
        <item m="1" x="6636"/>
        <item m="1" x="5693"/>
        <item m="1" x="6637"/>
        <item m="1" x="7828"/>
        <item m="1" x="7601"/>
        <item m="1" x="7699"/>
        <item m="1" x="5333"/>
        <item m="1" x="7439"/>
        <item m="1" x="7606"/>
        <item m="1" x="7711"/>
        <item m="1" x="7837"/>
        <item m="1" x="7847"/>
        <item m="1" x="7848"/>
        <item m="1" x="7849"/>
        <item m="1" x="7850"/>
        <item m="1" x="7851"/>
        <item m="1" x="7852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6191"/>
        <item m="1" x="7878"/>
        <item m="1" x="7879"/>
        <item m="1" x="7880"/>
        <item m="1" x="7881"/>
        <item m="1" x="7882"/>
        <item m="1" x="7883"/>
        <item m="1" x="7884"/>
        <item m="1" x="6506"/>
        <item m="1" x="7886"/>
        <item m="1" x="7887"/>
        <item m="1" x="7888"/>
        <item m="1" x="7889"/>
        <item m="1" x="7892"/>
        <item m="1" x="7893"/>
        <item m="1" x="7894"/>
        <item m="1" x="7618"/>
        <item m="1" x="7731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099"/>
        <item m="1" x="7917"/>
        <item m="1" x="7918"/>
        <item m="1" x="7742"/>
        <item m="1" x="7498"/>
        <item m="1" x="7499"/>
        <item m="1" x="7500"/>
        <item m="1" x="7478"/>
        <item m="1" x="7495"/>
        <item m="1" x="7494"/>
        <item m="1" x="7497"/>
        <item m="1" x="7919"/>
        <item m="1" x="7723"/>
        <item m="1" x="7920"/>
        <item m="1" x="7921"/>
        <item m="1" x="7931"/>
        <item m="1" x="7932"/>
        <item m="1" x="7933"/>
        <item m="1" x="7114"/>
        <item m="1" x="2346"/>
        <item m="1" x="7749"/>
        <item m="1" x="6015"/>
        <item m="1" x="7472"/>
        <item m="1" x="3408"/>
        <item m="1" x="7373"/>
        <item m="1" x="7935"/>
        <item m="1" x="7936"/>
        <item m="1" x="7938"/>
        <item m="1" x="7939"/>
        <item m="1" x="7109"/>
        <item m="1" x="7940"/>
        <item m="1" x="7941"/>
        <item m="1" x="7942"/>
        <item m="1" x="7113"/>
        <item m="1" x="7112"/>
        <item m="1" x="7944"/>
        <item m="1" x="7759"/>
        <item m="1" x="7946"/>
        <item m="1" x="7947"/>
        <item m="1" x="7948"/>
        <item m="1" x="7949"/>
        <item m="1" x="2226"/>
        <item m="1" x="7950"/>
        <item m="1" x="7951"/>
        <item m="1" x="7952"/>
        <item m="1" x="2418"/>
        <item m="1" x="7953"/>
        <item m="1" x="7757"/>
        <item m="1" x="7954"/>
        <item m="1" x="7761"/>
        <item m="1" x="7955"/>
        <item m="1" x="7314"/>
        <item m="1" x="7315"/>
        <item m="1" x="7957"/>
        <item m="1" x="7958"/>
        <item m="1" x="2177"/>
        <item m="1" x="7959"/>
        <item m="1" x="7960"/>
        <item m="1" x="7961"/>
        <item m="1" x="7962"/>
        <item m="1" x="7963"/>
        <item m="1" x="7378"/>
        <item m="1" x="7964"/>
        <item m="1" x="7770"/>
        <item m="1" x="7772"/>
        <item m="1" x="6196"/>
        <item m="1" x="6197"/>
        <item m="1" x="7966"/>
        <item m="1" x="7967"/>
        <item m="1" x="7968"/>
        <item m="1" x="6096"/>
        <item m="1" x="7597"/>
        <item m="1" x="7598"/>
        <item m="1" x="7694"/>
        <item m="1" x="7695"/>
        <item m="1" x="7696"/>
        <item m="1" x="7697"/>
        <item m="1" x="7698"/>
        <item m="1" x="7700"/>
        <item m="1" x="7603"/>
        <item m="1" x="6632"/>
        <item m="1" x="7701"/>
        <item m="1" x="7702"/>
        <item m="1" x="7703"/>
        <item m="1" x="7704"/>
        <item m="1" x="7705"/>
        <item m="1" x="7707"/>
        <item m="1" x="7708"/>
        <item m="1" x="7709"/>
        <item m="1" x="7712"/>
        <item m="1" x="7611"/>
        <item m="1" x="7713"/>
        <item m="1" x="7714"/>
        <item m="1" x="7609"/>
        <item m="1" x="7715"/>
        <item m="1" x="7716"/>
        <item m="1" x="7717"/>
        <item m="1" x="7718"/>
        <item m="1" x="7719"/>
        <item m="1" x="7614"/>
        <item m="1" x="7720"/>
        <item m="1" x="7721"/>
        <item m="1" x="7722"/>
        <item m="1" x="6780"/>
        <item m="1" x="7724"/>
        <item m="1" x="7356"/>
        <item m="1" x="7725"/>
        <item m="1" x="7726"/>
        <item m="1" x="7727"/>
        <item m="1" x="7729"/>
        <item m="1" x="6507"/>
        <item m="1" x="7730"/>
        <item m="1" x="7457"/>
        <item m="1" x="6510"/>
        <item m="1" x="6781"/>
        <item m="1" x="7732"/>
        <item m="1" x="7733"/>
        <item m="1" x="7734"/>
        <item m="1" x="7735"/>
        <item m="1" x="7736"/>
        <item m="1" x="6782"/>
        <item m="1" x="7737"/>
        <item m="1" x="7738"/>
        <item m="1" x="7739"/>
        <item m="1" x="7740"/>
        <item m="1" x="7741"/>
        <item m="1" x="7459"/>
        <item m="1" x="7743"/>
        <item m="1" x="7744"/>
        <item m="1" x="7745"/>
        <item m="1" x="7746"/>
        <item m="1" x="7747"/>
        <item m="1" x="7748"/>
        <item m="1" x="6641"/>
        <item m="1" x="7619"/>
        <item m="1" x="7750"/>
        <item m="1" x="7622"/>
        <item m="1" x="7621"/>
        <item m="1" x="7468"/>
        <item m="1" x="7469"/>
        <item m="1" x="7470"/>
        <item m="1" x="7623"/>
        <item m="1" x="7751"/>
        <item m="1" x="2272"/>
        <item m="1" x="2270"/>
        <item m="1" x="7752"/>
        <item m="1" x="7753"/>
        <item m="1" x="7754"/>
        <item m="1" x="7755"/>
        <item m="1" x="7756"/>
        <item m="1" x="7374"/>
        <item m="1" x="7375"/>
        <item m="1" x="2317"/>
        <item m="1" x="2347"/>
        <item m="1" x="7473"/>
        <item m="1" x="6990"/>
        <item m="1" x="7758"/>
        <item m="1" x="2271"/>
        <item x="16"/>
        <item m="1" x="7760"/>
        <item m="1" x="2063"/>
        <item m="1" x="7626"/>
        <item m="1" x="7627"/>
        <item m="1" x="6300"/>
        <item m="1" x="7762"/>
        <item m="1" x="7763"/>
        <item m="1" x="7765"/>
        <item m="1" x="7383"/>
        <item m="1" x="7766"/>
        <item m="1" x="7483"/>
        <item m="1" x="7481"/>
        <item m="1" x="7482"/>
        <item m="1" x="7767"/>
        <item m="1" x="7768"/>
        <item m="1" x="7769"/>
        <item m="1" x="6998"/>
        <item m="1" x="7382"/>
        <item m="1" x="7486"/>
        <item m="1" x="7384"/>
        <item m="1" x="7771"/>
        <item m="1" x="2733"/>
        <item m="1" x="7773"/>
        <item m="1" x="3255"/>
        <item m="1" x="4833"/>
        <item m="1" x="7229"/>
        <item m="1" x="7604"/>
        <item m="1" x="7605"/>
        <item m="1" x="7451"/>
        <item m="1" x="7440"/>
        <item m="1" x="7607"/>
        <item m="1" x="7608"/>
        <item m="1" x="7441"/>
        <item m="1" x="6779"/>
        <item m="1" x="7442"/>
        <item m="1" x="7454"/>
        <item m="1" x="7453"/>
        <item m="1" x="7450"/>
        <item m="1" x="7455"/>
        <item m="1" x="7456"/>
        <item m="1" x="7242"/>
        <item m="1" x="7243"/>
        <item m="1" x="7349"/>
        <item m="1" x="7350"/>
        <item m="1" x="7351"/>
        <item m="1" x="7612"/>
        <item m="1" x="7613"/>
        <item m="1" x="7352"/>
        <item m="1" x="7353"/>
        <item m="1" x="7615"/>
        <item m="1" x="7616"/>
        <item m="1" x="7447"/>
        <item m="1" x="7448"/>
        <item m="1" x="6385"/>
        <item m="1" x="7357"/>
        <item m="1" x="6639"/>
        <item m="1" x="7358"/>
        <item m="1" x="7617"/>
        <item m="1" x="6438"/>
        <item m="1" x="7461"/>
        <item m="1" x="7492"/>
        <item m="1" x="7460"/>
        <item m="1" x="7501"/>
        <item m="1" x="6511"/>
        <item m="1" x="7465"/>
        <item m="1" x="7466"/>
        <item m="1" x="2467"/>
        <item m="1" x="7620"/>
        <item m="1" x="6462"/>
        <item m="1" x="6463"/>
        <item m="1" x="7467"/>
        <item m="1" x="5826"/>
        <item m="1" x="7624"/>
        <item m="1" x="2136"/>
        <item m="1" x="5844"/>
        <item m="1" x="2348"/>
        <item m="1" x="7625"/>
        <item m="1" x="5866"/>
        <item m="1" x="2314"/>
        <item m="1" x="7377"/>
        <item m="1" x="7477"/>
        <item m="1" x="6514"/>
        <item m="1" x="7379"/>
        <item m="1" x="6994"/>
        <item m="1" x="7254"/>
        <item m="1" x="7629"/>
        <item m="1" x="7255"/>
        <item m="1" x="7491"/>
        <item m="1" x="7484"/>
        <item m="1" x="7485"/>
        <item m="1" x="7256"/>
        <item m="1" x="7630"/>
        <item m="1" x="7270"/>
        <item m="1" x="7120"/>
        <item m="1" x="7631"/>
        <item m="1" x="7632"/>
        <item m="1" x="7278"/>
        <item m="1" x="7503"/>
        <item m="1" x="7511"/>
        <item m="1" x="7512"/>
        <item m="1" x="6630"/>
        <item m="1" x="6631"/>
        <item m="1" x="7515"/>
        <item m="1" x="7345"/>
        <item m="1" x="7346"/>
        <item m="1" x="7633"/>
        <item m="1" x="7517"/>
        <item m="1" x="7347"/>
        <item m="1" x="7634"/>
        <item m="1" x="7444"/>
        <item m="1" x="7449"/>
        <item m="1" x="7445"/>
        <item m="1" x="7635"/>
        <item m="1" x="7636"/>
        <item m="1" x="7239"/>
        <item m="1" x="7240"/>
        <item m="1" x="7241"/>
        <item m="1" x="7545"/>
        <item m="1" x="7443"/>
        <item m="1" x="7348"/>
        <item m="1" x="7446"/>
        <item m="1" x="7452"/>
        <item m="1" x="7553"/>
        <item m="1" x="7637"/>
        <item m="1" x="7496"/>
        <item m="1" x="7458"/>
        <item m="1" x="7360"/>
        <item m="1" x="7361"/>
        <item m="1" x="7362"/>
        <item m="1" x="6508"/>
        <item m="1" x="6509"/>
        <item m="1" x="7363"/>
        <item m="1" x="7556"/>
        <item m="1" x="7557"/>
        <item m="1" x="7558"/>
        <item m="1" x="7370"/>
        <item m="1" x="7366"/>
        <item m="1" x="7367"/>
        <item m="1" x="7368"/>
        <item m="1" x="7369"/>
        <item m="1" x="6640"/>
        <item m="1" x="7462"/>
        <item m="1" x="7463"/>
        <item m="1" x="6457"/>
        <item m="1" x="7570"/>
        <item m="1" x="7569"/>
        <item m="1" x="7372"/>
        <item m="1" x="5761"/>
        <item m="1" x="5520"/>
        <item m="1" x="7638"/>
        <item m="1" x="7639"/>
        <item m="1" x="7640"/>
        <item m="1" x="7641"/>
        <item m="1" x="7642"/>
        <item m="1" x="7643"/>
        <item m="1" x="7644"/>
        <item m="1" x="6986"/>
        <item m="1" x="7645"/>
        <item m="1" x="7474"/>
        <item m="1" x="7475"/>
        <item m="1" x="7646"/>
        <item m="1" x="7585"/>
        <item m="1" x="7586"/>
        <item m="1" x="6158"/>
        <item m="1" x="7479"/>
        <item m="1" x="7488"/>
        <item m="1" x="7489"/>
        <item m="1" x="7490"/>
        <item m="1" x="7647"/>
        <item m="1" x="7648"/>
        <item m="1" x="7588"/>
        <item m="1" x="7649"/>
        <item m="1" x="7650"/>
        <item m="1" x="6995"/>
        <item m="1" x="6996"/>
        <item m="1" x="7651"/>
        <item m="1" x="7480"/>
        <item m="1" x="7590"/>
        <item m="1" x="7652"/>
        <item m="1" x="7502"/>
        <item m="1" x="7653"/>
        <item m="1" x="7654"/>
        <item m="1" x="3275"/>
        <item m="1" x="7437"/>
        <item m="1" x="6225"/>
        <item m="1" x="6437"/>
        <item m="1" x="7476"/>
        <item m="1" x="5527"/>
        <item m="1" x="5532"/>
        <item m="1" x="7264"/>
        <item m="1" x="7531"/>
        <item m="1" x="7504"/>
        <item m="1" x="7505"/>
        <item m="1" x="7506"/>
        <item m="1" x="7507"/>
        <item m="1" x="7508"/>
        <item m="1" x="7509"/>
        <item m="1" x="7510"/>
        <item m="1" x="7513"/>
        <item m="1" x="7514"/>
        <item m="1" x="6215"/>
        <item m="1" x="7516"/>
        <item m="1" x="7518"/>
        <item m="1" x="7519"/>
        <item m="1" x="7520"/>
        <item m="1" x="7521"/>
        <item m="1" x="7522"/>
        <item m="1" x="6638"/>
        <item m="1" x="7523"/>
        <item m="1" x="7524"/>
        <item m="1" x="7525"/>
        <item m="1" x="7526"/>
        <item m="1" x="5799"/>
        <item m="1" x="5899"/>
        <item m="1" x="7527"/>
        <item m="1" x="7400"/>
        <item m="1" x="7528"/>
        <item m="1" x="7529"/>
        <item m="1" x="7231"/>
        <item m="1" x="7530"/>
        <item m="1" x="7555"/>
        <item m="1" x="7532"/>
        <item m="1" x="7533"/>
        <item m="1" x="7534"/>
        <item m="1" x="7535"/>
        <item m="1" x="7536"/>
        <item m="1" x="7537"/>
        <item m="1" x="7538"/>
        <item m="1" x="6503"/>
        <item m="1" x="6504"/>
        <item m="1" x="7539"/>
        <item m="1" x="7540"/>
        <item m="1" x="7541"/>
        <item m="1" x="6505"/>
        <item m="1" x="7354"/>
        <item m="1" x="7542"/>
        <item m="1" x="7543"/>
        <item m="1" x="7544"/>
        <item m="1" x="7546"/>
        <item m="1" x="7547"/>
        <item m="1" x="7548"/>
        <item m="1" x="7549"/>
        <item m="1" x="7550"/>
        <item m="1" x="7551"/>
        <item m="1" x="7355"/>
        <item m="1" x="6405"/>
        <item m="1" x="7403"/>
        <item m="1" x="7404"/>
        <item m="1" x="7552"/>
        <item m="1" x="5418"/>
        <item m="1" x="5419"/>
        <item m="1" x="7409"/>
        <item m="1" x="7554"/>
        <item m="1" x="7359"/>
        <item m="1" x="7559"/>
        <item m="1" x="7560"/>
        <item m="1" x="7561"/>
        <item m="1" x="7562"/>
        <item m="1" x="7563"/>
        <item m="1" x="7564"/>
        <item m="1" x="7565"/>
        <item m="1" x="7566"/>
        <item m="1" x="7364"/>
        <item m="1" x="7365"/>
        <item m="1" x="7567"/>
        <item m="1" x="7568"/>
        <item m="1" x="7371"/>
        <item m="1" x="7245"/>
        <item m="1" x="6679"/>
        <item m="1" x="7571"/>
        <item m="1" x="7572"/>
        <item m="1" x="6783"/>
        <item m="1" x="7573"/>
        <item m="1" x="7108"/>
        <item m="1" x="7574"/>
        <item m="1" x="7110"/>
        <item m="1" x="7575"/>
        <item m="1" x="7576"/>
        <item m="1" x="7577"/>
        <item m="1" x="7578"/>
        <item m="1" x="6988"/>
        <item m="1" x="7579"/>
        <item m="1" x="7580"/>
        <item m="1" x="7581"/>
        <item m="1" x="5764"/>
        <item m="1" x="7582"/>
        <item m="1" x="2311"/>
        <item m="1" x="7248"/>
        <item m="1" x="5848"/>
        <item m="1" x="7583"/>
        <item m="1" x="5835"/>
        <item m="1" x="7376"/>
        <item m="1" x="7584"/>
        <item m="1" x="2420"/>
        <item m="1" x="2205"/>
        <item m="1" x="7249"/>
        <item m="1" x="7251"/>
        <item m="1" x="5292"/>
        <item m="1" x="7587"/>
        <item m="1" x="5307"/>
        <item m="1" x="7380"/>
        <item m="1" x="7589"/>
        <item m="1" x="7381"/>
        <item m="1" x="7591"/>
        <item m="1" x="6784"/>
        <item m="1" x="7257"/>
        <item m="1" x="7258"/>
        <item m="1" x="7271"/>
        <item m="1" x="7592"/>
        <item m="1" x="7273"/>
        <item m="1" x="7593"/>
        <item m="1" x="7275"/>
        <item m="1" x="7385"/>
        <item m="1" x="5785"/>
        <item m="1" x="7594"/>
        <item m="1" x="7282"/>
        <item m="1" x="7283"/>
        <item m="1" x="7284"/>
        <item m="1" x="7387"/>
        <item m="1" x="7389"/>
        <item m="1" x="7388"/>
        <item m="1" x="7122"/>
        <item m="1" x="7121"/>
        <item m="1" x="2225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295"/>
        <item m="1" x="6221"/>
        <item m="1" x="6222"/>
        <item m="1" x="7401"/>
        <item m="1" x="7244"/>
        <item m="1" x="7232"/>
        <item m="1" x="7233"/>
        <item m="1" x="7234"/>
        <item m="1" x="7235"/>
        <item m="1" x="7236"/>
        <item m="1" x="7237"/>
        <item m="1" x="7238"/>
        <item m="1" x="7402"/>
        <item m="1" x="6386"/>
        <item m="1" x="7405"/>
        <item m="1" x="7406"/>
        <item m="1" x="7085"/>
        <item m="1" x="7407"/>
        <item m="1" x="7086"/>
        <item m="1" x="7408"/>
        <item m="1" x="5439"/>
        <item m="1" x="7410"/>
        <item m="1" x="7411"/>
        <item m="1" x="6661"/>
        <item m="1" x="7412"/>
        <item m="1" x="5931"/>
        <item m="1" x="6680"/>
        <item m="1" x="6674"/>
        <item m="1" x="6675"/>
        <item m="1" x="6676"/>
        <item m="1" x="6681"/>
        <item m="1" x="7246"/>
        <item m="1" x="7100"/>
        <item m="1" x="7101"/>
        <item m="1" x="7102"/>
        <item m="1" x="7106"/>
        <item m="1" x="7104"/>
        <item m="1" x="7105"/>
        <item m="1" x="4834"/>
        <item m="1" x="6677"/>
        <item m="1" x="6678"/>
        <item m="1" x="7103"/>
        <item m="1" x="7306"/>
        <item m="1" x="7247"/>
        <item m="1" x="7413"/>
        <item m="1" x="7414"/>
        <item m="1" x="7415"/>
        <item m="1" x="7416"/>
        <item m="1" x="7417"/>
        <item m="1" x="7418"/>
        <item m="1" x="6991"/>
        <item m="1" x="6989"/>
        <item m="1" x="5847"/>
        <item m="1" x="7419"/>
        <item m="1" x="7420"/>
        <item m="1" x="7421"/>
        <item m="1" x="7422"/>
        <item m="1" x="7423"/>
        <item m="1" x="4279"/>
        <item m="1" x="7424"/>
        <item m="1" x="7425"/>
        <item m="1" x="7250"/>
        <item m="1" x="7252"/>
        <item m="1" x="7253"/>
        <item m="1" x="7259"/>
        <item m="1" x="7260"/>
        <item m="1" x="6997"/>
        <item m="1" x="7000"/>
        <item m="1" x="7001"/>
        <item m="1" x="7426"/>
        <item m="1" x="7427"/>
        <item m="1" x="7428"/>
        <item m="1" x="7429"/>
        <item m="1" x="6999"/>
        <item m="1" x="7118"/>
        <item m="1" x="7119"/>
        <item m="1" x="7261"/>
        <item m="1" x="7262"/>
        <item m="1" x="7263"/>
        <item m="1" x="7266"/>
        <item m="1" x="7267"/>
        <item m="1" x="7265"/>
        <item m="1" x="7268"/>
        <item m="1" x="7269"/>
        <item m="1" x="7274"/>
        <item m="1" x="7276"/>
        <item m="1" x="7277"/>
        <item m="1" x="7430"/>
        <item m="1" x="7279"/>
        <item m="1" x="7280"/>
        <item m="1" x="7431"/>
        <item m="1" x="7281"/>
        <item m="1" x="6502"/>
        <item m="1" x="7285"/>
        <item m="1" x="7286"/>
        <item m="1" x="7432"/>
        <item m="1" x="5192"/>
        <item m="1" x="7230"/>
        <item m="1" x="7272"/>
        <item m="1" x="7079"/>
        <item m="1" x="7287"/>
        <item m="1" x="7288"/>
        <item m="1" x="7289"/>
        <item m="1" x="7290"/>
        <item m="1" x="7080"/>
        <item m="1" x="7128"/>
        <item m="1" x="7129"/>
        <item m="1" x="7130"/>
        <item m="1" x="7078"/>
        <item m="1" x="7291"/>
        <item m="1" x="7292"/>
        <item m="1" x="6647"/>
        <item m="1" x="6648"/>
        <item m="1" x="7293"/>
        <item m="1" x="7294"/>
        <item m="1" x="5798"/>
        <item m="1" x="7296"/>
        <item m="1" x="6667"/>
        <item m="1" x="7297"/>
        <item m="1" x="7298"/>
        <item m="1" x="7299"/>
        <item m="1" x="6816"/>
        <item m="1" x="6817"/>
        <item m="1" x="7084"/>
        <item m="1" x="6427"/>
        <item m="1" x="6815"/>
        <item m="1" x="5420"/>
        <item m="1" x="7300"/>
        <item m="1" x="6821"/>
        <item m="1" x="7301"/>
        <item m="1" x="7087"/>
        <item m="1" x="7088"/>
        <item m="1" x="7089"/>
        <item m="1" x="7090"/>
        <item m="1" x="7093"/>
        <item m="1" x="7094"/>
        <item m="1" x="7095"/>
        <item m="1" x="7096"/>
        <item m="1" x="7097"/>
        <item m="1" x="7098"/>
        <item m="1" x="7302"/>
        <item m="1" x="7091"/>
        <item m="1" x="7092"/>
        <item m="1" x="6662"/>
        <item m="1" x="7303"/>
        <item m="1" x="7304"/>
        <item m="1" x="7164"/>
        <item m="1" x="7305"/>
        <item m="1" x="6688"/>
        <item m="1" x="6682"/>
        <item m="1" x="6683"/>
        <item m="1" x="6689"/>
        <item m="1" x="6690"/>
        <item m="1" x="6691"/>
        <item m="1" x="6692"/>
        <item m="1" x="6693"/>
        <item m="1" x="6694"/>
        <item m="1" x="6687"/>
        <item m="1" x="6543"/>
        <item m="1" x="6685"/>
        <item m="1" x="6686"/>
        <item m="1" x="7177"/>
        <item m="1" x="6826"/>
        <item m="1" x="6851"/>
        <item m="1" x="7216"/>
        <item m="1" x="7217"/>
        <item m="1" x="7218"/>
        <item m="1" x="6684"/>
        <item m="1" x="6827"/>
        <item m="1" x="7307"/>
        <item m="1" x="6985"/>
        <item m="1" x="7107"/>
        <item m="1" x="7308"/>
        <item m="1" x="7309"/>
        <item m="1" x="7310"/>
        <item m="1" x="7311"/>
        <item m="1" x="7312"/>
        <item m="1" x="7111"/>
        <item m="1" x="7313"/>
        <item m="1" x="6987"/>
        <item m="1" x="7316"/>
        <item m="1" x="7317"/>
        <item m="1" x="7318"/>
        <item m="1" x="7319"/>
        <item m="1" x="7115"/>
        <item m="1" x="5766"/>
        <item m="1" x="7320"/>
        <item m="1" x="5878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117"/>
        <item m="1" x="7331"/>
        <item m="1" x="7332"/>
        <item m="1" x="7333"/>
        <item m="1" x="2231"/>
        <item m="1" x="7334"/>
        <item m="1" x="6499"/>
        <item m="1" x="7335"/>
        <item m="1" x="5788"/>
        <item m="1" x="7082"/>
        <item m="1" x="7083"/>
        <item m="1" x="7123"/>
        <item m="1" x="6519"/>
        <item m="1" x="6520"/>
        <item m="1" x="6521"/>
        <item m="1" x="6522"/>
        <item m="1" x="6523"/>
        <item m="1" x="7124"/>
        <item m="1" x="7125"/>
        <item m="1" x="7126"/>
        <item m="1" x="7127"/>
        <item m="1" x="7131"/>
        <item m="1" x="6524"/>
        <item m="1" x="6643"/>
        <item m="1" x="6978"/>
        <item m="1" x="7132"/>
        <item m="1" x="6979"/>
        <item m="1" x="7133"/>
        <item m="1" x="7134"/>
        <item m="1" x="7135"/>
        <item m="1" x="5341"/>
        <item m="1" x="6646"/>
        <item m="1" x="6799"/>
        <item m="1" x="6800"/>
        <item m="1" x="6798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6981"/>
        <item m="1" x="7145"/>
        <item m="1" x="7146"/>
        <item m="1" x="6810"/>
        <item m="1" x="6811"/>
        <item m="1" x="6812"/>
        <item m="1" x="6814"/>
        <item m="1" x="6982"/>
        <item m="1" x="6983"/>
        <item m="1" x="6664"/>
        <item m="1" x="7029"/>
        <item m="1" x="7147"/>
        <item m="1" x="7148"/>
        <item m="1" x="6984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4835"/>
        <item m="1" x="6822"/>
        <item m="1" x="7160"/>
        <item m="1" x="7161"/>
        <item m="1" x="7162"/>
        <item m="1" x="7163"/>
        <item m="1" x="7165"/>
        <item m="1" x="7166"/>
        <item m="1" x="7167"/>
        <item m="1" x="7168"/>
        <item m="1" x="7169"/>
        <item m="1" x="7170"/>
        <item m="1" x="7171"/>
        <item m="1" x="6696"/>
        <item m="1" x="6697"/>
        <item m="1" x="6695"/>
        <item m="1" x="7172"/>
        <item m="1" x="7173"/>
        <item m="1" x="7174"/>
        <item m="1" x="7175"/>
        <item m="1" x="7176"/>
        <item m="1" x="7178"/>
        <item m="1" x="4301"/>
        <item m="1" x="4302"/>
        <item m="1" x="7179"/>
        <item m="1" x="7180"/>
        <item m="1" x="7181"/>
        <item m="1" x="7182"/>
        <item m="1" x="7183"/>
        <item m="1" x="7184"/>
        <item m="1" x="7185"/>
        <item m="1" x="6544"/>
        <item m="1" x="6545"/>
        <item m="1" x="7186"/>
        <item m="1" x="2187"/>
        <item m="1" x="7187"/>
        <item m="1" x="7188"/>
        <item m="1" x="2276"/>
        <item m="1" x="2284"/>
        <item m="1" x="2252"/>
        <item m="1" x="7047"/>
        <item m="1" x="7041"/>
        <item m="1" x="7189"/>
        <item m="1" x="5856"/>
        <item m="1" x="7190"/>
        <item m="1" x="7191"/>
        <item m="1" x="6993"/>
        <item m="1" x="7192"/>
        <item m="1" x="7038"/>
        <item m="1" x="6551"/>
        <item m="1" x="6476"/>
        <item m="1" x="6710"/>
        <item m="1" x="6992"/>
        <item m="1" x="7193"/>
        <item m="1" x="5845"/>
        <item m="1" x="5846"/>
        <item m="1" x="5838"/>
        <item m="1" x="7194"/>
        <item m="1" x="7195"/>
        <item m="1" x="2166"/>
        <item m="1" x="5871"/>
        <item m="1" x="6712"/>
        <item m="1" x="7196"/>
        <item m="1" x="7197"/>
        <item m="1" x="5874"/>
        <item m="1" x="2141"/>
        <item m="1" x="2142"/>
        <item m="1" x="3023"/>
        <item m="1" x="7198"/>
        <item m="1" x="7199"/>
        <item m="1" x="2161"/>
        <item m="1" x="2160"/>
        <item m="1" x="6831"/>
        <item m="1" x="7200"/>
        <item m="1" x="7201"/>
        <item m="1" x="7202"/>
        <item m="1" x="7056"/>
        <item m="1" x="7057"/>
        <item m="1" x="7203"/>
        <item m="1" x="7204"/>
        <item m="1" x="7205"/>
        <item m="1" x="7206"/>
        <item m="1" x="7207"/>
        <item m="1" x="7208"/>
        <item m="1" x="7209"/>
        <item m="1" x="7210"/>
        <item m="1" x="6830"/>
        <item m="1" x="7211"/>
        <item m="1" x="7212"/>
        <item m="1" x="6835"/>
        <item m="1" x="6836"/>
        <item m="1" x="5888"/>
        <item m="1" x="5782"/>
        <item m="1" x="7213"/>
        <item m="1" x="7214"/>
        <item m="1" x="7215"/>
        <item m="1" x="6202"/>
        <item m="1" x="6203"/>
        <item m="1" x="6204"/>
        <item m="1" x="6205"/>
        <item m="1" x="6206"/>
        <item m="1" x="6207"/>
        <item m="1" x="6208"/>
        <item m="1" x="7219"/>
        <item m="1" x="7220"/>
        <item m="1" x="7221"/>
        <item m="1" x="7222"/>
        <item m="1" x="6536"/>
        <item m="1" x="6537"/>
        <item m="1" x="6538"/>
        <item m="1" x="7223"/>
        <item m="1" x="6542"/>
        <item m="1" x="7224"/>
        <item m="1" x="7225"/>
        <item m="1" x="7226"/>
        <item m="1" x="7227"/>
        <item m="1" x="2711"/>
        <item m="1" x="6980"/>
        <item m="1" x="6801"/>
        <item m="1" x="7002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786"/>
        <item m="1" x="6787"/>
        <item m="1" x="7003"/>
        <item m="1" x="6785"/>
        <item m="1" x="6644"/>
        <item m="1" x="6645"/>
        <item m="1" x="6788"/>
        <item m="1" x="6789"/>
        <item m="1" x="7004"/>
        <item m="1" x="7005"/>
        <item m="1" x="7006"/>
        <item m="1" x="6790"/>
        <item m="1" x="6791"/>
        <item m="1" x="6792"/>
        <item m="1" x="6793"/>
        <item m="1" x="7007"/>
        <item m="1" x="7008"/>
        <item m="1" x="7009"/>
        <item m="1" x="7010"/>
        <item m="1" x="7011"/>
        <item m="1" x="7012"/>
        <item m="1" x="7013"/>
        <item m="1" x="6794"/>
        <item m="1" x="6802"/>
        <item m="1" x="6803"/>
        <item m="1" x="6651"/>
        <item m="1" x="7014"/>
        <item m="1" x="6804"/>
        <item m="1" x="7015"/>
        <item m="1" x="7016"/>
        <item m="1" x="6797"/>
        <item m="1" x="6795"/>
        <item m="1" x="6796"/>
        <item m="1" x="6805"/>
        <item m="1" x="5940"/>
        <item m="1" x="6223"/>
        <item m="1" x="7017"/>
        <item m="1" x="6807"/>
        <item m="1" x="6808"/>
        <item m="1" x="6809"/>
        <item m="1" x="7018"/>
        <item m="1" x="7019"/>
        <item m="1" x="6874"/>
        <item m="1" x="7020"/>
        <item m="1" x="7021"/>
        <item m="1" x="6875"/>
        <item m="1" x="7022"/>
        <item m="1" x="6876"/>
        <item m="1" x="6877"/>
        <item m="1" x="6878"/>
        <item m="1" x="6879"/>
        <item m="1" x="7023"/>
        <item m="1" x="6880"/>
        <item m="1" x="7024"/>
        <item m="1" x="6881"/>
        <item m="1" x="7025"/>
        <item m="1" x="7026"/>
        <item m="1" x="7027"/>
        <item m="1" x="7028"/>
        <item m="1" x="6813"/>
        <item m="1" x="7030"/>
        <item m="1" x="6887"/>
        <item m="1" x="6820"/>
        <item m="1" x="6818"/>
        <item m="1" x="6819"/>
        <item m="1" x="6806"/>
        <item m="1" x="6419"/>
        <item m="1" x="6423"/>
        <item m="1" x="6424"/>
        <item m="1" x="7031"/>
        <item m="1" x="6670"/>
        <item m="1" x="6824"/>
        <item m="1" x="6671"/>
        <item m="1" x="6672"/>
        <item m="1" x="6825"/>
        <item m="1" x="7032"/>
        <item m="1" x="7033"/>
        <item m="1" x="6823"/>
        <item m="1" x="7034"/>
        <item m="1" x="6699"/>
        <item m="1" x="6673"/>
        <item m="1" x="6852"/>
        <item m="1" x="6905"/>
        <item m="1" x="6906"/>
        <item m="1" x="6907"/>
        <item m="1" x="6908"/>
        <item m="1" x="6444"/>
        <item m="1" x="6909"/>
        <item m="1" x="6910"/>
        <item m="1" x="6445"/>
        <item m="1" x="6911"/>
        <item m="1" x="6912"/>
        <item m="1" x="6853"/>
        <item m="1" x="7035"/>
        <item m="1" x="6701"/>
        <item m="1" x="6700"/>
        <item m="1" x="6854"/>
        <item m="1" x="7036"/>
        <item m="1" x="6703"/>
        <item m="1" x="7037"/>
        <item m="1" x="5763"/>
        <item m="1" x="6705"/>
        <item m="1" x="6546"/>
        <item m="1" x="6707"/>
        <item m="1" x="6708"/>
        <item m="1" x="6709"/>
        <item m="1" x="6547"/>
        <item m="1" x="7039"/>
        <item m="1" x="5840"/>
        <item m="1" x="5839"/>
        <item m="1" x="5837"/>
        <item m="1" x="2307"/>
        <item m="1" x="7040"/>
        <item m="1" x="7042"/>
        <item m="1" x="6711"/>
        <item m="1" x="5855"/>
        <item m="1" x="5859"/>
        <item m="1" x="7043"/>
        <item m="1" x="7044"/>
        <item m="1" x="7045"/>
        <item m="1" x="7046"/>
        <item m="1" x="7048"/>
        <item m="1" x="2345"/>
        <item m="1" x="6297"/>
        <item m="1" x="2198"/>
        <item m="1" x="2188"/>
        <item m="1" x="7049"/>
        <item m="1" x="7050"/>
        <item m="1" x="7051"/>
        <item m="1" x="7052"/>
        <item m="1" x="6713"/>
        <item m="1" x="6166"/>
        <item m="1" x="6828"/>
        <item m="1" x="7053"/>
        <item m="1" x="7054"/>
        <item m="1" x="6829"/>
        <item m="1" x="7055"/>
        <item m="1" x="7058"/>
        <item m="1" x="7059"/>
        <item m="1" x="7060"/>
        <item m="1" x="7061"/>
        <item m="1" x="6930"/>
        <item m="1" x="6832"/>
        <item m="1" x="6833"/>
        <item m="1" x="6834"/>
        <item m="1" x="5887"/>
        <item m="1" x="7062"/>
        <item m="1" x="6716"/>
        <item m="1" x="6561"/>
        <item m="1" x="6837"/>
        <item m="1" x="6563"/>
        <item m="1" x="6564"/>
        <item m="1" x="7063"/>
        <item m="1" x="6319"/>
        <item m="1" x="6838"/>
        <item m="1" x="3276"/>
        <item m="1" x="6552"/>
        <item m="1" x="6553"/>
        <item m="1" x="6849"/>
        <item m="1" x="6850"/>
        <item m="1" x="6855"/>
        <item m="1" x="6856"/>
        <item m="1" x="6525"/>
        <item m="1" x="6857"/>
        <item m="1" x="5932"/>
        <item m="1" x="6858"/>
        <item m="1" x="6859"/>
        <item m="1" x="6860"/>
        <item m="1" x="6650"/>
        <item m="1" x="5941"/>
        <item m="1" x="6861"/>
        <item m="1" x="6862"/>
        <item m="1" x="6863"/>
        <item m="1" x="6864"/>
        <item m="1" x="5916"/>
        <item m="1" x="6865"/>
        <item m="1" x="6866"/>
        <item m="1" x="5898"/>
        <item m="1" x="5330"/>
        <item m="1" x="6867"/>
        <item m="1" x="6649"/>
        <item m="1" x="6868"/>
        <item m="1" x="6526"/>
        <item m="1" x="5896"/>
        <item m="1" x="6869"/>
        <item m="1" x="6870"/>
        <item m="1" x="6658"/>
        <item m="1" x="6659"/>
        <item m="1" x="6377"/>
        <item m="1" x="6871"/>
        <item m="1" x="6872"/>
        <item m="1" x="6873"/>
        <item m="1" x="6653"/>
        <item m="1" x="6654"/>
        <item m="1" x="6655"/>
        <item m="1" x="6656"/>
        <item m="1" x="6657"/>
        <item m="1" x="6541"/>
        <item m="1" x="6882"/>
        <item m="1" x="6883"/>
        <item m="1" x="6666"/>
        <item m="1" x="6884"/>
        <item m="1" x="6885"/>
        <item m="1" x="6886"/>
        <item m="1" x="6888"/>
        <item m="1" x="6889"/>
        <item m="1" x="6660"/>
        <item m="1" x="6890"/>
        <item m="1" x="6663"/>
        <item m="1" x="6668"/>
        <item m="1" x="6891"/>
        <item m="1" x="6892"/>
        <item m="1" x="6669"/>
        <item m="1" x="6893"/>
        <item m="1" x="6698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13"/>
        <item m="1" x="6914"/>
        <item m="1" x="6702"/>
        <item m="1" x="2425"/>
        <item m="1" x="6915"/>
        <item m="1" x="5821"/>
        <item m="1" x="6704"/>
        <item m="1" x="1833"/>
        <item m="1" x="6706"/>
        <item m="1" x="6916"/>
        <item m="1" x="6917"/>
        <item m="1" x="6918"/>
        <item m="1" x="6919"/>
        <item m="1" x="6920"/>
        <item m="1" x="6921"/>
        <item m="1" x="6922"/>
        <item m="1" x="2194"/>
        <item m="1" x="6923"/>
        <item m="1" x="2178"/>
        <item m="1" x="6924"/>
        <item m="1" x="6925"/>
        <item m="1" x="6926"/>
        <item m="1" x="2421"/>
        <item m="1" x="5869"/>
        <item m="1" x="6927"/>
        <item m="1" x="6928"/>
        <item m="1" x="6159"/>
        <item m="1" x="6714"/>
        <item m="1" x="6715"/>
        <item m="1" x="6496"/>
        <item m="1" x="6929"/>
        <item m="1" x="6171"/>
        <item m="1" x="5306"/>
        <item m="1" x="5890"/>
        <item m="1" x="5891"/>
        <item m="1" x="5892"/>
        <item m="1" x="6931"/>
        <item m="1" x="6932"/>
        <item m="1" x="6933"/>
        <item m="1" x="5902"/>
        <item m="1" x="6718"/>
        <item m="1" x="6934"/>
        <item m="1" x="5903"/>
        <item m="1" x="5904"/>
        <item m="1" x="6209"/>
        <item m="1" x="6361"/>
        <item m="1" x="6652"/>
        <item m="1" x="6665"/>
        <item m="1" x="6460"/>
        <item m="1" x="2143"/>
        <item m="1" x="6717"/>
        <item m="1" x="6184"/>
        <item m="1" x="6189"/>
        <item m="1" x="6337"/>
        <item m="1" x="6719"/>
        <item m="1" x="6720"/>
        <item m="1" x="6515"/>
        <item m="1" x="6516"/>
        <item m="1" x="6517"/>
        <item m="1" x="6721"/>
        <item m="1" x="6722"/>
        <item m="1" x="6339"/>
        <item m="1" x="6340"/>
        <item m="1" x="6723"/>
        <item m="1" x="6357"/>
        <item m="1" x="6314"/>
        <item m="1" x="6527"/>
        <item m="1" x="6528"/>
        <item m="1" x="6529"/>
        <item m="1" x="5945"/>
        <item m="1" x="6364"/>
        <item m="1" x="5939"/>
        <item m="1" x="6531"/>
        <item m="1" x="6530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387"/>
        <item m="1" x="6388"/>
        <item m="1" x="6390"/>
        <item m="1" x="6391"/>
        <item m="1" x="6392"/>
        <item m="1" x="6393"/>
        <item m="1" x="6389"/>
        <item m="1" x="4836"/>
        <item m="1" x="6421"/>
        <item m="1" x="6735"/>
        <item m="1" x="6736"/>
        <item m="1" x="6414"/>
        <item m="1" x="6384"/>
        <item m="1" x="6737"/>
        <item m="1" x="6738"/>
        <item m="1" x="6739"/>
        <item m="1" x="6740"/>
        <item m="1" x="6741"/>
        <item m="1" x="6431"/>
        <item m="1" x="6432"/>
        <item m="1" x="6742"/>
        <item m="1" x="6743"/>
        <item m="1" x="6446"/>
        <item m="1" x="6443"/>
        <item m="1" x="6744"/>
        <item m="1" x="6017"/>
        <item m="1" x="6028"/>
        <item m="1" x="6745"/>
        <item m="1" x="6746"/>
        <item m="1" x="6747"/>
        <item m="1" x="6748"/>
        <item m="1" x="6749"/>
        <item m="1" x="6750"/>
        <item m="1" x="6122"/>
        <item m="1" x="6120"/>
        <item m="1" x="6751"/>
        <item m="1" x="6752"/>
        <item m="1" x="6753"/>
        <item m="1" x="6754"/>
        <item m="1" x="6755"/>
        <item m="1" x="6756"/>
        <item m="1" x="6757"/>
        <item m="1" x="6758"/>
        <item m="1" x="5829"/>
        <item m="1" x="6759"/>
        <item m="1" x="6760"/>
        <item m="1" x="6761"/>
        <item m="1" x="6762"/>
        <item m="1" x="6763"/>
        <item m="1" x="6764"/>
        <item m="1" x="6765"/>
        <item m="1" x="6766"/>
        <item m="1" x="6548"/>
        <item m="1" x="6549"/>
        <item m="1" x="6550"/>
        <item m="1" x="6767"/>
        <item m="1" x="6768"/>
        <item m="1" x="6769"/>
        <item m="1" x="2422"/>
        <item m="1" x="2423"/>
        <item m="1" x="6770"/>
        <item m="1" x="2470"/>
        <item m="1" x="2473"/>
        <item m="1" x="2474"/>
        <item m="1" x="5534"/>
        <item m="1" x="5773"/>
        <item m="1" x="6555"/>
        <item m="1" x="5774"/>
        <item m="1" x="2412"/>
        <item m="1" x="6771"/>
        <item m="1" x="6772"/>
        <item m="1" x="6307"/>
        <item m="1" x="6773"/>
        <item m="1" x="6556"/>
        <item m="1" x="6557"/>
        <item m="1" x="6558"/>
        <item m="1" x="6559"/>
        <item m="1" x="6311"/>
        <item m="1" x="6560"/>
        <item m="1" x="6774"/>
        <item m="1" x="6775"/>
        <item m="1" x="6180"/>
        <item m="1" x="6562"/>
        <item m="1" x="6776"/>
        <item m="1" x="5934"/>
        <item m="1" x="6777"/>
        <item m="1" x="6198"/>
        <item m="1" x="6199"/>
        <item m="1" x="6200"/>
        <item m="1" x="6201"/>
        <item m="1" x="5791"/>
        <item m="1" x="6518"/>
        <item m="1" x="6532"/>
        <item m="1" x="6533"/>
        <item m="1" x="6534"/>
        <item m="1" x="6535"/>
        <item m="1" x="6539"/>
        <item m="1" x="6375"/>
        <item m="1" x="6376"/>
        <item m="1" x="6540"/>
        <item m="1" x="6395"/>
        <item m="1" x="6403"/>
        <item m="1" x="6425"/>
        <item m="1" x="6482"/>
        <item m="1" x="6483"/>
        <item m="1" x="6484"/>
        <item m="1" x="6554"/>
        <item m="1" x="6494"/>
        <item m="1" x="6501"/>
        <item m="1" x="5938"/>
        <item m="1" x="6565"/>
        <item m="1" x="6566"/>
        <item m="1" x="6567"/>
        <item m="1" x="6568"/>
        <item m="1" x="6569"/>
        <item m="1" x="5794"/>
        <item m="1" x="6570"/>
        <item m="1" x="6571"/>
        <item m="1" x="6341"/>
        <item m="1" x="6342"/>
        <item m="1" x="6343"/>
        <item m="1" x="6344"/>
        <item m="1" x="6360"/>
        <item m="1" x="6354"/>
        <item m="1" x="6358"/>
        <item m="1" x="6572"/>
        <item m="1" x="6362"/>
        <item m="1" x="6573"/>
        <item m="1" x="6574"/>
        <item m="1" x="6575"/>
        <item m="1" x="6394"/>
        <item m="1" x="6576"/>
        <item m="1" x="6577"/>
        <item m="1" x="6396"/>
        <item m="1" x="6397"/>
        <item m="1" x="6412"/>
        <item m="1" x="6413"/>
        <item m="1" x="6578"/>
        <item m="1" x="6579"/>
        <item m="1" x="6580"/>
        <item m="1" x="6416"/>
        <item m="1" x="6366"/>
        <item m="1" x="6581"/>
        <item m="1" x="6420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458"/>
        <item m="1" x="6441"/>
        <item m="1" x="6439"/>
        <item m="1" x="6440"/>
        <item m="1" x="6442"/>
        <item m="1" x="6598"/>
        <item m="1" x="6599"/>
        <item m="1" x="6461"/>
        <item m="1" x="6600"/>
        <item m="1" x="6601"/>
        <item m="1" x="6602"/>
        <item m="1" x="6603"/>
        <item m="1" x="6604"/>
        <item m="1" x="6605"/>
        <item m="1" x="2295"/>
        <item m="1" x="6471"/>
        <item m="1" x="6278"/>
        <item m="1" x="6606"/>
        <item m="1" x="6607"/>
        <item m="1" x="6478"/>
        <item m="1" x="2308"/>
        <item m="1" x="6608"/>
        <item m="1" x="6609"/>
        <item m="1" x="6610"/>
        <item m="1" x="6611"/>
        <item m="1" x="6612"/>
        <item m="1" x="6124"/>
        <item m="1" x="6125"/>
        <item m="1" x="6487"/>
        <item m="1" x="2243"/>
        <item m="1" x="6613"/>
        <item m="1" x="6614"/>
        <item m="1" x="6615"/>
        <item m="1" x="6616"/>
        <item m="1" x="6617"/>
        <item m="1" x="6618"/>
        <item m="1" x="6619"/>
        <item m="1" x="5212"/>
        <item m="1" x="3895"/>
        <item m="1" x="2164"/>
        <item m="1" x="2165"/>
        <item m="1" x="6620"/>
        <item m="1" x="2424"/>
        <item m="1" x="6621"/>
        <item m="1" x="6141"/>
        <item m="1" x="6622"/>
        <item m="1" x="5870"/>
        <item m="1" x="2321"/>
        <item m="1" x="2186"/>
        <item m="1" x="2469"/>
        <item m="1" x="6154"/>
        <item m="1" x="6623"/>
        <item m="1" x="6624"/>
        <item m="1" x="6625"/>
        <item m="1" x="6498"/>
        <item m="1" x="6626"/>
        <item m="1" x="5783"/>
        <item m="1" x="6190"/>
        <item m="1" x="6627"/>
        <item m="1" x="5234"/>
        <item m="1" x="5587"/>
        <item m="1" x="6328"/>
        <item m="1" x="6329"/>
        <item m="1" x="6330"/>
        <item m="1" x="5701"/>
        <item m="1" x="5923"/>
        <item m="1" x="5922"/>
        <item m="1" x="6212"/>
        <item m="1" x="6213"/>
        <item m="1" x="6331"/>
        <item m="1" x="6332"/>
        <item m="1" x="6333"/>
        <item m="1" x="5597"/>
        <item m="1" x="6334"/>
        <item m="1" x="6335"/>
        <item m="1" x="6336"/>
        <item m="1" x="5706"/>
        <item m="1" x="5713"/>
        <item m="1" x="5714"/>
        <item m="1" x="6218"/>
        <item m="1" x="6338"/>
        <item m="1" x="5335"/>
        <item m="1" x="6220"/>
        <item m="1" x="6345"/>
        <item m="1" x="6346"/>
        <item m="1" x="2151"/>
        <item m="1" x="6347"/>
        <item m="1" x="6348"/>
        <item m="1" x="6349"/>
        <item m="1" x="6350"/>
        <item m="1" x="6351"/>
        <item m="1" x="6352"/>
        <item m="1" x="6353"/>
        <item m="1" x="6227"/>
        <item m="1" x="6355"/>
        <item m="1" x="6356"/>
        <item m="1" x="6359"/>
        <item m="1" x="6226"/>
        <item m="1" x="6363"/>
        <item m="1" x="5942"/>
        <item m="1" x="6228"/>
        <item m="1" x="5615"/>
        <item m="1" x="6365"/>
        <item m="1" x="6367"/>
        <item m="1" x="6368"/>
        <item m="1" x="6369"/>
        <item m="1" x="6370"/>
        <item m="1" x="6371"/>
        <item m="1" x="6372"/>
        <item m="1" x="6373"/>
        <item m="1" x="6374"/>
        <item m="1" x="6378"/>
        <item m="1" x="6379"/>
        <item m="1" x="6238"/>
        <item m="1" x="6380"/>
        <item m="1" x="6381"/>
        <item m="1" x="6382"/>
        <item m="1" x="6240"/>
        <item m="1" x="6241"/>
        <item m="1" x="6383"/>
        <item m="1" x="4837"/>
        <item m="1" x="6242"/>
        <item m="1" x="6248"/>
        <item m="1" x="6398"/>
        <item m="1" x="6399"/>
        <item m="1" x="6400"/>
        <item m="1" x="6401"/>
        <item m="1" x="6402"/>
        <item m="1" x="6404"/>
        <item m="1" x="6407"/>
        <item m="1" x="6408"/>
        <item m="1" x="6409"/>
        <item m="1" x="6410"/>
        <item m="1" x="6411"/>
        <item m="1" x="6160"/>
        <item m="1" x="5972"/>
        <item m="1" x="5973"/>
        <item m="1" x="5739"/>
        <item m="1" x="5429"/>
        <item m="1" x="5430"/>
        <item m="1" x="5424"/>
        <item m="1" x="6415"/>
        <item m="1" x="6417"/>
        <item m="1" x="6418"/>
        <item m="1" x="5740"/>
        <item m="1" x="5982"/>
        <item m="1" x="5986"/>
        <item m="1" x="5974"/>
        <item m="1" x="6422"/>
        <item m="1" x="6256"/>
        <item m="1" x="6255"/>
        <item m="1" x="6426"/>
        <item m="1" x="6428"/>
        <item m="1" x="6429"/>
        <item m="1" x="6430"/>
        <item m="1" x="6433"/>
        <item m="1" x="6434"/>
        <item m="1" x="6435"/>
        <item m="1" x="6436"/>
        <item m="1" x="6267"/>
        <item m="1" x="6268"/>
        <item m="1" x="6447"/>
        <item m="1" x="6448"/>
        <item m="1" x="6449"/>
        <item m="1" x="6450"/>
        <item m="1" x="6451"/>
        <item m="1" x="6269"/>
        <item m="1" x="6452"/>
        <item m="1" x="6453"/>
        <item m="1" x="6454"/>
        <item m="1" x="6455"/>
        <item m="1" x="6456"/>
        <item m="1" x="6262"/>
        <item m="1" x="6270"/>
        <item m="1" x="6266"/>
        <item m="1" x="6265"/>
        <item m="1" x="6264"/>
        <item m="1" x="6263"/>
        <item m="1" x="6459"/>
        <item m="1" x="6271"/>
        <item m="1" x="6272"/>
        <item m="1" x="6273"/>
        <item m="1" x="6274"/>
        <item m="1" x="6464"/>
        <item m="1" x="6465"/>
        <item m="1" x="6466"/>
        <item m="1" x="6467"/>
        <item m="1" x="6468"/>
        <item m="1" x="6469"/>
        <item m="1" x="6470"/>
        <item m="1" x="5662"/>
        <item m="1" x="6016"/>
        <item m="1" x="5824"/>
        <item m="1" x="6473"/>
        <item m="1" x="2250"/>
        <item m="1" x="5827"/>
        <item m="1" x="5828"/>
        <item m="1" x="6474"/>
        <item m="1" x="6475"/>
        <item m="1" x="6280"/>
        <item m="1" x="6286"/>
        <item m="1" x="6477"/>
        <item m="1" x="6479"/>
        <item m="1" x="6480"/>
        <item m="1" x="6481"/>
        <item m="1" x="6485"/>
        <item m="1" x="6486"/>
        <item m="1" x="6123"/>
        <item m="1" x="5860"/>
        <item m="1" x="4258"/>
        <item m="1" x="2283"/>
        <item m="1" x="6288"/>
        <item m="1" x="6132"/>
        <item m="1" x="6488"/>
        <item m="1" x="6489"/>
        <item m="1" x="6490"/>
        <item m="1" x="6290"/>
        <item m="1" x="6491"/>
        <item m="1" x="2140"/>
        <item m="1" x="6285"/>
        <item m="1" x="6492"/>
        <item m="1" x="4282"/>
        <item m="1" x="4285"/>
        <item m="1" x="2263"/>
        <item m="1" x="2277"/>
        <item m="1" x="6493"/>
        <item m="1" x="6302"/>
        <item m="1" x="6303"/>
        <item m="1" x="6495"/>
        <item m="1" x="6312"/>
        <item m="1" x="6310"/>
        <item m="1" x="6497"/>
        <item m="1" x="6315"/>
        <item m="1" x="6317"/>
        <item m="1" x="6316"/>
        <item m="1" x="6182"/>
        <item m="1" x="6318"/>
        <item m="1" x="6185"/>
        <item m="1" x="5692"/>
        <item m="1" x="5691"/>
        <item m="1" x="5784"/>
        <item m="1" x="4831"/>
        <item m="1" x="5900"/>
        <item m="1" x="6500"/>
        <item m="1" x="4839"/>
        <item m="1" x="5911"/>
        <item m="1" x="6210"/>
        <item m="1" x="5914"/>
        <item m="1" x="5915"/>
        <item m="1" x="6211"/>
        <item m="1" x="5918"/>
        <item m="1" x="5919"/>
        <item m="1" x="5920"/>
        <item m="1" x="5921"/>
        <item m="1" x="6214"/>
        <item m="1" x="5707"/>
        <item m="1" x="5929"/>
        <item m="1" x="5708"/>
        <item m="1" x="6216"/>
        <item m="1" x="6217"/>
        <item m="1" x="6219"/>
        <item m="1" x="5797"/>
        <item m="1" x="5715"/>
        <item m="1" x="5329"/>
        <item m="1" x="5793"/>
        <item m="1" x="4712"/>
        <item m="1" x="4713"/>
        <item m="1" x="5933"/>
        <item m="1" x="6224"/>
        <item m="1" x="4714"/>
        <item m="1" x="5958"/>
        <item m="1" x="5957"/>
        <item m="1" x="5943"/>
        <item m="1" x="5944"/>
        <item m="1" x="5948"/>
        <item m="1" x="4188"/>
        <item m="1" x="5960"/>
        <item m="1" x="6229"/>
        <item m="1" x="6230"/>
        <item m="1" x="6231"/>
        <item m="1" x="6232"/>
        <item m="1" x="6233"/>
        <item m="1" x="6234"/>
        <item m="1" x="6235"/>
        <item m="1" x="5970"/>
        <item m="1" x="6236"/>
        <item m="1" x="6237"/>
        <item m="1" x="5983"/>
        <item m="1" x="6239"/>
        <item m="1" x="5984"/>
        <item m="1" x="6243"/>
        <item m="1" x="5975"/>
        <item m="1" x="5976"/>
        <item m="1" x="6244"/>
        <item m="1" x="6245"/>
        <item m="1" x="6246"/>
        <item m="1" x="6247"/>
        <item m="1" x="6249"/>
        <item m="1" x="6250"/>
        <item m="1" x="6251"/>
        <item m="1" x="6252"/>
        <item m="1" x="6253"/>
        <item m="1" x="6254"/>
        <item m="1" x="5993"/>
        <item m="1" x="5996"/>
        <item m="1" x="6257"/>
        <item m="1" x="6258"/>
        <item m="1" x="6259"/>
        <item m="1" x="6260"/>
        <item m="1" x="6261"/>
        <item m="1" x="6009"/>
        <item m="1" x="6004"/>
        <item m="1" x="6005"/>
        <item m="1" x="6006"/>
        <item m="1" x="6007"/>
        <item m="1" x="6011"/>
        <item m="1" x="3660"/>
        <item m="1" x="6018"/>
        <item m="1" x="6275"/>
        <item m="1" x="6276"/>
        <item m="1" x="6277"/>
        <item m="1" x="4715"/>
        <item m="1" x="6040"/>
        <item m="1" x="6279"/>
        <item m="1" x="2073"/>
        <item m="1" x="5834"/>
        <item m="1" x="6281"/>
        <item m="1" x="6282"/>
        <item m="1" x="6283"/>
        <item m="1" x="6284"/>
        <item m="1" x="5843"/>
        <item m="1" x="5841"/>
        <item m="1" x="5842"/>
        <item m="1" x="2416"/>
        <item m="1" x="5854"/>
        <item m="1" x="5865"/>
        <item m="1" x="5864"/>
        <item m="1" x="5858"/>
        <item m="1" x="5276"/>
        <item m="1" x="6287"/>
        <item m="1" x="6289"/>
        <item m="1" x="1384"/>
        <item m="1" x="4259"/>
        <item m="1" x="2253"/>
        <item m="1" x="6291"/>
        <item m="1" x="6292"/>
        <item m="1" x="6293"/>
        <item m="1" x="6294"/>
        <item m="1" x="6295"/>
        <item m="1" x="2070"/>
        <item m="1" x="6296"/>
        <item m="1" x="2279"/>
        <item m="1" x="2278"/>
        <item m="1" x="4284"/>
        <item m="1" x="6298"/>
        <item m="1" x="6299"/>
        <item m="1" x="5872"/>
        <item m="1" x="2280"/>
        <item m="1" x="2262"/>
        <item m="1" x="5875"/>
        <item m="1" x="5876"/>
        <item m="1" x="6301"/>
        <item m="1" x="6304"/>
        <item m="1" x="6305"/>
        <item m="1" x="6306"/>
        <item m="1" x="4838"/>
        <item m="1" x="6308"/>
        <item m="1" x="5301"/>
        <item m="1" x="5299"/>
        <item m="1" x="6169"/>
        <item m="1" x="6309"/>
        <item m="1" x="6313"/>
        <item m="1" x="2731"/>
        <item m="1" x="4297"/>
        <item m="1" x="2039"/>
        <item m="1" x="5564"/>
        <item m="1" x="5569"/>
        <item m="1" x="3293"/>
        <item m="1" x="6194"/>
        <item m="1" x="6195"/>
        <item m="1" x="3299"/>
        <item m="1" x="6320"/>
        <item m="1" x="6321"/>
        <item m="1" x="6322"/>
        <item m="1" x="6323"/>
        <item m="1" x="6324"/>
        <item m="1" x="6325"/>
        <item m="1" x="6326"/>
        <item m="1" x="6327"/>
        <item m="1" x="5703"/>
        <item m="1" x="5907"/>
        <item m="1" x="5908"/>
        <item m="1" x="5909"/>
        <item m="1" x="5910"/>
        <item m="1" x="5912"/>
        <item m="1" x="5913"/>
        <item m="1" x="5917"/>
        <item m="1" x="5924"/>
        <item m="1" x="5925"/>
        <item m="1" x="5235"/>
        <item m="1" x="5926"/>
        <item m="1" x="5927"/>
        <item m="1" x="5928"/>
        <item m="1" x="5930"/>
        <item m="1" x="5792"/>
        <item m="1" x="6173"/>
        <item m="1" x="5800"/>
        <item m="1" x="5801"/>
        <item m="1" x="5802"/>
        <item m="1" x="5803"/>
        <item m="1" x="5805"/>
        <item m="1" x="5806"/>
        <item m="1" x="5807"/>
        <item m="1" x="5808"/>
        <item m="1" x="5809"/>
        <item m="1" x="5810"/>
        <item m="1" x="5811"/>
        <item m="1" x="5804"/>
        <item m="1" x="5935"/>
        <item m="1" x="5936"/>
        <item m="1" x="5937"/>
        <item m="1" x="6178"/>
        <item m="1" x="5946"/>
        <item m="1" x="5947"/>
        <item m="1" x="5949"/>
        <item m="1" x="5950"/>
        <item m="1" x="5951"/>
        <item m="1" x="5952"/>
        <item m="1" x="5953"/>
        <item m="1" x="5954"/>
        <item m="1" x="5955"/>
        <item m="1" x="5956"/>
        <item m="1" x="5959"/>
        <item m="1" x="6183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1"/>
        <item m="1" x="5814"/>
        <item m="1" x="5977"/>
        <item m="1" x="5978"/>
        <item m="1" x="5979"/>
        <item m="1" x="5980"/>
        <item m="1" x="5981"/>
        <item m="1" x="5985"/>
        <item m="1" x="5987"/>
        <item m="1" x="5988"/>
        <item m="1" x="5989"/>
        <item m="1" x="5747"/>
        <item m="1" x="6192"/>
        <item m="1" x="5990"/>
        <item m="1" x="5991"/>
        <item m="1" x="5992"/>
        <item m="1" x="5994"/>
        <item m="1" x="5995"/>
        <item m="1" x="5997"/>
        <item m="1" x="6193"/>
        <item m="1" x="5998"/>
        <item m="1" x="4846"/>
        <item m="1" x="5999"/>
        <item m="1" x="6000"/>
        <item m="1" x="6001"/>
        <item m="1" x="6002"/>
        <item m="1" x="6003"/>
        <item m="1" x="6008"/>
        <item m="1" x="6010"/>
        <item m="1" x="6022"/>
        <item m="1" x="6023"/>
        <item m="1" x="6024"/>
        <item m="1" x="6025"/>
        <item m="1" x="2292"/>
        <item m="1" x="6026"/>
        <item m="1" x="6027"/>
        <item m="1" x="6029"/>
        <item m="1" x="3668"/>
        <item m="1" x="3669"/>
        <item m="1" x="5825"/>
        <item m="1" x="3799"/>
        <item m="1" x="3797"/>
        <item m="1" x="3798"/>
        <item m="1" x="6049"/>
        <item m="1" x="6050"/>
        <item m="1" x="5830"/>
        <item m="1" x="6062"/>
        <item m="1" x="5849"/>
        <item m="1" x="5850"/>
        <item m="1" x="5851"/>
        <item m="1" x="6082"/>
        <item m="1" x="5857"/>
        <item m="1" x="6102"/>
        <item m="1" x="5863"/>
        <item m="1" x="2219"/>
        <item m="1" x="5278"/>
        <item m="1" x="6131"/>
        <item m="1" x="6134"/>
        <item m="1" x="6137"/>
        <item m="1" x="5868"/>
        <item m="1" x="6157"/>
        <item m="1" x="6167"/>
        <item m="1" x="6168"/>
        <item m="1" x="5305"/>
        <item m="1" x="3274"/>
        <item m="1" x="5553"/>
        <item m="1" x="5556"/>
        <item m="1" x="3286"/>
        <item m="1" x="5894"/>
        <item m="1" x="6186"/>
        <item m="1" x="6187"/>
        <item m="1" x="6188"/>
        <item m="1" x="5897"/>
        <item m="1" x="5570"/>
        <item m="1" x="2578"/>
        <item m="1" x="5789"/>
        <item m="1" x="5694"/>
        <item m="1" x="5790"/>
        <item m="1" x="5709"/>
        <item m="1" x="5710"/>
        <item m="1" x="5320"/>
        <item m="1" x="5334"/>
        <item m="1" x="5795"/>
        <item m="1" x="5796"/>
        <item m="1" x="5725"/>
        <item m="1" x="5731"/>
        <item m="1" x="5732"/>
        <item m="1" x="5812"/>
        <item m="1" x="5813"/>
        <item m="1" x="5741"/>
        <item m="1" x="5619"/>
        <item m="1" x="5620"/>
        <item m="1" x="5621"/>
        <item m="1" x="5617"/>
        <item m="1" x="5618"/>
        <item m="1" x="5744"/>
        <item m="1" x="5815"/>
        <item m="1" x="5408"/>
        <item m="1" x="5409"/>
        <item m="1" x="5648"/>
        <item m="1" x="5816"/>
        <item m="1" x="5817"/>
        <item m="1" x="5483"/>
        <item m="1" x="5818"/>
        <item m="1" x="5819"/>
        <item m="1" x="5820"/>
        <item m="1" x="2297"/>
        <item m="1" x="5823"/>
        <item m="1" x="5269"/>
        <item m="1" x="5270"/>
        <item m="1" x="5271"/>
        <item m="1" x="2397"/>
        <item m="1" x="5831"/>
        <item m="1" x="5832"/>
        <item m="1" x="5836"/>
        <item m="1" x="5852"/>
        <item m="1" x="5853"/>
        <item m="1" x="5768"/>
        <item m="1" x="5767"/>
        <item m="1" x="5273"/>
        <item m="1" x="5861"/>
        <item m="1" x="5862"/>
        <item m="1" x="5531"/>
        <item m="1" x="5867"/>
        <item m="1" x="2322"/>
        <item m="1" x="5290"/>
        <item m="1" x="2190"/>
        <item m="1" x="2191"/>
        <item m="1" x="5873"/>
        <item m="1" x="5877"/>
        <item m="1" x="5539"/>
        <item m="1" x="3252"/>
        <item m="1" x="3250"/>
        <item m="1" x="3251"/>
        <item m="1" x="5879"/>
        <item m="1" x="5880"/>
        <item m="1" x="5547"/>
        <item m="1" x="5881"/>
        <item m="1" x="5304"/>
        <item m="1" x="5882"/>
        <item m="1" x="5883"/>
        <item m="1" x="5884"/>
        <item m="1" x="5885"/>
        <item m="1" x="5886"/>
        <item m="1" x="3262"/>
        <item m="1" x="5551"/>
        <item m="1" x="5889"/>
        <item m="1" x="3697"/>
        <item m="1" x="5554"/>
        <item m="1" x="5893"/>
        <item m="1" x="5895"/>
        <item m="1" x="5901"/>
        <item m="1" x="5573"/>
        <item m="1" x="5905"/>
        <item m="1" x="5906"/>
        <item m="1" x="5695"/>
        <item m="1" x="5696"/>
        <item m="1" x="5697"/>
        <item m="1" x="5698"/>
        <item m="1" x="5699"/>
        <item m="1" x="5700"/>
        <item m="1" x="5702"/>
        <item m="1" x="5704"/>
        <item m="1" x="5705"/>
        <item m="1" x="5322"/>
        <item m="1" x="5711"/>
        <item m="1" x="5712"/>
        <item m="1" x="4828"/>
        <item m="1" x="5331"/>
        <item m="1" x="5332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6"/>
        <item m="1" x="5357"/>
        <item m="1" x="5727"/>
        <item m="1" x="5728"/>
        <item m="1" x="5729"/>
        <item m="1" x="5730"/>
        <item m="1" x="5733"/>
        <item m="1" x="5734"/>
        <item m="1" x="5735"/>
        <item m="1" x="5736"/>
        <item m="1" x="5737"/>
        <item m="1" x="5370"/>
        <item m="1" x="5379"/>
        <item m="1" x="5738"/>
        <item m="1" x="5390"/>
        <item m="1" x="5742"/>
        <item m="1" x="5743"/>
        <item m="1" x="5438"/>
        <item m="1" x="5745"/>
        <item m="1" x="5746"/>
        <item m="1" x="5748"/>
        <item m="1" x="5749"/>
        <item m="1" x="5750"/>
        <item m="1" x="5448"/>
        <item m="1" x="4844"/>
        <item m="1" x="5751"/>
        <item m="1" x="5752"/>
        <item m="1" x="5753"/>
        <item m="1" x="5754"/>
        <item m="1" x="5475"/>
        <item m="1" x="5755"/>
        <item m="1" x="5756"/>
        <item m="1" x="5476"/>
        <item m="1" x="5653"/>
        <item m="1" x="5654"/>
        <item m="1" x="5515"/>
        <item m="1" x="5757"/>
        <item m="1" x="5758"/>
        <item m="1" x="5759"/>
        <item m="1" x="5760"/>
        <item m="1" x="5762"/>
        <item m="1" x="5126"/>
        <item m="1" x="5130"/>
        <item m="1" x="4716"/>
        <item m="1" x="5765"/>
        <item m="1" x="5277"/>
        <item m="1" x="5281"/>
        <item m="1" x="2285"/>
        <item m="1" x="2286"/>
        <item m="1" x="5769"/>
        <item m="1" x="5770"/>
        <item m="1" x="5522"/>
        <item m="1" x="5771"/>
        <item m="1" x="2048"/>
        <item m="1" x="2181"/>
        <item m="1" x="4281"/>
        <item m="1" x="2179"/>
        <item m="1" x="2180"/>
        <item m="1" x="4289"/>
        <item m="1" x="5772"/>
        <item m="1" x="2287"/>
        <item m="1" x="2290"/>
        <item m="1" x="2288"/>
        <item m="1" x="2044"/>
        <item m="1" x="4290"/>
        <item m="1" x="5536"/>
        <item m="1" x="5537"/>
        <item m="1" x="3901"/>
        <item m="1" x="5540"/>
        <item m="1" x="5542"/>
        <item m="1" x="5543"/>
        <item x="14"/>
        <item m="1" x="5298"/>
        <item m="1" x="5302"/>
        <item m="1" x="5156"/>
        <item m="1" x="5775"/>
        <item m="1" x="5776"/>
        <item m="1" x="5777"/>
        <item m="1" x="5778"/>
        <item m="1" x="5779"/>
        <item m="1" x="5780"/>
        <item m="1" x="5781"/>
        <item m="1" x="5555"/>
        <item m="1" x="5562"/>
        <item m="1" x="5563"/>
        <item m="1" x="5565"/>
        <item m="1" x="5567"/>
        <item m="1" x="5786"/>
        <item m="1" x="5571"/>
        <item m="1" x="4813"/>
        <item m="1" x="5574"/>
        <item m="1" x="5787"/>
        <item m="1" x="4809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318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8"/>
        <item m="1" x="5321"/>
        <item m="1" x="5599"/>
        <item m="1" x="5600"/>
        <item m="1" x="4840"/>
        <item m="1" x="3830"/>
        <item m="1" x="5601"/>
        <item m="1" x="5602"/>
        <item m="1" x="5603"/>
        <item m="1" x="5604"/>
        <item m="1" x="5328"/>
        <item m="1" x="5243"/>
        <item m="1" x="5605"/>
        <item m="1" x="5606"/>
        <item m="1" x="2942"/>
        <item m="1" x="5607"/>
        <item m="1" x="5608"/>
        <item m="1" x="5609"/>
        <item m="1" x="5610"/>
        <item m="1" x="5611"/>
        <item m="1" x="5358"/>
        <item m="1" x="5364"/>
        <item m="1" x="5365"/>
        <item m="1" x="5612"/>
        <item m="1" x="5613"/>
        <item m="1" x="5614"/>
        <item m="1" x="5616"/>
        <item m="1" x="5378"/>
        <item m="1" x="5385"/>
        <item m="1" x="5394"/>
        <item m="1" x="5622"/>
        <item m="1" x="5623"/>
        <item m="1" x="5624"/>
        <item m="1" x="5625"/>
        <item m="1" x="5626"/>
        <item m="1" x="5627"/>
        <item m="1" x="5628"/>
        <item m="1" x="5410"/>
        <item m="1" x="5629"/>
        <item m="1" x="5411"/>
        <item m="1" x="5630"/>
        <item m="1" x="5401"/>
        <item m="1" x="5631"/>
        <item m="1" x="5412"/>
        <item m="1" x="5632"/>
        <item m="1" x="5633"/>
        <item m="1" x="5634"/>
        <item m="1" x="5635"/>
        <item m="1" x="5636"/>
        <item m="1" x="5395"/>
        <item m="1" x="5637"/>
        <item m="1" x="5416"/>
        <item m="1" x="5417"/>
        <item m="1" x="5432"/>
        <item m="1" x="5434"/>
        <item m="1" x="5435"/>
        <item m="1" x="4841"/>
        <item m="1" x="4842"/>
        <item m="1" x="5433"/>
        <item m="1" x="5638"/>
        <item m="1" x="5639"/>
        <item m="1" x="4843"/>
        <item m="1" x="4082"/>
        <item m="1" x="5436"/>
        <item m="1" x="5422"/>
        <item m="1" x="5640"/>
        <item m="1" x="5641"/>
        <item m="1" x="5642"/>
        <item m="1" x="5643"/>
        <item m="1" x="5644"/>
        <item m="1" x="5645"/>
        <item m="1" x="5443"/>
        <item m="1" x="5646"/>
        <item m="1" x="5647"/>
        <item m="1" x="5444"/>
        <item m="1" x="5445"/>
        <item m="1" x="5454"/>
        <item m="1" x="5455"/>
        <item m="1" x="5456"/>
        <item m="1" x="5457"/>
        <item m="1" x="5452"/>
        <item m="1" x="5453"/>
        <item m="1" x="5471"/>
        <item m="1" x="5461"/>
        <item m="1" x="5460"/>
        <item m="1" x="5649"/>
        <item m="1" x="5650"/>
        <item m="1" x="5651"/>
        <item m="1" x="5652"/>
        <item m="1" x="5474"/>
        <item m="1" x="5487"/>
        <item m="1" x="5486"/>
        <item m="1" x="5478"/>
        <item m="1" x="5484"/>
        <item m="1" x="5479"/>
        <item m="1" x="5485"/>
        <item m="1" x="5481"/>
        <item m="1" x="5482"/>
        <item m="1" x="5496"/>
        <item m="1" x="5497"/>
        <item m="1" x="5503"/>
        <item m="1" x="5655"/>
        <item m="1" x="5656"/>
        <item m="1" x="5498"/>
        <item m="1" x="5500"/>
        <item m="1" x="5508"/>
        <item m="1" x="5499"/>
        <item m="1" x="5501"/>
        <item m="1" x="5502"/>
        <item m="1" x="5504"/>
        <item m="1" x="5657"/>
        <item m="1" x="5658"/>
        <item m="1" x="5510"/>
        <item m="1" x="5511"/>
        <item m="1" x="5512"/>
        <item m="1" x="5513"/>
        <item m="1" x="5514"/>
        <item m="1" x="4309"/>
        <item m="1" x="5659"/>
        <item m="1" x="3185"/>
        <item m="1" x="5189"/>
        <item m="1" x="5660"/>
        <item m="1" x="5661"/>
        <item m="1" x="5518"/>
        <item m="1" x="5663"/>
        <item m="1" x="5664"/>
        <item m="1" x="5665"/>
        <item m="1" x="5666"/>
        <item m="1" x="4829"/>
        <item m="1" x="2150"/>
        <item m="1" x="5667"/>
        <item m="1" x="5668"/>
        <item m="1" x="2223"/>
        <item m="1" x="2215"/>
        <item m="1" x="2216"/>
        <item m="1" x="5669"/>
        <item m="1" x="5670"/>
        <item m="1" x="5671"/>
        <item m="1" x="2222"/>
        <item m="1" x="5274"/>
        <item m="1" x="5275"/>
        <item m="1" x="2244"/>
        <item m="1" x="2046"/>
        <item m="1" x="2047"/>
        <item m="1" x="3795"/>
        <item m="1" x="5672"/>
        <item m="1" x="5673"/>
        <item m="1" x="5674"/>
        <item m="1" x="5675"/>
        <item m="1" x="5676"/>
        <item m="1" x="5677"/>
        <item m="1" x="4718"/>
        <item m="1" x="5678"/>
        <item m="1" x="5679"/>
        <item m="1" x="5148"/>
        <item m="1" x="2168"/>
        <item m="1" x="2167"/>
        <item m="1" x="5680"/>
        <item m="1" x="2344"/>
        <item m="1" x="2440"/>
        <item m="1" x="2192"/>
        <item m="1" x="2707"/>
        <item m="1" x="2218"/>
        <item m="1" x="2185"/>
        <item m="1" x="5215"/>
        <item m="1" x="2315"/>
        <item m="1" x="4719"/>
        <item m="1" x="5681"/>
        <item m="1" x="3688"/>
        <item m="1" x="2139"/>
        <item m="1" x="5682"/>
        <item m="1" x="5545"/>
        <item m="1" x="5546"/>
        <item m="1" x="3254"/>
        <item m="1" x="5683"/>
        <item m="1" x="5684"/>
        <item m="1" x="5685"/>
        <item m="1" x="3263"/>
        <item m="1" x="4310"/>
        <item m="1" x="4311"/>
        <item m="1" x="5550"/>
        <item m="1" x="4830"/>
        <item m="1" x="5686"/>
        <item m="1" x="1318"/>
        <item m="1" x="5687"/>
        <item m="1" x="5688"/>
        <item m="1" x="5689"/>
        <item m="1" x="3816"/>
        <item m="1" x="5552"/>
        <item m="1" x="2193"/>
        <item m="1" x="2239"/>
        <item m="1" x="2289"/>
        <item m="1" x="4296"/>
        <item m="1" x="3281"/>
        <item m="1" x="5690"/>
        <item m="1" x="2300"/>
        <item m="1" x="3288"/>
        <item m="1" x="2947"/>
        <item m="1" x="3303"/>
        <item m="1" x="3304"/>
        <item m="1" x="5312"/>
        <item m="1" x="4851"/>
        <item m="1" x="4852"/>
        <item m="1" x="4853"/>
        <item m="1" x="5233"/>
        <item m="1" x="5313"/>
        <item m="1" x="5314"/>
        <item m="1" x="5315"/>
        <item m="1" x="5232"/>
        <item m="1" x="5316"/>
        <item m="1" x="5317"/>
        <item m="1" x="5319"/>
        <item m="1" x="3310"/>
        <item m="1" x="5239"/>
        <item m="1" x="5323"/>
        <item m="1" x="5240"/>
        <item m="1" x="5236"/>
        <item m="1" x="5324"/>
        <item m="1" x="5325"/>
        <item m="1" x="5326"/>
        <item m="1" x="5327"/>
        <item m="1" x="5336"/>
        <item m="1" x="5337"/>
        <item m="1" x="5338"/>
        <item m="1" x="5339"/>
        <item m="1" x="5340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4873"/>
        <item m="1" x="5354"/>
        <item m="1" x="5355"/>
        <item m="1" x="5356"/>
        <item m="1" x="4876"/>
        <item m="1" x="5359"/>
        <item m="1" x="5360"/>
        <item m="1" x="5361"/>
        <item m="1" x="5362"/>
        <item m="1" x="5363"/>
        <item m="1" x="5366"/>
        <item m="1" x="5367"/>
        <item m="1" x="5368"/>
        <item m="1" x="5251"/>
        <item m="1" x="5369"/>
        <item m="1" x="5371"/>
        <item m="1" x="5372"/>
        <item m="1" x="5373"/>
        <item m="1" x="5374"/>
        <item m="1" x="5375"/>
        <item m="1" x="5376"/>
        <item m="1" x="5377"/>
        <item m="1" x="5380"/>
        <item m="1" x="5381"/>
        <item m="1" x="5382"/>
        <item m="1" x="5383"/>
        <item m="1" x="5384"/>
        <item m="1" x="5386"/>
        <item m="1" x="5387"/>
        <item m="1" x="5388"/>
        <item m="1" x="5389"/>
        <item m="1" x="5391"/>
        <item m="1" x="5392"/>
        <item m="1" x="5393"/>
        <item m="1" x="4883"/>
        <item m="1" x="5396"/>
        <item m="1" x="5397"/>
        <item m="1" x="5398"/>
        <item m="1" x="5399"/>
        <item m="1" x="5400"/>
        <item m="1" x="5402"/>
        <item m="1" x="5403"/>
        <item m="1" x="5404"/>
        <item m="1" x="5405"/>
        <item m="1" x="5406"/>
        <item m="1" x="5407"/>
        <item m="1" x="5254"/>
        <item m="1" x="5413"/>
        <item m="1" x="5414"/>
        <item m="1" x="5415"/>
        <item m="1" x="5421"/>
        <item m="1" x="5423"/>
        <item m="1" x="5428"/>
        <item m="1" x="5431"/>
        <item m="1" x="5437"/>
        <item m="1" x="5259"/>
        <item m="1" x="5440"/>
        <item m="1" x="5441"/>
        <item m="1" x="5442"/>
        <item m="1" x="5446"/>
        <item m="1" x="5447"/>
        <item m="1" x="5449"/>
        <item m="1" x="5450"/>
        <item m="1" x="5451"/>
        <item m="1" x="4902"/>
        <item m="1" x="4903"/>
        <item m="1" x="5458"/>
        <item m="1" x="5459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260"/>
        <item m="1" x="5472"/>
        <item m="1" x="5473"/>
        <item m="1" x="5263"/>
        <item m="1" x="5477"/>
        <item m="1" x="4845"/>
        <item m="1" x="5480"/>
        <item m="1" x="4915"/>
        <item m="1" x="5488"/>
        <item m="1" x="5489"/>
        <item m="1" x="5490"/>
        <item m="1" x="5491"/>
        <item m="1" x="5492"/>
        <item m="1" x="5493"/>
        <item m="1" x="5494"/>
        <item m="1" x="5495"/>
        <item m="1" x="5505"/>
        <item m="1" x="5506"/>
        <item m="1" x="5507"/>
        <item m="1" x="5509"/>
        <item m="1" x="5266"/>
        <item m="1" x="4308"/>
        <item m="1" x="3188"/>
        <item m="1" x="2468"/>
        <item m="1" x="5516"/>
        <item m="1" x="5517"/>
        <item m="1" x="5519"/>
        <item m="1" x="2293"/>
        <item m="1" x="3886"/>
        <item m="1" x="2396"/>
        <item m="1" x="3888"/>
        <item m="1" x="5280"/>
        <item m="1" x="5279"/>
        <item m="1" x="5131"/>
        <item m="1" x="5521"/>
        <item m="1" x="5205"/>
        <item m="1" x="5523"/>
        <item m="1" x="4717"/>
        <item m="1" x="5524"/>
        <item m="1" x="2384"/>
        <item m="1" x="5525"/>
        <item m="1" x="5526"/>
        <item m="1" x="3789"/>
        <item m="1" x="5528"/>
        <item m="1" x="5529"/>
        <item m="1" x="5530"/>
        <item m="1" x="2402"/>
        <item m="1" x="2399"/>
        <item m="1" x="2400"/>
        <item m="1" x="2401"/>
        <item m="1" x="5208"/>
        <item m="1" x="2341"/>
        <item m="1" x="4737"/>
        <item m="1" x="2038"/>
        <item m="1" x="5533"/>
        <item m="1" x="5535"/>
        <item m="1" x="2213"/>
        <item m="1" x="3525"/>
        <item m="1" x="4847"/>
        <item m="1" x="4848"/>
        <item m="1" x="5538"/>
        <item m="1" x="5541"/>
        <item m="1" x="4849"/>
        <item m="1" x="4850"/>
        <item m="1" x="5544"/>
        <item m="1" x="4482"/>
        <item m="1" x="5151"/>
        <item m="1" x="5548"/>
        <item m="1" x="5549"/>
        <item m="1" x="5308"/>
        <item m="1" x="4739"/>
        <item m="1" x="4720"/>
        <item m="1" x="5226"/>
        <item m="1" x="4312"/>
        <item m="1" x="5557"/>
        <item m="1" x="5558"/>
        <item m="1" x="5559"/>
        <item m="1" x="5560"/>
        <item m="1" x="5561"/>
        <item m="1" x="5566"/>
        <item m="1" x="5311"/>
        <item m="1" x="5568"/>
        <item m="1" x="4490"/>
        <item m="1" x="5572"/>
        <item m="1" x="5575"/>
        <item m="1" x="5576"/>
        <item m="1" x="4491"/>
        <item m="1" x="4492"/>
        <item m="1" x="4493"/>
        <item m="1" x="5164"/>
        <item m="1" x="4854"/>
        <item m="1" x="4858"/>
        <item m="1" x="4859"/>
        <item m="1" x="4860"/>
        <item m="1" x="4862"/>
        <item m="1" x="4869"/>
        <item m="1" x="4867"/>
        <item m="1" x="4863"/>
        <item m="1" x="4864"/>
        <item m="1" x="4865"/>
        <item m="1" x="4866"/>
        <item m="1" x="2730"/>
        <item m="1" x="5237"/>
        <item m="1" x="5238"/>
        <item m="1" x="5241"/>
        <item m="1" x="5242"/>
        <item m="1" x="5064"/>
        <item m="1" x="5065"/>
        <item m="1" x="5244"/>
        <item m="1" x="5073"/>
        <item m="1" x="5074"/>
        <item m="1" x="5075"/>
        <item m="1" x="5245"/>
        <item m="1" x="5246"/>
        <item m="1" x="5247"/>
        <item m="1" x="5248"/>
        <item m="1" x="5249"/>
        <item m="1" x="5072"/>
        <item m="1" x="4725"/>
        <item m="1" x="5076"/>
        <item m="1" x="5250"/>
        <item m="1" x="5252"/>
        <item m="1" x="5253"/>
        <item m="1" x="4877"/>
        <item m="1" x="2639"/>
        <item m="1" x="5255"/>
        <item m="1" x="4882"/>
        <item m="1" x="5256"/>
        <item m="1" x="5257"/>
        <item m="1" x="5258"/>
        <item m="1" x="4476"/>
        <item m="1" x="5177"/>
        <item x="314"/>
        <item m="1" x="4892"/>
        <item m="1" x="4893"/>
        <item m="1" x="4894"/>
        <item m="1" x="4896"/>
        <item m="1" x="5179"/>
        <item m="1" x="4897"/>
        <item m="1" x="5180"/>
        <item m="1" x="2640"/>
        <item m="1" x="4908"/>
        <item m="1" x="4909"/>
        <item m="1" x="4910"/>
        <item m="1" x="4911"/>
        <item m="1" x="4905"/>
        <item m="1" x="4906"/>
        <item m="1" x="5261"/>
        <item m="1" x="5262"/>
        <item m="1" x="4913"/>
        <item m="1" x="3994"/>
        <item m="1" x="5264"/>
        <item m="1" x="4477"/>
        <item m="1" x="4478"/>
        <item m="1" x="4105"/>
        <item m="1" x="3758"/>
        <item m="1" x="5265"/>
        <item m="1" x="4914"/>
        <item m="1" x="4916"/>
        <item m="1" x="4917"/>
        <item m="1" x="4918"/>
        <item m="1" x="4922"/>
        <item m="1" x="4923"/>
        <item m="1" x="4479"/>
        <item m="1" x="2342"/>
        <item m="1" x="5267"/>
        <item m="1" x="5268"/>
        <item m="1" x="4732"/>
        <item m="1" x="4733"/>
        <item m="1" x="5127"/>
        <item m="1" x="5125"/>
        <item m="1" x="5124"/>
        <item m="1" x="5128"/>
        <item m="1" x="5272"/>
        <item m="1" x="4734"/>
        <item m="1" x="5193"/>
        <item m="1" x="4480"/>
        <item m="1" x="5129"/>
        <item m="1" x="5138"/>
        <item m="1" x="5140"/>
        <item m="1" x="5143"/>
        <item m="1" x="5144"/>
        <item m="1" x="5139"/>
        <item m="1" x="5142"/>
        <item m="1" x="5141"/>
        <item m="1" x="5132"/>
        <item m="1" x="5282"/>
        <item m="1" x="2357"/>
        <item m="1" x="2360"/>
        <item m="1" x="4172"/>
        <item m="1" x="5283"/>
        <item m="1" x="5284"/>
        <item m="1" x="2375"/>
        <item m="1" x="2403"/>
        <item m="1" x="2398"/>
        <item m="1" x="5285"/>
        <item m="1" x="5286"/>
        <item m="1" x="5287"/>
        <item m="1" x="5288"/>
        <item m="1" x="5289"/>
        <item m="1" x="5147"/>
        <item m="1" x="5210"/>
        <item m="1" x="3423"/>
        <item m="1" x="5291"/>
        <item m="1" x="4481"/>
        <item m="1" x="5214"/>
        <item m="1" x="2245"/>
        <item m="1" x="2182"/>
        <item m="1" x="5216"/>
        <item m="1" x="3922"/>
        <item m="1" x="5294"/>
        <item m="1" x="5295"/>
        <item m="1" x="5296"/>
        <item m="1" x="5297"/>
        <item m="1" x="5300"/>
        <item m="1" x="5303"/>
        <item m="1" x="4487"/>
        <item m="1" x="4486"/>
        <item m="1" x="4488"/>
        <item m="1" x="5309"/>
        <item m="1" x="4489"/>
        <item m="1" x="5310"/>
        <item m="1" x="4740"/>
        <item m="1" x="4484"/>
        <item m="1" x="4485"/>
        <item m="1" x="4483"/>
        <item m="1" x="3953"/>
        <item m="1" x="3290"/>
        <item m="1" x="5162"/>
        <item m="1" x="3974"/>
        <item m="1" x="3975"/>
        <item m="1" x="4494"/>
        <item m="1" x="4200"/>
        <item m="1" x="4868"/>
        <item m="1" x="4861"/>
        <item m="1" x="5165"/>
        <item m="1" x="5166"/>
        <item m="1" x="4872"/>
        <item m="1" x="4875"/>
        <item m="1" x="5167"/>
        <item m="1" x="5082"/>
        <item m="1" x="5080"/>
        <item m="1" x="5168"/>
        <item m="1" x="5169"/>
        <item m="1" x="5170"/>
        <item m="1" x="5081"/>
        <item m="1" x="5071"/>
        <item m="1" x="5085"/>
        <item m="1" x="5068"/>
        <item m="1" x="5086"/>
        <item m="1" x="5171"/>
        <item m="1" x="4878"/>
        <item m="1" x="5172"/>
        <item m="1" x="5173"/>
        <item m="1" x="5174"/>
        <item m="1" x="5175"/>
        <item m="1" x="5176"/>
        <item m="1" x="5089"/>
        <item m="1" x="4879"/>
        <item m="1" x="4890"/>
        <item m="1" x="4887"/>
        <item m="1" x="4888"/>
        <item m="1" x="4889"/>
        <item m="1" x="5106"/>
        <item m="1" x="5099"/>
        <item m="1" x="5100"/>
        <item m="1" x="5101"/>
        <item m="1" x="5102"/>
        <item m="1" x="5103"/>
        <item m="1" x="5104"/>
        <item m="1" x="5105"/>
        <item m="1" x="5098"/>
        <item m="1" x="4884"/>
        <item m="1" x="4895"/>
        <item m="1" x="5108"/>
        <item m="1" x="5178"/>
        <item m="1" x="4898"/>
        <item m="1" x="4899"/>
        <item m="1" x="5181"/>
        <item m="1" x="4900"/>
        <item m="1" x="4912"/>
        <item m="1" x="5182"/>
        <item m="1" x="5183"/>
        <item m="1" x="4904"/>
        <item m="1" x="5110"/>
        <item m="1" x="5184"/>
        <item m="1" x="5185"/>
        <item m="1" x="5186"/>
        <item m="1" x="5115"/>
        <item m="1" x="5111"/>
        <item m="1" x="5112"/>
        <item m="1" x="5114"/>
        <item m="1" x="5113"/>
        <item m="1" x="4305"/>
        <item m="1" x="4304"/>
        <item m="1" x="4226"/>
        <item m="1" x="4518"/>
        <item m="1" x="4227"/>
        <item m="1" x="4303"/>
        <item m="1" x="4228"/>
        <item m="1" x="4306"/>
        <item m="1" x="4307"/>
        <item m="1" x="5187"/>
        <item m="1" x="5117"/>
        <item m="1" x="4920"/>
        <item m="1" x="5119"/>
        <item m="1" x="5188"/>
        <item m="1" x="3189"/>
        <item m="1" x="3405"/>
        <item m="1" x="5190"/>
        <item m="1" x="4730"/>
        <item m="1" x="5121"/>
        <item m="1" x="4525"/>
        <item m="1" x="4731"/>
        <item m="1" x="5191"/>
        <item m="1" x="4924"/>
        <item m="1" x="2370"/>
        <item m="1" x="2214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4328"/>
        <item m="1" x="2064"/>
        <item m="1" x="1928"/>
        <item m="1" x="4735"/>
        <item m="1" x="2406"/>
        <item m="1" x="2405"/>
        <item m="1" x="5206"/>
        <item m="1" x="5207"/>
        <item m="1" x="5209"/>
        <item m="1" x="4528"/>
        <item m="1" x="5211"/>
        <item m="1" x="5149"/>
        <item m="1" x="5213"/>
        <item m="1" x="3913"/>
        <item m="1" x="5217"/>
        <item m="1" x="3928"/>
        <item m="1" x="3931"/>
        <item m="1" x="3258"/>
        <item m="1" x="3938"/>
        <item m="1" x="5218"/>
        <item m="1" x="4741"/>
        <item m="1" x="5219"/>
        <item m="1" x="5220"/>
        <item m="1" x="5221"/>
        <item m="1" x="5222"/>
        <item m="1" x="5223"/>
        <item m="1" x="5224"/>
        <item m="1" x="5225"/>
        <item m="1" x="4536"/>
        <item m="1" x="4742"/>
        <item m="1" x="3277"/>
        <item m="1" x="3951"/>
        <item m="1" x="3954"/>
        <item m="1" x="3284"/>
        <item m="1" x="5158"/>
        <item m="1" x="3961"/>
        <item m="1" x="3963"/>
        <item m="1" x="3964"/>
        <item m="1" x="5159"/>
        <item m="1" x="3289"/>
        <item m="1" x="5161"/>
        <item m="1" x="5227"/>
        <item m="1" x="5163"/>
        <item m="1" x="3976"/>
        <item m="1" x="5228"/>
        <item m="1" x="5229"/>
        <item m="1" x="5230"/>
        <item m="1" x="5231"/>
        <item m="1" x="3980"/>
        <item m="1" x="3296"/>
        <item m="1" x="3988"/>
        <item m="1" x="3989"/>
        <item m="1" x="3990"/>
        <item m="1" x="4497"/>
        <item m="1" x="4495"/>
        <item m="1" x="4496"/>
        <item m="1" x="4931"/>
        <item m="1" x="4855"/>
        <item m="1" x="4856"/>
        <item m="1" x="4857"/>
        <item m="1" x="5063"/>
        <item m="1" x="4937"/>
        <item m="1" x="4938"/>
        <item m="1" x="4499"/>
        <item m="1" x="4870"/>
        <item m="1" x="4871"/>
        <item m="1" x="4504"/>
        <item m="1" x="2625"/>
        <item m="1" x="5066"/>
        <item m="1" x="5067"/>
        <item m="1" x="5069"/>
        <item m="1" x="5070"/>
        <item m="1" x="4726"/>
        <item m="1" x="5077"/>
        <item m="1" x="5078"/>
        <item m="1" x="5079"/>
        <item m="1" x="5083"/>
        <item m="1" x="5084"/>
        <item m="1" x="4728"/>
        <item m="1" x="5087"/>
        <item m="1" x="5088"/>
        <item m="1" x="4881"/>
        <item m="1" x="4880"/>
        <item m="1" x="5090"/>
        <item m="1" x="5091"/>
        <item m="1" x="5092"/>
        <item m="1" x="5093"/>
        <item m="1" x="5094"/>
        <item m="1" x="4951"/>
        <item m="1" x="4952"/>
        <item m="1" x="4963"/>
        <item m="1" x="4969"/>
        <item m="1" x="4970"/>
        <item m="1" x="5095"/>
        <item m="1" x="5096"/>
        <item m="1" x="5097"/>
        <item m="1" x="5107"/>
        <item m="1" x="1578"/>
        <item m="1" x="4885"/>
        <item m="1" x="4886"/>
        <item m="1" x="4891"/>
        <item m="1" x="4976"/>
        <item m="1" x="4994"/>
        <item m="1" x="5109"/>
        <item m="1" x="4985"/>
        <item m="1" x="4901"/>
        <item m="1" x="4988"/>
        <item m="1" x="4907"/>
        <item m="1" x="4229"/>
        <item m="1" x="5116"/>
        <item m="1" x="4230"/>
        <item m="1" x="4231"/>
        <item m="1" x="3757"/>
        <item m="1" x="4215"/>
        <item m="1" x="4103"/>
        <item m="1" x="4251"/>
        <item m="1" x="4125"/>
        <item m="1" x="4212"/>
        <item m="1" x="4213"/>
        <item m="1" x="4214"/>
        <item m="1" x="4519"/>
        <item m="1" x="4919"/>
        <item m="1" x="5047"/>
        <item m="1" x="5054"/>
        <item m="1" x="4921"/>
        <item m="1" x="5118"/>
        <item m="1" x="5052"/>
        <item m="1" x="5120"/>
        <item m="1" x="5122"/>
        <item m="1" x="5123"/>
        <item m="1" x="2233"/>
        <item m="1" x="4526"/>
        <item m="1" x="4327"/>
        <item m="1" x="5133"/>
        <item m="1" x="5134"/>
        <item m="1" x="5135"/>
        <item m="1" x="5136"/>
        <item m="1" x="2673"/>
        <item m="1" x="5145"/>
        <item m="1" x="2119"/>
        <item m="1" x="4157"/>
        <item m="1" x="2362"/>
        <item m="1" x="5146"/>
        <item m="1" x="2320"/>
        <item m="1" x="4399"/>
        <item m="1" x="3686"/>
        <item m="1" x="2699"/>
        <item m="1" x="5150"/>
        <item m="1" x="3902"/>
        <item m="1" x="3923"/>
        <item m="1" x="5152"/>
        <item m="1" x="5153"/>
        <item m="1" x="5154"/>
        <item m="1" x="4533"/>
        <item m="1" x="5155"/>
        <item m="1" x="5028"/>
        <item m="1" x="2303"/>
        <item m="1" x="5157"/>
        <item m="1" x="5160"/>
        <item m="1" x="3981"/>
        <item m="1" x="5036"/>
        <item m="1" x="4743"/>
        <item m="1" x="4874"/>
        <item m="1" x="4925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3321"/>
        <item m="1" x="4501"/>
        <item m="1" x="4502"/>
        <item m="1" x="4503"/>
        <item m="1" x="4722"/>
        <item m="1" x="4948"/>
        <item m="1" x="4507"/>
        <item m="1" x="4949"/>
        <item m="1" x="4320"/>
        <item m="1" x="4723"/>
        <item m="1" x="4724"/>
        <item m="1" x="4950"/>
        <item m="1" x="3346"/>
        <item m="1" x="4727"/>
        <item m="1" x="4764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4"/>
        <item m="1" x="4965"/>
        <item m="1" x="4966"/>
        <item m="1" x="4967"/>
        <item m="1" x="4968"/>
        <item m="1" x="4971"/>
        <item m="1" x="4972"/>
        <item m="1" x="4973"/>
        <item m="1" x="4974"/>
        <item m="1" x="4975"/>
        <item m="1" x="4977"/>
        <item m="1" x="4978"/>
        <item m="1" x="4979"/>
        <item m="1" x="4980"/>
        <item m="1" x="4981"/>
        <item m="1" x="4982"/>
        <item m="1" x="4983"/>
        <item m="1" x="4984"/>
        <item m="1" x="4986"/>
        <item m="1" x="4987"/>
        <item m="1" x="4989"/>
        <item m="1" x="4990"/>
        <item m="1" x="4991"/>
        <item m="1" x="4992"/>
        <item m="1" x="4993"/>
        <item m="1" x="4995"/>
        <item m="1" x="4104"/>
        <item m="1" x="4237"/>
        <item m="1" x="3753"/>
        <item m="1" x="4235"/>
        <item m="1" x="4236"/>
        <item m="1" x="4223"/>
        <item m="1" x="4224"/>
        <item m="1" x="4225"/>
        <item m="1" x="4216"/>
        <item m="1" x="4217"/>
        <item m="1" x="4218"/>
        <item m="1" x="4219"/>
        <item m="1" x="4220"/>
        <item m="1" x="4221"/>
        <item m="1" x="4222"/>
        <item m="1" x="4233"/>
        <item m="1" x="4234"/>
        <item m="1" x="4238"/>
        <item m="1" x="4232"/>
        <item m="1" x="4996"/>
        <item m="1" x="4997"/>
        <item m="1" x="4998"/>
        <item m="1" x="4520"/>
        <item m="1" x="4729"/>
        <item m="1" x="4999"/>
        <item m="1" x="4521"/>
        <item m="1" x="4522"/>
        <item m="1" x="4523"/>
        <item m="1" x="4524"/>
        <item m="1" x="5000"/>
        <item m="1" x="5001"/>
        <item m="1" x="5002"/>
        <item m="1" x="5003"/>
        <item m="1" x="5004"/>
        <item m="1" x="5005"/>
        <item m="1" x="2249"/>
        <item m="1" x="5006"/>
        <item m="1" x="5007"/>
        <item m="1" x="4771"/>
        <item m="1" x="4772"/>
        <item m="1" x="2306"/>
        <item m="1" x="5008"/>
        <item m="1" x="5009"/>
        <item m="1" x="5010"/>
        <item m="1" x="4398"/>
        <item m="1" x="2394"/>
        <item m="1" x="5011"/>
        <item m="1" x="4775"/>
        <item m="1" x="5012"/>
        <item m="1" x="5013"/>
        <item m="1" x="5014"/>
        <item m="1" x="2568"/>
        <item m="1" x="4736"/>
        <item m="1" x="2395"/>
        <item m="1" x="2126"/>
        <item m="1" x="5015"/>
        <item m="1" x="2404"/>
        <item m="1" x="4779"/>
        <item m="1" x="5016"/>
        <item m="1" x="2391"/>
        <item m="1" x="5017"/>
        <item m="1" x="4798"/>
        <item m="1" x="5018"/>
        <item m="1" x="5019"/>
        <item m="1" x="3806"/>
        <item m="1" x="4738"/>
        <item m="1" x="5020"/>
        <item m="1" x="5021"/>
        <item m="1" x="5022"/>
        <item m="1" x="5023"/>
        <item m="1" x="5024"/>
        <item m="1" x="2125"/>
        <item m="1" x="5025"/>
        <item m="1" x="4532"/>
        <item m="1" x="5026"/>
        <item m="1" x="4329"/>
        <item m="1" x="1875"/>
        <item m="1" x="5027"/>
        <item m="1" x="2077"/>
        <item m="1" x="4537"/>
        <item m="1" x="2943"/>
        <item m="1" x="5029"/>
        <item m="1" x="5030"/>
        <item m="1" x="5031"/>
        <item m="1" x="5032"/>
        <item m="1" x="5033"/>
        <item m="1" x="5034"/>
        <item m="1" x="5035"/>
        <item m="1" x="4758"/>
        <item m="1" x="5037"/>
        <item m="1" x="5038"/>
        <item m="1" x="5039"/>
        <item m="1" x="5040"/>
        <item m="1" x="5041"/>
        <item m="1" x="5042"/>
        <item m="1" x="5043"/>
        <item m="1" x="5044"/>
        <item m="1" x="3876"/>
        <item m="1" x="5045"/>
        <item m="1" x="5046"/>
        <item m="1" x="5048"/>
        <item m="1" x="5049"/>
        <item m="1" x="5050"/>
        <item m="1" x="5051"/>
        <item m="1" x="5053"/>
        <item m="1" x="5055"/>
        <item m="1" x="5056"/>
        <item m="1" x="5057"/>
        <item m="1" x="5058"/>
        <item m="1" x="5059"/>
        <item m="1" x="5060"/>
        <item m="1" x="5061"/>
        <item m="1" x="5062"/>
        <item m="1" x="4810"/>
        <item m="1" x="4811"/>
        <item m="1" x="4812"/>
        <item m="1" x="4706"/>
        <item m="1" x="4814"/>
        <item m="1" x="4815"/>
        <item m="1" x="3256"/>
        <item m="1" x="4707"/>
        <item m="1" x="4816"/>
        <item m="1" x="4708"/>
        <item m="1" x="4709"/>
        <item m="1" x="4710"/>
        <item m="1" x="2040"/>
        <item m="1" x="4817"/>
        <item m="1" x="4818"/>
        <item m="1" x="4819"/>
        <item m="1" x="4711"/>
        <item m="1" x="4820"/>
        <item m="1" x="4821"/>
        <item m="1" x="4822"/>
        <item m="1" x="4823"/>
        <item m="1" x="4824"/>
        <item m="1" x="4825"/>
        <item m="1" x="4826"/>
        <item m="1" x="4827"/>
        <item m="1" x="4721"/>
        <item m="1" x="4506"/>
        <item m="1" x="4316"/>
        <item m="1" x="4317"/>
        <item m="1" x="4744"/>
        <item m="1" x="4745"/>
        <item m="1" x="2607"/>
        <item m="1" x="4746"/>
        <item m="1" x="4747"/>
        <item m="1" x="4748"/>
        <item m="1" x="4749"/>
        <item m="1" x="4313"/>
        <item m="1" x="4314"/>
        <item m="1" x="4540"/>
        <item m="1" x="4541"/>
        <item m="1" x="4542"/>
        <item m="1" x="4544"/>
        <item m="1" x="4545"/>
        <item m="1" x="4546"/>
        <item m="1" x="4547"/>
        <item m="1" x="4548"/>
        <item m="1" x="4543"/>
        <item m="1" x="4498"/>
        <item m="1" x="4750"/>
        <item m="1" x="4500"/>
        <item m="1" x="4751"/>
        <item m="1" x="4752"/>
        <item m="1" x="3097"/>
        <item m="1" x="4753"/>
        <item m="1" x="4754"/>
        <item m="1" x="4755"/>
        <item m="1" x="3332"/>
        <item m="1" x="4756"/>
        <item m="1" x="4757"/>
        <item m="1" x="4505"/>
        <item m="1" x="4315"/>
        <item m="1" x="3831"/>
        <item m="1" x="4549"/>
        <item m="1" x="4551"/>
        <item m="1" x="1981"/>
        <item m="1" x="4759"/>
        <item m="1" x="4508"/>
        <item m="1" x="4509"/>
        <item m="1" x="4760"/>
        <item m="1" x="4761"/>
        <item m="1" x="4762"/>
        <item m="1" x="4763"/>
        <item m="1" x="4765"/>
        <item m="1" x="4766"/>
        <item m="1" x="3858"/>
        <item m="1" x="4767"/>
        <item m="1" x="4583"/>
        <item m="1" x="4584"/>
        <item m="1" x="4516"/>
        <item m="1" x="4566"/>
        <item m="1" x="4517"/>
        <item m="1" x="4081"/>
        <item m="1" x="4575"/>
        <item m="1" x="3869"/>
        <item m="1" x="4589"/>
        <item m="1" x="4590"/>
        <item m="1" x="4080"/>
        <item m="1" x="4593"/>
        <item m="1" x="4596"/>
        <item m="1" x="4597"/>
        <item m="1" x="4598"/>
        <item m="1" x="4599"/>
        <item m="1" x="4510"/>
        <item m="1" x="4511"/>
        <item m="1" x="4512"/>
        <item m="1" x="4513"/>
        <item m="1" x="4768"/>
        <item m="1" x="4514"/>
        <item m="1" x="4515"/>
        <item m="1" x="4239"/>
        <item m="1" x="4605"/>
        <item m="1" x="4611"/>
        <item m="1" x="4642"/>
        <item m="1" x="4644"/>
        <item m="1" x="4538"/>
        <item m="1" x="2174"/>
        <item m="1" x="3663"/>
        <item m="1" x="3666"/>
        <item m="1" x="4769"/>
        <item m="1" x="4770"/>
        <item m="1" x="2992"/>
        <item m="1" x="4773"/>
        <item m="1" x="2697"/>
        <item m="1" x="2698"/>
        <item m="1" x="4527"/>
        <item m="1" x="4774"/>
        <item m="1" x="4776"/>
        <item m="1" x="4777"/>
        <item m="1" x="4778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2041"/>
        <item m="1" x="4795"/>
        <item m="1" x="4796"/>
        <item m="1" x="4797"/>
        <item m="1" x="4799"/>
        <item m="1" x="4800"/>
        <item m="1" x="4801"/>
        <item m="1" x="4802"/>
        <item m="1" x="4803"/>
        <item m="1" x="3019"/>
        <item m="1" x="3020"/>
        <item m="1" x="2708"/>
        <item m="1" x="4804"/>
        <item m="1" x="3900"/>
        <item m="1" x="3905"/>
        <item m="1" x="3909"/>
        <item m="1" x="3910"/>
        <item m="1" x="3911"/>
        <item m="1" x="3906"/>
        <item m="1" x="2548"/>
        <item m="1" x="3914"/>
        <item m="1" x="4529"/>
        <item m="1" x="3929"/>
        <item m="1" x="3930"/>
        <item m="1" x="4530"/>
        <item m="1" x="4531"/>
        <item m="1" x="3932"/>
        <item m="1" x="2343"/>
        <item m="1" x="4535"/>
        <item m="1" x="4534"/>
        <item m="1" x="4805"/>
        <item m="1" x="4806"/>
        <item m="1" x="2301"/>
        <item m="1" x="4807"/>
        <item m="1" x="3952"/>
        <item m="1" x="3957"/>
        <item m="1" x="2547"/>
        <item m="1" x="3959"/>
        <item m="1" x="2944"/>
        <item m="1" x="3960"/>
        <item m="1" x="3962"/>
        <item m="1" x="3965"/>
        <item m="1" x="3969"/>
        <item m="1" x="3971"/>
        <item m="1" x="3978"/>
        <item m="1" x="3979"/>
        <item m="1" x="3984"/>
        <item m="1" x="3294"/>
        <item m="1" x="3295"/>
        <item m="1" x="3985"/>
        <item m="1" x="3300"/>
        <item m="1" x="4808"/>
        <item m="1" x="4331"/>
        <item m="1" x="4332"/>
        <item m="1" x="4333"/>
        <item m="1" x="4334"/>
        <item m="1" x="4335"/>
        <item m="1" x="4336"/>
        <item m="1" x="4337"/>
        <item m="1" x="4539"/>
        <item m="1" x="4343"/>
        <item m="1" x="4550"/>
        <item m="1" x="4552"/>
        <item m="1" x="4318"/>
        <item m="1" x="4553"/>
        <item m="1" x="4554"/>
        <item m="1" x="4555"/>
        <item m="1" x="3726"/>
        <item m="1" x="3322"/>
        <item m="1" x="4556"/>
        <item m="1" x="4557"/>
        <item m="1" x="4558"/>
        <item m="1" x="4559"/>
        <item m="1" x="4560"/>
        <item m="1" x="4561"/>
        <item m="1" x="4321"/>
        <item m="1" x="4562"/>
        <item m="1" x="4563"/>
        <item x="339"/>
        <item m="1" x="4564"/>
        <item m="1" x="4322"/>
        <item m="1" x="4565"/>
        <item m="1" x="3866"/>
        <item m="1" x="4567"/>
        <item m="1" x="4323"/>
        <item m="1" x="4062"/>
        <item m="1" x="4568"/>
        <item x="340"/>
        <item m="1" x="4569"/>
        <item m="1" x="4570"/>
        <item m="1" x="3629"/>
        <item m="1" x="2799"/>
        <item m="1" x="4571"/>
        <item m="1" x="4077"/>
        <item m="1" x="4075"/>
        <item m="1" x="4078"/>
        <item m="1" x="4072"/>
        <item m="1" x="4073"/>
        <item m="1" x="4074"/>
        <item m="1" x="4572"/>
        <item m="1" x="4573"/>
        <item m="1" x="4574"/>
        <item m="1" x="4576"/>
        <item m="1" x="4577"/>
        <item m="1" x="4578"/>
        <item m="1" x="4579"/>
        <item m="1" x="4580"/>
        <item m="1" x="4581"/>
        <item m="1" x="4582"/>
        <item m="1" x="4585"/>
        <item m="1" x="4586"/>
        <item m="1" x="4587"/>
        <item m="1" x="4588"/>
        <item m="1" x="4324"/>
        <item m="1" x="4591"/>
        <item m="1" x="4592"/>
        <item m="1" x="4594"/>
        <item m="1" x="3366"/>
        <item m="1" x="4595"/>
        <item m="1" x="4600"/>
        <item m="1" x="4601"/>
        <item m="1" x="4602"/>
        <item m="1" x="4603"/>
        <item m="1" x="3998"/>
        <item m="1" x="4242"/>
        <item m="1" x="4240"/>
        <item m="1" x="4241"/>
        <item m="1" x="4112"/>
        <item m="1" x="4110"/>
        <item m="1" x="4111"/>
        <item m="1" x="3754"/>
        <item m="1" x="4245"/>
        <item m="1" x="3755"/>
        <item m="1" x="3756"/>
        <item m="1" x="4244"/>
        <item m="1" x="4243"/>
        <item m="1" x="4113"/>
        <item m="1" x="4114"/>
        <item m="1" x="4604"/>
        <item m="1" x="4606"/>
        <item m="1" x="4607"/>
        <item m="1" x="4608"/>
        <item m="1" x="4609"/>
        <item m="1" x="3873"/>
        <item m="1" x="4610"/>
        <item m="1" x="4612"/>
        <item m="1" x="4613"/>
        <item m="1" x="4614"/>
        <item m="1" x="4126"/>
        <item m="1" x="4127"/>
        <item m="1" x="4615"/>
        <item m="1" x="4616"/>
        <item m="1" x="4617"/>
        <item m="1" x="4618"/>
        <item m="1" x="4619"/>
        <item m="1" x="4620"/>
        <item m="1" x="4621"/>
        <item m="1" x="3885"/>
        <item m="1" x="3884"/>
        <item m="1" x="4622"/>
        <item m="1" x="4623"/>
        <item m="1" x="4624"/>
        <item m="1" x="4326"/>
        <item m="1" x="2122"/>
        <item m="1" x="2169"/>
        <item m="1" x="2368"/>
        <item m="1" x="3680"/>
        <item m="1" x="4625"/>
        <item m="1" x="4626"/>
        <item m="1" x="4627"/>
        <item m="1" x="2058"/>
        <item m="1" x="4395"/>
        <item m="1" x="4396"/>
        <item m="1" x="4628"/>
        <item m="1" x="3248"/>
        <item m="1" x="3903"/>
        <item m="1" x="3907"/>
        <item m="1" x="3908"/>
        <item m="1" x="3916"/>
        <item m="1" x="3920"/>
        <item m="1" x="3924"/>
        <item m="1" x="3936"/>
        <item m="1" x="4629"/>
        <item m="1" x="3260"/>
        <item m="1" x="3261"/>
        <item m="1" x="4426"/>
        <item m="1" x="4427"/>
        <item m="1" x="4630"/>
        <item m="1" x="4631"/>
        <item m="1" x="4632"/>
        <item m="1" x="4423"/>
        <item m="1" x="4424"/>
        <item m="1" x="4633"/>
        <item m="1" x="4634"/>
        <item m="1" x="4635"/>
        <item m="1" x="4636"/>
        <item m="1" x="4430"/>
        <item m="1" x="4637"/>
        <item m="1" x="4420"/>
        <item m="1" x="4638"/>
        <item m="1" x="4419"/>
        <item m="1" x="4421"/>
        <item m="1" x="4422"/>
        <item m="1" x="4639"/>
        <item m="1" x="4640"/>
        <item m="1" x="3956"/>
        <item m="1" x="3958"/>
        <item m="1" x="3970"/>
        <item m="1" x="4330"/>
        <item m="1" x="2131"/>
        <item m="1" x="3987"/>
        <item m="1" x="3995"/>
        <item m="1" x="2948"/>
        <item m="1" x="4641"/>
        <item m="1" x="4643"/>
        <item m="1" x="4645"/>
        <item m="1" x="4646"/>
        <item m="1" x="4647"/>
        <item m="1" x="4648"/>
        <item m="1" x="4348"/>
        <item m="1" x="4346"/>
        <item m="1" x="4347"/>
        <item m="1" x="4351"/>
        <item m="1" x="4649"/>
        <item m="1" x="4650"/>
        <item m="1" x="4651"/>
        <item m="1" x="4652"/>
        <item m="1" x="4653"/>
        <item m="1" x="4362"/>
        <item m="1" x="4654"/>
        <item m="1" x="4655"/>
        <item m="1" x="4373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076"/>
        <item m="1" x="4198"/>
        <item m="1" x="4670"/>
        <item m="1" x="4671"/>
        <item m="1" x="4672"/>
        <item m="1" x="4673"/>
        <item m="1" x="4674"/>
        <item m="1" x="4675"/>
        <item m="1" x="4382"/>
        <item m="1" x="4676"/>
        <item m="1" x="4385"/>
        <item m="1" x="2338"/>
        <item m="1" x="4677"/>
        <item m="1" x="2294"/>
        <item m="1" x="4678"/>
        <item m="1" x="4679"/>
        <item m="1" x="4680"/>
        <item m="1" x="4681"/>
        <item m="1" x="4682"/>
        <item m="1" x="2393"/>
        <item m="1" x="4416"/>
        <item m="1" x="4683"/>
        <item m="1" x="4684"/>
        <item m="1" x="4685"/>
        <item m="1" x="4411"/>
        <item m="1" x="4410"/>
        <item m="1" x="4686"/>
        <item m="1" x="4412"/>
        <item m="1" x="4406"/>
        <item m="1" x="4687"/>
        <item m="1" x="4260"/>
        <item m="1" x="4688"/>
        <item m="1" x="4471"/>
        <item m="1" x="4470"/>
        <item m="1" x="3210"/>
        <item m="1" x="4689"/>
        <item m="1" x="4690"/>
        <item m="1" x="4691"/>
        <item m="1" x="4692"/>
        <item m="1" x="4277"/>
        <item m="1" x="4693"/>
        <item m="1" x="4694"/>
        <item m="1" x="4417"/>
        <item m="1" x="2163"/>
        <item m="1" x="2340"/>
        <item m="1" x="3925"/>
        <item m="1" x="4695"/>
        <item m="1" x="4696"/>
        <item m="1" x="2462"/>
        <item m="1" x="2463"/>
        <item m="1" x="2464"/>
        <item m="1" x="2465"/>
        <item m="1" x="3935"/>
        <item m="1" x="3937"/>
        <item m="1" x="4697"/>
        <item m="1" x="4698"/>
        <item m="1" x="4699"/>
        <item m="1" x="4700"/>
        <item m="1" x="4701"/>
        <item m="1" x="4429"/>
        <item m="1" x="4702"/>
        <item m="1" x="4703"/>
        <item m="1" x="3948"/>
        <item m="1" x="4299"/>
        <item m="1" x="3972"/>
        <item m="1" x="4704"/>
        <item m="1" x="4705"/>
        <item m="1" x="3986"/>
        <item m="1" x="4319"/>
        <item m="1" x="4325"/>
        <item m="1" x="2037"/>
        <item m="1" x="2036"/>
        <item m="1" x="2414"/>
        <item m="1" x="4338"/>
        <item m="1" x="4339"/>
        <item m="1" x="4340"/>
        <item m="1" x="4341"/>
        <item m="1" x="3306"/>
        <item m="1" x="4342"/>
        <item m="1" x="4199"/>
        <item m="1" x="1983"/>
        <item m="1" x="4344"/>
        <item m="1" x="4345"/>
        <item m="1" x="4349"/>
        <item m="1" x="4350"/>
        <item m="1" x="1965"/>
        <item m="1" x="3832"/>
        <item m="1" x="3833"/>
        <item m="1" x="4352"/>
        <item m="1" x="4353"/>
        <item m="1" x="4354"/>
        <item m="1" x="4355"/>
        <item m="1" x="3728"/>
        <item m="1" x="4356"/>
        <item m="1" x="4357"/>
        <item m="1" x="4358"/>
        <item m="1" x="4205"/>
        <item m="1" x="2497"/>
        <item m="1" x="4359"/>
        <item m="1" x="4360"/>
        <item m="1" x="3339"/>
        <item m="1" x="3340"/>
        <item m="1" x="4361"/>
        <item m="1" x="4363"/>
        <item m="1" x="4364"/>
        <item m="1" x="4365"/>
        <item m="1" x="4366"/>
        <item m="1" x="4210"/>
        <item m="1" x="4367"/>
        <item m="1" x="4368"/>
        <item m="1" x="4369"/>
        <item m="1" x="4370"/>
        <item m="1" x="4371"/>
        <item m="1" x="1579"/>
        <item m="1" x="4372"/>
        <item m="1" x="4050"/>
        <item m="1" x="4374"/>
        <item m="1" x="3855"/>
        <item m="1" x="4206"/>
        <item m="1" x="4375"/>
        <item m="1" x="4376"/>
        <item m="1" x="4377"/>
        <item m="1" x="4378"/>
        <item m="1" x="4090"/>
        <item m="1" x="4379"/>
        <item m="1" x="4096"/>
        <item m="1" x="2736"/>
        <item m="1" x="2737"/>
        <item m="1" x="4380"/>
        <item m="1" x="4381"/>
        <item m="1" x="4079"/>
        <item m="1" x="4249"/>
        <item m="1" x="4248"/>
        <item m="1" x="4109"/>
        <item m="1" x="4247"/>
        <item m="1" x="4246"/>
        <item m="1" x="4118"/>
        <item m="1" x="4115"/>
        <item m="1" x="4116"/>
        <item m="1" x="4117"/>
        <item m="1" x="4383"/>
        <item m="1" x="4384"/>
        <item m="1" x="3195"/>
        <item m="1" x="4386"/>
        <item m="1" x="4387"/>
        <item m="1" x="4388"/>
        <item m="1" x="4389"/>
        <item m="1" x="4390"/>
        <item m="1" x="3794"/>
        <item m="1" x="4391"/>
        <item m="1" x="4170"/>
        <item m="1" x="4392"/>
        <item m="1" x="4393"/>
        <item m="1" x="4394"/>
        <item m="1" x="4397"/>
        <item m="1" x="2220"/>
        <item m="1" x="4400"/>
        <item m="1" x="4401"/>
        <item m="1" x="4402"/>
        <item m="1" x="4403"/>
        <item m="1" x="4404"/>
        <item m="1" x="4405"/>
        <item m="1" x="4407"/>
        <item m="1" x="4408"/>
        <item m="1" x="4263"/>
        <item m="1" x="4409"/>
        <item m="1" x="4413"/>
        <item m="1" x="4414"/>
        <item m="1" x="4415"/>
        <item m="1" x="2124"/>
        <item m="1" x="3249"/>
        <item m="1" x="4418"/>
        <item m="1" x="3927"/>
        <item m="1" x="4425"/>
        <item m="1" x="4428"/>
        <item m="1" x="4431"/>
        <item m="1" x="3810"/>
        <item m="1" x="381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3968"/>
        <item m="1" x="4442"/>
        <item m="1" x="3711"/>
        <item m="1" x="4015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x="462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2"/>
        <item m="1" x="4473"/>
        <item m="1" x="4474"/>
        <item m="1" x="4291"/>
        <item m="1" x="4475"/>
        <item m="1" x="3977"/>
        <item m="1" x="4006"/>
        <item m="1" x="4010"/>
        <item m="1" x="4007"/>
        <item m="1" x="4008"/>
        <item m="1" x="3823"/>
        <item m="1" x="4009"/>
        <item m="1" x="4011"/>
        <item m="1" x="3713"/>
        <item m="1" x="3712"/>
        <item m="1" x="4016"/>
        <item m="1" x="4013"/>
        <item m="1" x="4014"/>
        <item m="1" x="3714"/>
        <item m="1" x="4201"/>
        <item m="1" x="4202"/>
        <item m="1" x="4203"/>
        <item m="1" x="4023"/>
        <item m="1" x="4024"/>
        <item m="1" x="4025"/>
        <item m="1" x="4204"/>
        <item m="1" x="3317"/>
        <item m="1" x="3817"/>
        <item m="1" x="3723"/>
        <item m="1" x="3727"/>
        <item m="1" x="4030"/>
        <item m="1" x="4031"/>
        <item m="1" x="4032"/>
        <item m="1" x="3835"/>
        <item m="1" x="4034"/>
        <item m="1" x="4041"/>
        <item m="1" x="4042"/>
        <item m="1" x="4040"/>
        <item m="1" x="4044"/>
        <item m="1" x="3338"/>
        <item m="1" x="4046"/>
        <item m="1" x="3100"/>
        <item m="1" x="4048"/>
        <item m="1" x="4049"/>
        <item m="1" x="3856"/>
        <item m="1" x="4207"/>
        <item m="1" x="4208"/>
        <item m="1" x="4209"/>
        <item m="1" x="3857"/>
        <item m="1" x="4053"/>
        <item m="1" x="4054"/>
        <item m="1" x="4055"/>
        <item m="1" x="4063"/>
        <item m="1" x="4064"/>
        <item m="1" x="3630"/>
        <item m="1" x="2581"/>
        <item m="1" x="2582"/>
        <item m="1" x="3867"/>
        <item m="1" x="4065"/>
        <item m="1" x="4068"/>
        <item m="1" x="4211"/>
        <item m="1" x="4094"/>
        <item m="1" x="4089"/>
        <item m="1" x="4086"/>
        <item m="1" x="4087"/>
        <item m="1" x="4088"/>
        <item m="1" x="4085"/>
        <item m="1" x="2001"/>
        <item m="1" x="4084"/>
        <item m="1" x="4092"/>
        <item m="1" x="4095"/>
        <item m="1" x="4099"/>
        <item m="1" x="4107"/>
        <item m="1" x="4108"/>
        <item m="1" x="4106"/>
        <item m="1" x="4250"/>
        <item m="1" x="4124"/>
        <item m="1" x="4130"/>
        <item m="1" x="4136"/>
        <item m="1" x="4137"/>
        <item m="1" x="4138"/>
        <item m="1" x="4139"/>
        <item m="1" x="4140"/>
        <item m="1" x="3186"/>
        <item m="1" x="3187"/>
        <item m="1" x="4252"/>
        <item m="1" x="4253"/>
        <item m="1" x="4254"/>
        <item m="1" x="4255"/>
        <item m="1" x="4256"/>
        <item m="1" x="4257"/>
        <item m="1" x="3203"/>
        <item m="1" x="2224"/>
        <item m="1" x="2021"/>
        <item m="1" x="3889"/>
        <item m="1" x="2016"/>
        <item m="1" x="2022"/>
        <item m="1" x="2017"/>
        <item m="1" x="2018"/>
        <item m="1" x="2020"/>
        <item m="1" x="4261"/>
        <item m="1" x="4262"/>
        <item m="1" x="4264"/>
        <item m="1" x="4265"/>
        <item m="1" x="2371"/>
        <item m="1" x="4266"/>
        <item m="1" x="4267"/>
        <item m="1" x="4268"/>
        <item m="1" x="4269"/>
        <item m="1" x="4270"/>
        <item m="1" x="2372"/>
        <item m="1" x="4271"/>
        <item m="1" x="4272"/>
        <item m="1" x="4273"/>
        <item m="1" x="4274"/>
        <item m="1" x="4275"/>
        <item m="1" x="4276"/>
        <item m="1" x="2318"/>
        <item m="1" x="2319"/>
        <item m="1" x="4278"/>
        <item m="1" x="3894"/>
        <item m="1" x="3896"/>
        <item m="1" x="4280"/>
        <item m="1" x="4283"/>
        <item m="1" x="2183"/>
        <item m="1" x="4286"/>
        <item m="1" x="4287"/>
        <item m="1" x="4288"/>
        <item m="1" x="3809"/>
        <item m="1" x="3919"/>
        <item m="1" x="3921"/>
        <item m="1" x="3933"/>
        <item m="1" x="3259"/>
        <item m="1" x="3944"/>
        <item m="1" x="3945"/>
        <item m="1" x="2023"/>
        <item m="1" x="2019"/>
        <item m="1" x="4194"/>
        <item m="1" x="3692"/>
        <item m="1" x="4195"/>
        <item m="1" x="4293"/>
        <item m="1" x="4294"/>
        <item m="1" x="4295"/>
        <item m="1" x="4298"/>
        <item m="1" x="3950"/>
        <item m="1" x="3031"/>
        <item m="1" x="4300"/>
        <item m="1" x="2132"/>
        <item m="1" x="3982"/>
        <item m="1" x="3983"/>
        <item m="1" x="3992"/>
        <item m="1" x="3993"/>
        <item m="1" x="3818"/>
        <item m="1" x="3996"/>
        <item m="1" x="3997"/>
        <item m="1" x="3999"/>
        <item m="1" x="3821"/>
        <item m="1" x="4000"/>
        <item m="1" x="4001"/>
        <item m="1" x="4002"/>
        <item m="1" x="4003"/>
        <item m="1" x="4004"/>
        <item m="1" x="4005"/>
        <item m="1" x="4012"/>
        <item m="1" x="3715"/>
        <item m="1" x="4017"/>
        <item m="1" x="4018"/>
        <item m="1" x="4019"/>
        <item m="1" x="4020"/>
        <item m="1" x="4021"/>
        <item m="1" x="4022"/>
        <item m="1" x="4026"/>
        <item m="1" x="3719"/>
        <item m="1" x="4027"/>
        <item m="1" x="4028"/>
        <item m="1" x="3721"/>
        <item m="1" x="3724"/>
        <item m="1" x="3725"/>
        <item m="1" x="4029"/>
        <item m="1" x="3729"/>
        <item m="1" x="4033"/>
        <item m="1" x="4035"/>
        <item m="1" x="4036"/>
        <item m="1" x="2774"/>
        <item m="1" x="3834"/>
        <item m="1" x="3837"/>
        <item m="1" x="4037"/>
        <item m="1" x="4038"/>
        <item m="1" x="4039"/>
        <item m="1" x="3734"/>
        <item m="1" x="3845"/>
        <item m="1" x="4043"/>
        <item m="1" x="3333"/>
        <item m="1" x="3334"/>
        <item m="1" x="3335"/>
        <item m="1" x="3341"/>
        <item m="1" x="2675"/>
        <item m="1" x="4045"/>
        <item m="1" x="2575"/>
        <item m="1" x="4047"/>
        <item m="1" x="4051"/>
        <item m="1" x="3850"/>
        <item m="1" x="3744"/>
        <item m="1" x="4052"/>
        <item m="1" x="4056"/>
        <item m="1" x="4057"/>
        <item m="1" x="4058"/>
        <item m="1" x="4059"/>
        <item m="1" x="3861"/>
        <item m="1" x="3862"/>
        <item m="1" x="3863"/>
        <item m="1" x="3864"/>
        <item m="1" x="4060"/>
        <item m="1" x="3635"/>
        <item m="1" x="4061"/>
        <item m="1" x="3865"/>
        <item m="1" x="4066"/>
        <item m="1" x="4069"/>
        <item m="1" x="4070"/>
        <item m="1" x="4071"/>
        <item m="1" x="4083"/>
        <item m="1" x="4091"/>
        <item m="1" x="4093"/>
        <item m="1" x="3365"/>
        <item m="1" x="4097"/>
        <item m="1" x="4098"/>
        <item m="1" x="4100"/>
        <item m="1" x="4101"/>
        <item m="1" x="4102"/>
        <item m="1" x="4119"/>
        <item m="1" x="4120"/>
        <item m="1" x="4121"/>
        <item m="1" x="4122"/>
        <item m="1" x="4123"/>
        <item m="1" x="4128"/>
        <item m="1" x="4129"/>
        <item m="1" x="4131"/>
        <item m="1" x="4132"/>
        <item m="1" x="4133"/>
        <item m="1" x="4134"/>
        <item m="1" x="4135"/>
        <item m="1" x="4141"/>
        <item m="1" x="3877"/>
        <item m="1" x="3771"/>
        <item m="1" x="3879"/>
        <item m="1" x="3880"/>
        <item m="1" x="4142"/>
        <item m="1" x="4143"/>
        <item m="1" x="4144"/>
        <item m="1" x="2241"/>
        <item m="1" x="4145"/>
        <item m="1" x="4146"/>
        <item m="1" x="3209"/>
        <item m="1" x="2015"/>
        <item m="1" x="4147"/>
        <item m="1" x="4148"/>
        <item m="1" x="4149"/>
        <item m="1" x="4150"/>
        <item m="1" x="4151"/>
        <item m="1" x="4152"/>
        <item m="1" x="4153"/>
        <item m="1" x="4154"/>
        <item m="1" x="2123"/>
        <item m="1" x="2056"/>
        <item m="1" x="2053"/>
        <item m="1" x="4155"/>
        <item m="1" x="3002"/>
        <item m="1" x="4156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1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2410"/>
        <item m="1" x="4184"/>
        <item m="1" x="4185"/>
        <item m="1" x="4186"/>
        <item m="1" x="3904"/>
        <item m="1" x="3915"/>
        <item m="1" x="4187"/>
        <item m="1" x="3926"/>
        <item m="1" x="3943"/>
        <item m="1" x="4189"/>
        <item m="1" x="4190"/>
        <item m="1" x="4191"/>
        <item m="1" x="4192"/>
        <item m="1" x="4193"/>
        <item m="1" x="4196"/>
        <item m="1" x="3542"/>
        <item m="1" x="3949"/>
        <item m="1" x="4197"/>
        <item m="1" x="3580"/>
        <item m="1" x="3583"/>
        <item m="1" x="3991"/>
        <item m="1" x="3585"/>
        <item m="1" x="3820"/>
        <item m="1" x="3039"/>
        <item m="1" x="3822"/>
        <item x="250"/>
        <item m="1" x="3824"/>
        <item m="1" x="3701"/>
        <item m="1" x="3702"/>
        <item m="1" x="3709"/>
        <item m="1" x="3600"/>
        <item m="1" x="3825"/>
        <item m="1" x="3718"/>
        <item m="1" x="3311"/>
        <item m="1" x="3601"/>
        <item m="1" x="3826"/>
        <item m="1" x="3827"/>
        <item m="1" x="3828"/>
        <item m="1" x="3829"/>
        <item x="254"/>
        <item m="1" x="3722"/>
        <item m="1" x="3320"/>
        <item m="1" x="3608"/>
        <item m="1" x="3615"/>
        <item m="1" x="3616"/>
        <item m="1" x="3083"/>
        <item m="1" x="3836"/>
        <item m="1" x="3081"/>
        <item m="1" x="3082"/>
        <item m="1" x="3086"/>
        <item m="1" x="3838"/>
        <item m="1" x="3839"/>
        <item m="1" x="3840"/>
        <item m="1" x="3841"/>
        <item m="1" x="3842"/>
        <item m="1" x="2634"/>
        <item m="1" x="2635"/>
        <item m="1" x="3731"/>
        <item m="1" x="3843"/>
        <item m="1" x="3844"/>
        <item m="1" x="3846"/>
        <item m="1" x="3732"/>
        <item m="1" x="3847"/>
        <item m="1" x="3848"/>
        <item m="1" x="3849"/>
        <item m="1" x="3743"/>
        <item m="1" x="3745"/>
        <item m="1" x="3746"/>
        <item m="1" x="3851"/>
        <item m="1" x="3852"/>
        <item m="1" x="3853"/>
        <item m="1" x="3854"/>
        <item m="1" x="3735"/>
        <item m="1" x="3736"/>
        <item m="1" x="3737"/>
        <item m="1" x="3348"/>
        <item m="1" x="3626"/>
        <item m="1" x="3625"/>
        <item m="1" x="3859"/>
        <item m="1" x="3860"/>
        <item m="1" x="3868"/>
        <item m="1" x="3109"/>
        <item m="1" x="3110"/>
        <item m="1" x="2808"/>
        <item m="1" x="2807"/>
        <item m="1" x="3113"/>
        <item x="357"/>
        <item m="1" x="3112"/>
        <item m="1" x="3749"/>
        <item m="1" x="3358"/>
        <item m="1" x="3371"/>
        <item m="1" x="3137"/>
        <item m="1" x="3138"/>
        <item m="1" x="3140"/>
        <item m="1" x="3139"/>
        <item m="1" x="2643"/>
        <item m="1" x="3760"/>
        <item m="1" x="3148"/>
        <item m="1" x="3870"/>
        <item m="1" x="3376"/>
        <item m="1" x="3871"/>
        <item m="1" x="3375"/>
        <item m="1" x="3759"/>
        <item m="1" x="3872"/>
        <item m="1" x="3874"/>
        <item m="1" x="3875"/>
        <item m="1" x="3764"/>
        <item m="1" x="3766"/>
        <item m="1" x="3767"/>
        <item m="1" x="3382"/>
        <item m="1" x="3182"/>
        <item m="1" x="3658"/>
        <item m="1" x="3183"/>
        <item m="1" x="3193"/>
        <item m="1" x="2472"/>
        <item m="1" x="3878"/>
        <item m="1" x="3409"/>
        <item m="1" x="3881"/>
        <item m="1" x="3882"/>
        <item m="1" x="3883"/>
        <item m="1" x="2282"/>
        <item m="1" x="3887"/>
        <item m="1" x="3890"/>
        <item m="1" x="3891"/>
        <item m="1" x="3892"/>
        <item m="1" x="3893"/>
        <item m="1" x="3426"/>
        <item m="1" x="3427"/>
        <item m="1" x="3428"/>
        <item m="1" x="3897"/>
        <item m="1" x="3898"/>
        <item m="1" x="3899"/>
        <item m="1" x="3912"/>
        <item m="1" x="3917"/>
        <item m="1" x="3918"/>
        <item m="1" x="3527"/>
        <item m="1" x="3934"/>
        <item m="1" x="3939"/>
        <item m="1" x="3941"/>
        <item m="1" x="3942"/>
        <item m="1" x="3529"/>
        <item m="1" x="3531"/>
        <item m="1" x="3812"/>
        <item m="1" x="3946"/>
        <item m="1" x="3538"/>
        <item m="1" x="3539"/>
        <item m="1" x="3540"/>
        <item m="1" x="3947"/>
        <item m="1" x="3577"/>
        <item m="1" x="3955"/>
        <item m="1" x="2135"/>
        <item m="1" x="3966"/>
        <item m="1" x="3967"/>
        <item m="1" x="3973"/>
        <item m="1" x="3586"/>
        <item m="1" x="3587"/>
        <item m="1" x="3588"/>
        <item m="1" x="3589"/>
        <item m="1" x="3590"/>
        <item x="255"/>
        <item m="1" x="3043"/>
        <item m="1" x="3593"/>
        <item m="1" x="3592"/>
        <item m="1" x="3594"/>
        <item x="278"/>
        <item m="1" x="3595"/>
        <item m="1" x="3703"/>
        <item m="1" x="3704"/>
        <item m="1" x="3705"/>
        <item m="1" x="3706"/>
        <item m="1" x="3707"/>
        <item m="1" x="3708"/>
        <item m="1" x="3710"/>
        <item m="1" x="3059"/>
        <item m="1" x="3716"/>
        <item m="1" x="3717"/>
        <item m="1" x="3313"/>
        <item m="1" x="3312"/>
        <item m="1" x="3603"/>
        <item m="1" x="3720"/>
        <item m="1" x="3606"/>
        <item m="1" x="3609"/>
        <item m="1" x="3610"/>
        <item m="1" x="3611"/>
        <item m="1" x="3617"/>
        <item m="1" x="3324"/>
        <item m="1" x="3326"/>
        <item m="1" x="3327"/>
        <item m="1" x="3325"/>
        <item m="1" x="3730"/>
        <item m="1" x="3336"/>
        <item m="1" x="3337"/>
        <item m="1" x="2959"/>
        <item m="1" x="3733"/>
        <item m="1" x="3738"/>
        <item m="1" x="3623"/>
        <item m="1" x="3739"/>
        <item m="1" x="3740"/>
        <item m="1" x="3741"/>
        <item m="1" x="3742"/>
        <item m="1" x="3108"/>
        <item m="1" x="2809"/>
        <item m="1" x="3747"/>
        <item m="1" x="3638"/>
        <item m="1" x="3634"/>
        <item m="1" x="3633"/>
        <item x="315"/>
        <item m="1" x="3353"/>
        <item m="1" x="3640"/>
        <item m="1" x="3748"/>
        <item m="1" x="3359"/>
        <item m="1" x="3750"/>
        <item m="1" x="3361"/>
        <item m="1" x="3751"/>
        <item m="1" x="3360"/>
        <item m="1" x="2644"/>
        <item m="1" x="3644"/>
        <item m="1" x="3645"/>
        <item m="1" x="3646"/>
        <item m="1" x="3369"/>
        <item m="1" x="3752"/>
        <item m="1" x="3147"/>
        <item m="1" x="3377"/>
        <item m="1" x="3378"/>
        <item m="1" x="3381"/>
        <item m="1" x="3162"/>
        <item m="1" x="3379"/>
        <item m="1" x="3380"/>
        <item m="1" x="3761"/>
        <item m="1" x="3762"/>
        <item m="1" x="3763"/>
        <item m="1" x="3657"/>
        <item m="1" x="3765"/>
        <item m="1" x="3768"/>
        <item m="1" x="3769"/>
        <item m="1" x="3659"/>
        <item m="1" x="3390"/>
        <item m="1" x="3397"/>
        <item m="1" x="3190"/>
        <item m="1" x="3661"/>
        <item m="1" x="3770"/>
        <item m="1" x="3772"/>
        <item m="1" x="3773"/>
        <item m="1" x="3774"/>
        <item m="1" x="3201"/>
        <item m="1" x="3204"/>
        <item m="1" x="3775"/>
        <item m="1" x="2274"/>
        <item m="1" x="3776"/>
        <item m="1" x="3777"/>
        <item m="1" x="3670"/>
        <item m="1" x="3778"/>
        <item m="1" x="3779"/>
        <item m="1" x="3780"/>
        <item m="1" x="3781"/>
        <item m="1" x="3782"/>
        <item m="1" x="2121"/>
        <item m="1" x="3783"/>
        <item m="1" x="3784"/>
        <item m="1" x="3673"/>
        <item m="1" x="3785"/>
        <item m="1" x="3786"/>
        <item m="1" x="3787"/>
        <item m="1" x="3788"/>
        <item m="1" x="3790"/>
        <item m="1" x="3791"/>
        <item m="1" x="3792"/>
        <item m="1" x="3793"/>
        <item m="1" x="2407"/>
        <item m="1" x="3796"/>
        <item m="1" x="3800"/>
        <item m="1" x="3801"/>
        <item m="1" x="3802"/>
        <item m="1" x="3803"/>
        <item m="1" x="2024"/>
        <item m="1" x="3804"/>
        <item m="1" x="3805"/>
        <item m="1" x="3807"/>
        <item m="1" x="3808"/>
        <item m="1" x="3813"/>
        <item m="1" x="3814"/>
        <item m="1" x="3815"/>
        <item m="1" x="3575"/>
        <item m="1" x="3576"/>
        <item m="1" x="2946"/>
        <item m="1" x="3698"/>
        <item m="1" x="3819"/>
        <item m="1" x="3596"/>
        <item m="1" x="3597"/>
        <item m="1" x="3598"/>
        <item m="1" x="3599"/>
        <item m="1" x="1253"/>
        <item m="1" x="3308"/>
        <item m="1" x="3314"/>
        <item m="1" x="3602"/>
        <item m="1" x="3604"/>
        <item m="1" x="3605"/>
        <item m="1" x="3068"/>
        <item m="1" x="3077"/>
        <item m="1" x="3607"/>
        <item m="1" x="3612"/>
        <item m="1" x="3613"/>
        <item m="1" x="3614"/>
        <item m="1" x="3093"/>
        <item m="1" x="3095"/>
        <item m="1" x="2961"/>
        <item m="1" x="3094"/>
        <item m="1" x="3618"/>
        <item m="1" x="3279"/>
        <item m="1" x="3278"/>
        <item m="1" x="3090"/>
        <item m="1" x="3091"/>
        <item m="1" x="3098"/>
        <item m="1" x="3619"/>
        <item m="1" x="3347"/>
        <item m="1" x="2787"/>
        <item m="1" x="3620"/>
        <item m="1" x="3621"/>
        <item m="1" x="3622"/>
        <item m="1" x="3624"/>
        <item m="1" x="3627"/>
        <item m="1" x="3628"/>
        <item m="1" x="3631"/>
        <item m="1" x="3632"/>
        <item m="1" x="3636"/>
        <item m="1" x="3637"/>
        <item m="1" x="3350"/>
        <item m="1" x="3639"/>
        <item m="1" x="3114"/>
        <item m="1" x="1254"/>
        <item m="1" x="1252"/>
        <item m="1" x="3115"/>
        <item m="1" x="3121"/>
        <item m="1" x="3122"/>
        <item m="1" x="2819"/>
        <item m="1" x="2821"/>
        <item m="1" x="3641"/>
        <item m="1" x="3642"/>
        <item m="1" x="3364"/>
        <item m="1" x="3643"/>
        <item m="1" x="3370"/>
        <item m="1" x="3367"/>
        <item m="1" x="3368"/>
        <item m="1" x="3135"/>
        <item m="1" x="3136"/>
        <item m="1" x="3647"/>
        <item m="1" x="3648"/>
        <item m="1" x="3146"/>
        <item m="1" x="3374"/>
        <item m="1" x="3383"/>
        <item m="1" x="3649"/>
        <item m="1" x="3650"/>
        <item m="1" x="3651"/>
        <item m="1" x="3652"/>
        <item m="1" x="3653"/>
        <item m="1" x="3654"/>
        <item m="1" x="3384"/>
        <item m="1" x="3385"/>
        <item m="1" x="3655"/>
        <item m="1" x="3656"/>
        <item m="1" x="3184"/>
        <item m="1" x="3192"/>
        <item m="1" x="3191"/>
        <item m="1" x="3407"/>
        <item m="1" x="3406"/>
        <item m="1" x="3662"/>
        <item m="1" x="2661"/>
        <item m="1" x="3664"/>
        <item m="1" x="3665"/>
        <item m="1" x="3667"/>
        <item m="1" x="2273"/>
        <item m="1" x="3671"/>
        <item m="1" x="3672"/>
        <item m="1" x="3674"/>
        <item m="1" x="2683"/>
        <item m="1" x="2012"/>
        <item m="1" x="3675"/>
        <item m="1" x="3676"/>
        <item m="1" x="3677"/>
        <item m="1" x="3678"/>
        <item m="1" x="3679"/>
        <item m="1" x="2197"/>
        <item m="1" x="3681"/>
        <item m="1" x="3682"/>
        <item m="1" x="3415"/>
        <item m="1" x="3416"/>
        <item m="1" x="2079"/>
        <item m="1" x="2080"/>
        <item m="1" x="3683"/>
        <item m="1" x="3232"/>
        <item m="1" x="3684"/>
        <item m="1" x="3685"/>
        <item m="1" x="2309"/>
        <item m="1" x="2310"/>
        <item m="1" x="3687"/>
        <item m="1" x="3689"/>
        <item m="1" x="3526"/>
        <item m="1" x="3690"/>
        <item m="1" x="3691"/>
        <item m="1" x="2716"/>
        <item m="1" x="3532"/>
        <item m="1" x="3541"/>
        <item m="1" x="2221"/>
        <item m="1" x="3693"/>
        <item m="1" x="3694"/>
        <item m="1" x="3695"/>
        <item m="1" x="3696"/>
        <item m="1" x="3572"/>
        <item m="1" x="3578"/>
        <item m="1" x="3582"/>
        <item m="1" x="3699"/>
        <item m="1" x="3301"/>
        <item m="1" x="3700"/>
        <item m="1" x="3040"/>
        <item m="1" x="3041"/>
        <item m="1" x="3042"/>
        <item x="279"/>
        <item m="1" x="3305"/>
        <item m="1" x="3049"/>
        <item m="1" x="3050"/>
        <item m="1" x="3051"/>
        <item m="1" x="3052"/>
        <item m="1" x="3053"/>
        <item m="1" x="3048"/>
        <item m="1" x="3055"/>
        <item m="1" x="2281"/>
        <item m="1" x="2609"/>
        <item m="1" x="2749"/>
        <item m="1" x="3056"/>
        <item m="1" x="2610"/>
        <item m="1" x="2611"/>
        <item m="1" x="2612"/>
        <item m="1" x="2608"/>
        <item m="1" x="3057"/>
        <item m="1" x="3307"/>
        <item m="1" x="3309"/>
        <item m="1" x="3315"/>
        <item m="1" x="3316"/>
        <item m="1" x="2732"/>
        <item m="1" x="3318"/>
        <item m="1" x="3319"/>
        <item m="1" x="3073"/>
        <item m="1" x="3074"/>
        <item m="1" x="3075"/>
        <item m="1" x="3323"/>
        <item m="1" x="3078"/>
        <item m="1" x="3080"/>
        <item m="1" x="3328"/>
        <item m="1" x="3329"/>
        <item m="1" x="3330"/>
        <item m="1" x="3331"/>
        <item m="1" x="3096"/>
        <item m="1" x="3089"/>
        <item m="1" x="3342"/>
        <item m="1" x="3343"/>
        <item m="1" x="3344"/>
        <item m="1" x="3345"/>
        <item m="1" x="3088"/>
        <item m="1" x="3099"/>
        <item m="1" x="3102"/>
        <item m="1" x="3105"/>
        <item m="1" x="3349"/>
        <item x="316"/>
        <item x="317"/>
        <item x="318"/>
        <item x="319"/>
        <item x="320"/>
        <item x="321"/>
        <item m="1" x="3104"/>
        <item m="1" x="3351"/>
        <item m="1" x="3352"/>
        <item m="1" x="3354"/>
        <item m="1" x="3355"/>
        <item m="1" x="2820"/>
        <item m="1" x="3356"/>
        <item m="1" x="3357"/>
        <item m="1" x="3362"/>
        <item m="1" x="3126"/>
        <item m="1" x="3127"/>
        <item m="1" x="3363"/>
        <item m="1" x="3134"/>
        <item m="1" x="3372"/>
        <item m="1" x="3373"/>
        <item m="1" x="2841"/>
        <item m="1" x="3160"/>
        <item m="1" x="2647"/>
        <item m="1" x="2648"/>
        <item m="1" x="3386"/>
        <item m="1" x="3387"/>
        <item m="1" x="3164"/>
        <item m="1" x="2973"/>
        <item m="1" x="3175"/>
        <item m="1" x="3171"/>
        <item x="461"/>
        <item m="1" x="3174"/>
        <item m="1" x="3173"/>
        <item m="1" x="3172"/>
        <item m="1" x="1628"/>
        <item m="1" x="3388"/>
        <item m="1" x="3389"/>
        <item m="1" x="3391"/>
        <item m="1" x="3392"/>
        <item m="1" x="3393"/>
        <item m="1" x="3394"/>
        <item m="1" x="3395"/>
        <item m="1" x="3396"/>
        <item m="1" x="3398"/>
        <item m="1" x="3399"/>
        <item m="1" x="3400"/>
        <item m="1" x="3401"/>
        <item m="1" x="3402"/>
        <item m="1" x="3403"/>
        <item m="1" x="3404"/>
        <item m="1" x="2660"/>
        <item m="1" x="2667"/>
        <item m="1" x="3410"/>
        <item m="1" x="3202"/>
        <item m="1" x="3411"/>
        <item m="1" x="3412"/>
        <item m="1" x="3413"/>
        <item m="1" x="2986"/>
        <item m="1" x="3414"/>
        <item m="1" x="2995"/>
        <item m="1" x="2994"/>
        <item m="1" x="3212"/>
        <item m="1" x="2014"/>
        <item m="1" x="3000"/>
        <item m="1" x="2227"/>
        <item m="1" x="3213"/>
        <item m="1" x="2676"/>
        <item m="1" x="3417"/>
        <item m="1" x="3418"/>
        <item m="1" x="3419"/>
        <item m="1" x="3420"/>
        <item m="1" x="3421"/>
        <item m="1" x="3422"/>
        <item m="1" x="2361"/>
        <item m="1" x="3424"/>
        <item m="1" x="3425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238"/>
        <item m="1" x="3239"/>
        <item m="1" x="3240"/>
        <item m="1" x="3241"/>
        <item m="1" x="3242"/>
        <item m="1" x="3243"/>
        <item m="1" x="3244"/>
        <item m="1" x="3493"/>
        <item m="1" x="3494"/>
        <item m="1" x="3495"/>
        <item m="1" x="3496"/>
        <item m="1" x="3497"/>
        <item m="1" x="3498"/>
        <item m="1" x="3499"/>
        <item m="1" x="3245"/>
        <item m="1" x="3246"/>
        <item m="1" x="3247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2471"/>
        <item m="1" x="3524"/>
        <item m="1" x="2248"/>
        <item m="1" x="3528"/>
        <item m="1" x="3530"/>
        <item m="1" x="3533"/>
        <item m="1" x="3534"/>
        <item m="1" x="3535"/>
        <item m="1" x="3536"/>
        <item m="1" x="3537"/>
        <item m="1" x="2013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2304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3"/>
        <item m="1" x="3574"/>
        <item m="1" x="3283"/>
        <item m="1" x="3579"/>
        <item m="1" x="3581"/>
        <item m="1" x="2035"/>
        <item m="1" x="2133"/>
        <item m="1" x="3584"/>
        <item m="1" x="2134"/>
        <item m="1" x="3591"/>
        <item m="1" x="1982"/>
        <item m="1" x="3044"/>
        <item m="1" x="3045"/>
        <item m="1" x="3046"/>
        <item m="1" x="3047"/>
        <item m="1" x="2949"/>
        <item m="1" x="2950"/>
        <item m="1" x="3054"/>
        <item m="1" x="3058"/>
        <item m="1" x="3060"/>
        <item m="1" x="3061"/>
        <item m="1" x="3062"/>
        <item m="1" x="3063"/>
        <item m="1" x="3064"/>
        <item m="1" x="3065"/>
        <item m="1" x="3066"/>
        <item m="1" x="3067"/>
        <item m="1" x="3069"/>
        <item m="1" x="3070"/>
        <item m="1" x="3071"/>
        <item m="1" x="3072"/>
        <item m="1" x="3076"/>
        <item m="1" x="1542"/>
        <item m="1" x="3079"/>
        <item m="1" x="3084"/>
        <item m="1" x="2956"/>
        <item m="1" x="3085"/>
        <item m="1" x="3087"/>
        <item m="1" x="2631"/>
        <item m="1" x="3092"/>
        <item m="1" x="2783"/>
        <item m="1" x="3101"/>
        <item m="1" x="3103"/>
        <item m="1" x="2796"/>
        <item m="1" x="3106"/>
        <item m="1" x="3107"/>
        <item m="1" x="3111"/>
        <item m="1" x="2813"/>
        <item m="1" x="2812"/>
        <item m="1" x="3116"/>
        <item m="1" x="3117"/>
        <item m="1" x="3118"/>
        <item m="1" x="3119"/>
        <item m="1" x="3120"/>
        <item m="1" x="2966"/>
        <item m="1" x="2967"/>
        <item m="1" x="3123"/>
        <item m="1" x="3124"/>
        <item m="1" x="3125"/>
        <item m="1" x="3128"/>
        <item m="1" x="3129"/>
        <item m="1" x="3130"/>
        <item m="1" x="3131"/>
        <item m="1" x="3132"/>
        <item m="1" x="3133"/>
        <item m="1" x="3141"/>
        <item m="1" x="3142"/>
        <item m="1" x="3143"/>
        <item m="1" x="3144"/>
        <item m="1" x="3145"/>
        <item m="1" x="1589"/>
        <item m="1" x="3149"/>
        <item m="1" x="3150"/>
        <item m="1" x="3151"/>
        <item m="1" x="2475"/>
        <item m="1" x="3152"/>
        <item m="1" x="3153"/>
        <item m="1" x="3154"/>
        <item m="1" x="3155"/>
        <item m="1" x="3156"/>
        <item m="1" x="3157"/>
        <item m="1" x="3158"/>
        <item m="1" x="3159"/>
        <item m="1" x="3161"/>
        <item m="1" x="2478"/>
        <item m="1" x="3163"/>
        <item m="1" x="3165"/>
        <item m="1" x="3166"/>
        <item m="1" x="3167"/>
        <item m="1" x="3168"/>
        <item m="1" x="3169"/>
        <item m="1" x="3170"/>
        <item m="1" x="3176"/>
        <item m="1" x="3177"/>
        <item m="1" x="3178"/>
        <item m="1" x="2972"/>
        <item m="1" x="3179"/>
        <item m="1" x="3180"/>
        <item m="1" x="3181"/>
        <item m="1" x="2339"/>
        <item m="1" x="3194"/>
        <item m="1" x="2974"/>
        <item m="1" x="2049"/>
        <item m="1" x="2045"/>
        <item m="1" x="3196"/>
        <item m="1" x="3197"/>
        <item m="1" x="3198"/>
        <item m="1" x="3199"/>
        <item m="1" x="3200"/>
        <item m="1" x="2876"/>
        <item m="1" x="2874"/>
        <item m="1" x="2875"/>
        <item m="1" x="2381"/>
        <item m="1" x="2275"/>
        <item m="1" x="3205"/>
        <item m="1" x="3206"/>
        <item m="1" x="3207"/>
        <item m="1" x="3208"/>
        <item m="1" x="3211"/>
        <item m="1" x="2296"/>
        <item m="1" x="2051"/>
        <item m="1" x="3214"/>
        <item m="1" x="3215"/>
        <item m="1" x="3216"/>
        <item m="1" x="2914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2681"/>
        <item m="1" x="2682"/>
        <item m="1" x="3228"/>
        <item m="1" x="3229"/>
        <item m="1" x="3007"/>
        <item m="1" x="3008"/>
        <item m="1" x="2383"/>
        <item m="1" x="3230"/>
        <item m="1" x="3231"/>
        <item m="1" x="3233"/>
        <item m="1" x="3234"/>
        <item m="1" x="2209"/>
        <item m="1" x="3235"/>
        <item m="1" x="3236"/>
        <item m="1" x="2898"/>
        <item m="1" x="2899"/>
        <item m="1" x="2900"/>
        <item m="1" x="2901"/>
        <item m="1" x="2902"/>
        <item m="1" x="2903"/>
        <item m="1" x="3237"/>
        <item m="1" x="2495"/>
        <item m="1" x="2487"/>
        <item m="1" x="2312"/>
        <item m="1" x="3253"/>
        <item m="1" x="3257"/>
        <item m="1" x="2461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2460"/>
        <item m="1" x="3280"/>
        <item m="1" x="2059"/>
        <item m="1" x="3282"/>
        <item m="1" x="3285"/>
        <item m="1" x="2060"/>
        <item m="1" x="3291"/>
        <item m="1" x="3292"/>
        <item m="1" x="3297"/>
        <item m="1" x="3302"/>
        <item m="1" x="2738"/>
        <item m="1" x="2742"/>
        <item m="1" x="2748"/>
        <item m="1" x="2951"/>
        <item m="1" x="2952"/>
        <item m="1" x="2751"/>
        <item m="1" x="2750"/>
        <item m="1" x="2953"/>
        <item m="1" x="2954"/>
        <item m="1" x="2955"/>
        <item m="1" x="1967"/>
        <item m="1" x="2761"/>
        <item m="1" x="2762"/>
        <item m="1" x="2763"/>
        <item m="1" x="2767"/>
        <item m="1" x="2768"/>
        <item m="1" x="2770"/>
        <item m="1" x="2771"/>
        <item m="1" x="2772"/>
        <item m="1" x="2773"/>
        <item m="1" x="2957"/>
        <item m="1" x="2958"/>
        <item m="1" x="2776"/>
        <item m="1" x="2775"/>
        <item m="1" x="2960"/>
        <item m="1" x="2636"/>
        <item m="1" x="2778"/>
        <item m="1" x="1970"/>
        <item m="1" x="2779"/>
        <item m="1" x="2780"/>
        <item m="1" x="2781"/>
        <item m="1" x="2782"/>
        <item m="1" x="2962"/>
        <item m="1" x="2963"/>
        <item m="1" x="2964"/>
        <item m="1" x="2965"/>
        <item m="1" x="2793"/>
        <item m="1" x="2794"/>
        <item m="1" x="2795"/>
        <item x="322"/>
        <item m="1" x="1984"/>
        <item x="323"/>
        <item x="324"/>
        <item m="1" x="2805"/>
        <item m="1" x="2806"/>
        <item m="1" x="2804"/>
        <item m="1" x="2802"/>
        <item m="1" x="2803"/>
        <item m="1" x="2790"/>
        <item m="1" x="2810"/>
        <item m="1" x="2811"/>
        <item m="1" x="2814"/>
        <item m="1" x="2824"/>
        <item m="1" x="2830"/>
        <item m="1" x="2831"/>
        <item m="1" x="2832"/>
        <item m="1" x="2833"/>
        <item m="1" x="2834"/>
        <item m="1" x="2968"/>
        <item m="1" x="2969"/>
        <item m="1" x="2843"/>
        <item m="1" x="2970"/>
        <item m="1" x="2477"/>
        <item m="1" x="2479"/>
        <item m="1" x="2480"/>
        <item m="1" x="1646"/>
        <item m="1" x="1645"/>
        <item m="1" x="2971"/>
        <item m="1" x="2856"/>
        <item m="1" x="2851"/>
        <item m="1" x="2852"/>
        <item m="1" x="2853"/>
        <item m="1" x="2857"/>
        <item m="1" x="2859"/>
        <item m="1" x="2860"/>
        <item m="1" x="2861"/>
        <item m="1" x="2862"/>
        <item m="1" x="2866"/>
        <item m="1" x="2846"/>
        <item m="1" x="2847"/>
        <item m="1" x="2848"/>
        <item m="1" x="1761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068"/>
        <item m="1" x="2298"/>
        <item m="1" x="2987"/>
        <item m="1" x="2988"/>
        <item m="1" x="2989"/>
        <item m="1" x="2990"/>
        <item m="1" x="2991"/>
        <item m="1" x="2071"/>
        <item m="1" x="2993"/>
        <item m="1" x="2382"/>
        <item m="1" x="2996"/>
        <item m="1" x="2997"/>
        <item m="1" x="2998"/>
        <item m="1" x="2999"/>
        <item m="1" x="2120"/>
        <item m="1" x="3001"/>
        <item m="1" x="3003"/>
        <item m="1" x="3004"/>
        <item m="1" x="3005"/>
        <item m="1" x="3006"/>
        <item m="1" x="3009"/>
        <item m="1" x="3010"/>
        <item m="1" x="3011"/>
        <item m="1" x="3012"/>
        <item m="1" x="3013"/>
        <item m="1" x="2374"/>
        <item m="1" x="3014"/>
        <item m="1" x="3015"/>
        <item m="1" x="3016"/>
        <item m="1" x="2505"/>
        <item m="1" x="2072"/>
        <item m="1" x="2076"/>
        <item m="1" x="2074"/>
        <item m="1" x="2428"/>
        <item m="1" x="2419"/>
        <item m="1" x="2170"/>
        <item m="1" x="2171"/>
        <item m="1" x="2172"/>
        <item m="1" x="2206"/>
        <item m="1" x="3017"/>
        <item m="1" x="3018"/>
        <item m="1" x="2184"/>
        <item m="1" x="2173"/>
        <item m="1" x="3021"/>
        <item m="1" x="3022"/>
        <item m="1" x="2313"/>
        <item m="1" x="2256"/>
        <item m="1" x="2932"/>
        <item m="1" x="2067"/>
        <item m="1" x="3024"/>
        <item m="1" x="3025"/>
        <item m="1" x="3026"/>
        <item m="1" x="3027"/>
        <item m="1" x="3028"/>
        <item m="1" x="3029"/>
        <item m="1" x="3030"/>
        <item m="1" x="2242"/>
        <item m="1" x="3032"/>
        <item m="1" x="2299"/>
        <item m="1" x="3033"/>
        <item m="1" x="3034"/>
        <item m="1" x="3035"/>
        <item m="1" x="3036"/>
        <item m="1" x="3037"/>
        <item m="1" x="3038"/>
        <item m="1" x="2739"/>
        <item m="1" x="2740"/>
        <item m="1" x="2741"/>
        <item m="1" x="2743"/>
        <item m="1" x="2744"/>
        <item m="1" x="2745"/>
        <item m="1" x="2746"/>
        <item m="1" x="2747"/>
        <item m="1" x="1977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1925"/>
        <item m="1" x="2620"/>
        <item m="1" x="2765"/>
        <item m="1" x="2766"/>
        <item m="1" x="2624"/>
        <item m="1" x="2769"/>
        <item x="146"/>
        <item m="1" x="1541"/>
        <item m="1" x="2378"/>
        <item m="1" x="2629"/>
        <item m="1" x="2630"/>
        <item m="1" x="2637"/>
        <item m="1" x="2777"/>
        <item m="1" x="2358"/>
        <item m="1" x="2784"/>
        <item m="1" x="2785"/>
        <item m="1" x="2786"/>
        <item m="1" x="2788"/>
        <item m="1" x="2789"/>
        <item m="1" x="2791"/>
        <item m="1" x="2792"/>
        <item m="1" x="2797"/>
        <item m="1" x="1580"/>
        <item m="1" x="2798"/>
        <item x="325"/>
        <item m="1" x="2800"/>
        <item m="1" x="2801"/>
        <item m="1" x="1593"/>
        <item m="1" x="2589"/>
        <item m="1" x="1996"/>
        <item m="1" x="2408"/>
        <item m="1" x="2815"/>
        <item m="1" x="2816"/>
        <item m="1" x="2817"/>
        <item m="1" x="2818"/>
        <item m="1" x="2822"/>
        <item m="1" x="2823"/>
        <item m="1" x="2825"/>
        <item m="1" x="2826"/>
        <item m="1" x="2827"/>
        <item m="1" x="2828"/>
        <item m="1" x="2829"/>
        <item m="1" x="2835"/>
        <item m="1" x="2836"/>
        <item m="1" x="2837"/>
        <item m="1" x="2838"/>
        <item m="1" x="2839"/>
        <item m="1" x="2840"/>
        <item m="1" x="2842"/>
        <item m="1" x="2844"/>
        <item m="1" x="2602"/>
        <item m="1" x="2603"/>
        <item m="1" x="2481"/>
        <item m="1" x="2645"/>
        <item m="1" x="2646"/>
        <item m="1" x="2845"/>
        <item m="1" x="2849"/>
        <item m="1" x="2850"/>
        <item m="1" x="2854"/>
        <item m="1" x="2855"/>
        <item m="1" x="2858"/>
        <item m="1" x="2863"/>
        <item m="1" x="2864"/>
        <item m="1" x="2865"/>
        <item m="1" x="2434"/>
        <item m="1" x="2867"/>
        <item m="1" x="2868"/>
        <item m="1" x="2869"/>
        <item m="1" x="2870"/>
        <item m="1" x="2871"/>
        <item m="1" x="2872"/>
        <item m="1" x="2873"/>
        <item m="1" x="2011"/>
        <item m="1" x="2061"/>
        <item m="1" x="2062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207"/>
        <item m="1" x="2208"/>
        <item m="1" x="2904"/>
        <item x="366"/>
        <item m="1" x="2905"/>
        <item m="1" x="2364"/>
        <item m="1" x="2366"/>
        <item m="1" x="2367"/>
        <item m="1" x="2593"/>
        <item m="1" x="2906"/>
        <item m="1" x="2075"/>
        <item m="1" x="2907"/>
        <item m="1" x="2908"/>
        <item m="1" x="2591"/>
        <item m="1" x="2592"/>
        <item m="1" x="2909"/>
        <item m="1" x="2910"/>
        <item m="1" x="2911"/>
        <item m="1" x="2032"/>
        <item m="1" x="2912"/>
        <item m="1" x="2913"/>
        <item m="1" x="2915"/>
        <item m="1" x="2916"/>
        <item m="1" x="2917"/>
        <item m="1" x="2918"/>
        <item m="1" x="2919"/>
        <item m="1" x="2920"/>
        <item m="1" x="2921"/>
        <item m="1" x="2922"/>
        <item m="1" x="2237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705"/>
        <item m="1" x="2704"/>
        <item m="1" x="2700"/>
        <item m="1" x="2701"/>
        <item m="1" x="2702"/>
        <item m="1" x="2703"/>
        <item m="1" x="2217"/>
        <item m="1" x="2933"/>
        <item m="1" x="2934"/>
        <item m="1" x="2935"/>
        <item m="1" x="2936"/>
        <item m="1" x="2937"/>
        <item m="1" x="2938"/>
        <item m="1" x="2939"/>
        <item m="1" x="2727"/>
        <item m="1" x="2940"/>
        <item m="1" x="2941"/>
        <item m="1" x="2010"/>
        <item m="1" x="2043"/>
        <item m="1" x="2042"/>
        <item m="1" x="2945"/>
        <item m="1" x="2569"/>
        <item m="1" x="2573"/>
        <item m="1" x="2574"/>
        <item m="1" x="2255"/>
        <item m="1" x="2254"/>
        <item m="1" x="2613"/>
        <item m="1" x="2614"/>
        <item m="1" x="2615"/>
        <item m="1" x="2616"/>
        <item m="1" x="2617"/>
        <item m="1" x="2618"/>
        <item m="1" x="2619"/>
        <item m="1" x="2621"/>
        <item m="1" x="2622"/>
        <item m="1" x="2623"/>
        <item x="163"/>
        <item x="164"/>
        <item m="1" x="2052"/>
        <item m="1" x="1966"/>
        <item m="1" x="2626"/>
        <item m="1" x="2627"/>
        <item m="1" x="2157"/>
        <item m="1" x="2551"/>
        <item m="1" x="2155"/>
        <item m="1" x="2156"/>
        <item m="1" x="2628"/>
        <item m="1" x="2632"/>
        <item m="1" x="2633"/>
        <item m="1" x="2638"/>
        <item m="1" x="1250"/>
        <item x="304"/>
        <item m="1" x="1249"/>
        <item m="1" x="2327"/>
        <item m="1" x="2584"/>
        <item m="1" x="2585"/>
        <item x="364"/>
        <item m="1" x="1612"/>
        <item m="1" x="1614"/>
        <item m="1" x="2641"/>
        <item m="1" x="2426"/>
        <item m="1" x="2427"/>
        <item m="1" x="2642"/>
        <item m="1" x="2450"/>
        <item m="1" x="2649"/>
        <item m="1" x="1134"/>
        <item m="1" x="1133"/>
        <item m="1" x="1251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493"/>
        <item m="1" x="2494"/>
        <item m="1" x="2435"/>
        <item m="1" x="2436"/>
        <item m="1" x="2437"/>
        <item m="1" x="1434"/>
        <item m="1" x="2662"/>
        <item m="1" x="2663"/>
        <item m="1" x="2664"/>
        <item m="1" x="2665"/>
        <item m="1" x="2666"/>
        <item m="1" x="2668"/>
        <item m="1" x="2669"/>
        <item m="1" x="2670"/>
        <item m="1" x="2232"/>
        <item m="1" x="2671"/>
        <item m="1" x="2672"/>
        <item m="1" x="2674"/>
        <item m="1" x="2034"/>
        <item m="1" x="1326"/>
        <item m="1" x="2677"/>
        <item m="1" x="2678"/>
        <item m="1" x="2679"/>
        <item m="1" x="2680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385"/>
        <item m="1" x="2693"/>
        <item m="1" x="2078"/>
        <item m="1" x="2363"/>
        <item m="1" x="2694"/>
        <item m="1" x="2695"/>
        <item m="1" x="2696"/>
        <item m="1" x="2210"/>
        <item m="1" x="2706"/>
        <item m="1" x="1456"/>
        <item m="1" x="2050"/>
        <item m="1" x="2709"/>
        <item m="1" x="2710"/>
        <item m="1" x="2247"/>
        <item m="1" x="2712"/>
        <item m="1" x="2713"/>
        <item m="1" x="2714"/>
        <item m="1" x="2715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8"/>
        <item m="1" x="2009"/>
        <item m="1" x="2729"/>
        <item m="1" x="1772"/>
        <item m="1" x="2734"/>
        <item m="1" x="2735"/>
        <item m="1" x="1768"/>
        <item m="1" x="2496"/>
        <item m="1" x="2007"/>
        <item m="1" x="2498"/>
        <item m="1" x="2030"/>
        <item m="1" x="2028"/>
        <item m="1" x="2029"/>
        <item m="1" x="2025"/>
        <item m="1" x="2026"/>
        <item m="1" x="2027"/>
        <item m="1" x="2008"/>
        <item m="1" x="2499"/>
        <item m="1" x="2500"/>
        <item m="1" x="1926"/>
        <item m="1" x="2501"/>
        <item m="1" x="2502"/>
        <item m="1" x="2065"/>
        <item m="1" x="2503"/>
        <item m="1" x="2057"/>
        <item m="1" x="2069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118"/>
        <item m="1" x="2541"/>
        <item m="1" x="2542"/>
        <item m="1" x="2543"/>
        <item m="1" x="2544"/>
        <item m="1" x="1964"/>
        <item m="1" x="2545"/>
        <item m="1" x="1962"/>
        <item m="1" x="2546"/>
        <item m="1" x="1960"/>
        <item m="1" x="2138"/>
        <item m="1" x="1247"/>
        <item m="1" x="2144"/>
        <item m="1" x="2145"/>
        <item m="1" x="2146"/>
        <item m="1" x="2549"/>
        <item m="1" x="2550"/>
        <item m="1" x="2552"/>
        <item m="1" x="2553"/>
        <item m="1" x="2154"/>
        <item m="1" x="2162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196"/>
        <item m="1" x="2195"/>
        <item m="1" x="2564"/>
        <item m="1" x="1547"/>
        <item m="1" x="1548"/>
        <item m="1" x="1549"/>
        <item m="1" x="2565"/>
        <item m="1" x="2566"/>
        <item m="1" x="2567"/>
        <item m="1" x="2230"/>
        <item m="1" x="2235"/>
        <item m="1" x="2238"/>
        <item m="1" x="2246"/>
        <item m="1" x="2570"/>
        <item m="1" x="2571"/>
        <item m="1" x="2572"/>
        <item m="1" x="1377"/>
        <item m="1" x="1558"/>
        <item m="1" x="1840"/>
        <item m="1" x="1388"/>
        <item m="1" x="2576"/>
        <item m="1" x="2577"/>
        <item m="1" x="2324"/>
        <item m="1" x="2326"/>
        <item m="1" x="2325"/>
        <item m="1" x="2330"/>
        <item m="1" x="2579"/>
        <item m="1" x="2334"/>
        <item m="1" x="2333"/>
        <item m="1" x="2580"/>
        <item m="1" x="2583"/>
        <item m="1" x="2586"/>
        <item m="1" x="2587"/>
        <item m="1" x="2588"/>
        <item x="365"/>
        <item m="1" x="1248"/>
        <item m="1" x="2590"/>
        <item m="1" x="2350"/>
        <item m="1" x="1246"/>
        <item m="1" x="2380"/>
        <item m="1" x="2388"/>
        <item m="1" x="2389"/>
        <item m="1" x="2390"/>
        <item m="1" x="2359"/>
        <item m="1" x="2365"/>
        <item m="1" x="2377"/>
        <item m="1" x="1883"/>
        <item m="1" x="2594"/>
        <item m="1" x="2415"/>
        <item m="1" x="2595"/>
        <item m="1" x="2596"/>
        <item m="1" x="2597"/>
        <item m="1" x="2432"/>
        <item m="1" x="2433"/>
        <item m="1" x="2431"/>
        <item m="1" x="2429"/>
        <item m="1" x="2430"/>
        <item m="1" x="2598"/>
        <item x="466"/>
        <item m="1" x="2599"/>
        <item m="1" x="2448"/>
        <item m="1" x="2449"/>
        <item m="1" x="2441"/>
        <item m="1" x="2455"/>
        <item x="471"/>
        <item m="1" x="2600"/>
        <item m="1" x="2451"/>
        <item m="1" x="2601"/>
        <item m="1" x="2476"/>
        <item m="1" x="2483"/>
        <item m="1" x="2484"/>
        <item m="1" x="2485"/>
        <item m="1" x="2482"/>
        <item m="1" x="1132"/>
        <item m="1" x="2604"/>
        <item m="1" x="2605"/>
        <item m="1" x="2606"/>
        <item m="1" x="1760"/>
        <item m="1" x="2491"/>
        <item m="1" x="2492"/>
        <item m="1" x="1763"/>
        <item m="1" x="1762"/>
        <item m="1" x="1463"/>
        <item m="1" x="2031"/>
        <item m="1" x="2033"/>
        <item m="1" x="2054"/>
        <item m="1" x="2055"/>
        <item m="1" x="1285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27"/>
        <item m="1" x="2128"/>
        <item m="1" x="2129"/>
        <item m="1" x="2130"/>
        <item m="1" x="1322"/>
        <item m="1" x="2137"/>
        <item m="1" x="1532"/>
        <item m="1" x="1969"/>
        <item m="1" x="1245"/>
        <item m="1" x="2147"/>
        <item m="1" x="2148"/>
        <item m="1" x="2149"/>
        <item m="1" x="2152"/>
        <item m="1" x="2153"/>
        <item m="1" x="2158"/>
        <item m="1" x="2159"/>
        <item m="1" x="1257"/>
        <item m="1" x="2175"/>
        <item m="1" x="2176"/>
        <item m="1" x="1759"/>
        <item x="167"/>
        <item m="1" x="2199"/>
        <item m="1" x="2200"/>
        <item m="1" x="2201"/>
        <item m="1" x="2202"/>
        <item m="1" x="2211"/>
        <item m="1" x="2212"/>
        <item m="1" x="2228"/>
        <item m="1" x="2229"/>
        <item m="1" x="2234"/>
        <item m="1" x="2236"/>
        <item m="1" x="2240"/>
        <item m="1" x="2251"/>
        <item m="1" x="2257"/>
        <item m="1" x="2258"/>
        <item m="1" x="2259"/>
        <item m="1" x="2260"/>
        <item m="1" x="2261"/>
        <item m="1" x="2291"/>
        <item m="1" x="1381"/>
        <item m="1" x="1382"/>
        <item m="1" x="2302"/>
        <item m="1" x="2316"/>
        <item m="1" x="1566"/>
        <item m="1" x="1567"/>
        <item m="1" x="1568"/>
        <item m="1" x="2323"/>
        <item m="1" x="1846"/>
        <item m="1" x="2328"/>
        <item m="1" x="2329"/>
        <item m="1" x="1855"/>
        <item m="1" x="2331"/>
        <item m="1" x="2332"/>
        <item m="1" x="2335"/>
        <item m="1" x="2336"/>
        <item m="1" x="2337"/>
        <item x="309"/>
        <item x="310"/>
        <item x="311"/>
        <item x="312"/>
        <item x="313"/>
        <item x="305"/>
        <item x="306"/>
        <item x="307"/>
        <item x="308"/>
        <item m="1" x="2349"/>
        <item m="1" x="1866"/>
        <item m="1" x="2351"/>
        <item m="1" x="2352"/>
        <item m="1" x="2353"/>
        <item m="1" x="2354"/>
        <item m="1" x="1985"/>
        <item m="1" x="2355"/>
        <item m="1" x="2356"/>
        <item m="1" x="2369"/>
        <item m="1" x="2373"/>
        <item m="1" x="2376"/>
        <item m="1" x="2379"/>
        <item m="1" x="2386"/>
        <item m="1" x="2387"/>
        <item m="1" x="1992"/>
        <item m="1" x="2392"/>
        <item x="425"/>
        <item m="1" x="1758"/>
        <item m="1" x="1258"/>
        <item m="1" x="2409"/>
        <item m="1" x="2411"/>
        <item m="1" x="2413"/>
        <item m="1" x="2417"/>
        <item m="1" x="2438"/>
        <item m="1" x="2439"/>
        <item m="1" x="2442"/>
        <item m="1" x="2443"/>
        <item m="1" x="2444"/>
        <item m="1" x="2445"/>
        <item m="1" x="2446"/>
        <item m="1" x="2447"/>
        <item m="1" x="1447"/>
        <item m="1" x="2452"/>
        <item m="1" x="2453"/>
        <item m="1" x="2454"/>
        <item m="1" x="2456"/>
        <item m="1" x="2457"/>
        <item m="1" x="2458"/>
        <item m="1" x="2459"/>
        <item m="1" x="2466"/>
        <item m="1" x="2486"/>
        <item m="1" x="2488"/>
        <item m="1" x="2489"/>
        <item m="1" x="2490"/>
        <item m="1" x="1918"/>
        <item m="1" x="1919"/>
        <item m="1" x="1920"/>
        <item m="1" x="1921"/>
        <item m="1" x="1922"/>
        <item m="1" x="1244"/>
        <item m="1" x="1923"/>
        <item m="1" x="1924"/>
        <item m="1" x="1769"/>
        <item m="1" x="1927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798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1"/>
        <item m="1" x="1963"/>
        <item m="1" x="1186"/>
        <item m="1" x="1968"/>
        <item m="1" x="938"/>
        <item m="1" x="1971"/>
        <item m="1" x="1972"/>
        <item m="1" x="1973"/>
        <item m="1" x="1974"/>
        <item m="1" x="1975"/>
        <item m="1" x="1817"/>
        <item m="1" x="1820"/>
        <item m="1" x="1824"/>
        <item m="1" x="1831"/>
        <item m="1" x="1827"/>
        <item m="1" x="1828"/>
        <item m="1" x="1829"/>
        <item m="1" x="1826"/>
        <item m="1" x="1976"/>
        <item m="1" x="1978"/>
        <item m="1" x="1979"/>
        <item m="1" x="1980"/>
        <item m="1" x="1838"/>
        <item m="1" x="1839"/>
        <item m="1" x="1837"/>
        <item m="1" x="1836"/>
        <item m="1" x="1380"/>
        <item m="1" x="1843"/>
        <item m="1" x="1562"/>
        <item m="1" x="1569"/>
        <item m="1" x="1570"/>
        <item m="1" x="1847"/>
        <item m="1" x="1848"/>
        <item m="1" x="1849"/>
        <item x="295"/>
        <item m="1" x="1854"/>
        <item x="296"/>
        <item x="297"/>
        <item m="1" x="1863"/>
        <item m="1" x="1862"/>
        <item m="1" x="1858"/>
        <item m="1" x="1864"/>
        <item m="1" x="1986"/>
        <item m="1" x="1987"/>
        <item m="1" x="1988"/>
        <item m="1" x="1989"/>
        <item m="1" x="1990"/>
        <item m="1" x="1991"/>
        <item m="1" x="1993"/>
        <item m="1" x="1994"/>
        <item m="1" x="1995"/>
        <item m="1" x="1877"/>
        <item m="1" x="1876"/>
        <item m="1" x="1997"/>
        <item m="1" x="1878"/>
        <item m="1" x="1998"/>
        <item m="1" x="1999"/>
        <item m="1" x="2000"/>
        <item x="431"/>
        <item x="432"/>
        <item m="1" x="1884"/>
        <item m="1" x="1885"/>
        <item m="1" x="1616"/>
        <item m="1" x="1617"/>
        <item m="1" x="1615"/>
        <item m="1" x="1887"/>
        <item m="1" x="1890"/>
        <item x="465"/>
        <item m="1" x="1626"/>
        <item m="1" x="1627"/>
        <item m="1" x="1895"/>
        <item m="1" x="1894"/>
        <item m="1" x="1897"/>
        <item m="1" x="1903"/>
        <item m="1" x="1757"/>
        <item m="1" x="2002"/>
        <item m="1" x="2003"/>
        <item m="1" x="1131"/>
        <item x="486"/>
        <item m="1" x="1243"/>
        <item m="1" x="1242"/>
        <item m="1" x="2004"/>
        <item m="1" x="1909"/>
        <item m="1" x="1756"/>
        <item m="1" x="1755"/>
        <item m="1" x="2005"/>
        <item m="1" x="2006"/>
        <item m="1" x="1754"/>
        <item m="1" x="1764"/>
        <item m="1" x="1262"/>
        <item m="1" x="906"/>
        <item m="1" x="1765"/>
        <item m="1" x="1766"/>
        <item m="1" x="1268"/>
        <item m="1" x="1277"/>
        <item m="1" x="1767"/>
        <item m="1" x="1770"/>
        <item m="1" x="1503"/>
        <item m="1" x="1771"/>
        <item m="1" x="1773"/>
        <item m="1" x="1774"/>
        <item m="1" x="1775"/>
        <item m="1" x="1776"/>
        <item m="1" x="1777"/>
        <item m="1" x="1749"/>
        <item m="1" x="1778"/>
        <item m="1" x="174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x="40"/>
        <item m="1" x="1788"/>
        <item m="1" x="1789"/>
        <item m="1" x="1790"/>
        <item m="1" x="1791"/>
        <item m="1" x="1746"/>
        <item m="1" x="1792"/>
        <item m="1" x="1793"/>
        <item m="1" x="1794"/>
        <item m="1" x="1795"/>
        <item m="1" x="1796"/>
        <item m="1" x="1797"/>
        <item m="1" x="1799"/>
        <item m="1" x="1800"/>
        <item m="1" x="1801"/>
        <item m="1" x="1802"/>
        <item m="1" x="1295"/>
        <item m="1" x="1803"/>
        <item m="1" x="1804"/>
        <item m="1" x="1805"/>
        <item m="1" x="1806"/>
        <item m="1" x="1807"/>
        <item m="1" x="1751"/>
        <item m="1" x="1750"/>
        <item m="1" x="1808"/>
        <item m="1" x="1809"/>
        <item m="1" x="1810"/>
        <item m="1" x="1811"/>
        <item m="1" x="1812"/>
        <item m="1" x="1813"/>
        <item m="1" x="1531"/>
        <item m="1" x="1814"/>
        <item m="1" x="1747"/>
        <item m="1" x="1815"/>
        <item m="1" x="1753"/>
        <item m="1" x="1752"/>
        <item m="1" x="1539"/>
        <item x="123"/>
        <item m="1" x="1816"/>
        <item m="1" x="1818"/>
        <item m="1" x="1819"/>
        <item x="153"/>
        <item m="1" x="1545"/>
        <item m="1" x="1821"/>
        <item m="1" x="1822"/>
        <item m="1" x="1823"/>
        <item m="1" x="1825"/>
        <item m="1" x="1346"/>
        <item m="1" x="1830"/>
        <item m="1" x="1832"/>
        <item m="1" x="1352"/>
        <item m="1" x="1834"/>
        <item m="1" x="1835"/>
        <item m="1" x="1559"/>
        <item m="1" x="1560"/>
        <item m="1" x="1841"/>
        <item m="1" x="1842"/>
        <item m="1" x="1385"/>
        <item m="1" x="1844"/>
        <item m="1" x="1571"/>
        <item m="1" x="1390"/>
        <item m="1" x="1845"/>
        <item m="1" x="1850"/>
        <item m="1" x="1851"/>
        <item m="1" x="1852"/>
        <item m="1" x="1853"/>
        <item x="294"/>
        <item m="1" x="1856"/>
        <item x="336"/>
        <item m="1" x="1857"/>
        <item m="1" x="1859"/>
        <item m="1" x="1860"/>
        <item m="1" x="1861"/>
        <item m="1" x="1397"/>
        <item m="1" x="1865"/>
        <item m="1" x="1237"/>
        <item m="1" x="1867"/>
        <item m="1" x="1868"/>
        <item m="1" x="1869"/>
        <item m="1" x="1870"/>
        <item m="1" x="1871"/>
        <item m="1" x="1872"/>
        <item m="1" x="1873"/>
        <item m="1" x="1874"/>
        <item m="1" x="1404"/>
        <item m="1" x="1879"/>
        <item m="1" x="1880"/>
        <item m="1" x="1881"/>
        <item m="1" x="1882"/>
        <item m="1" x="1429"/>
        <item m="1" x="1430"/>
        <item m="1" x="1431"/>
        <item m="1" x="1613"/>
        <item m="1" x="1886"/>
        <item m="1" x="1888"/>
        <item m="1" x="1889"/>
        <item m="1" x="1891"/>
        <item m="1" x="1892"/>
        <item m="1" x="1893"/>
        <item m="1" x="1896"/>
        <item x="464"/>
        <item m="1" x="1898"/>
        <item m="1" x="1899"/>
        <item m="1" x="1900"/>
        <item m="1" x="1241"/>
        <item m="1" x="1901"/>
        <item m="1" x="1902"/>
        <item m="1" x="1904"/>
        <item m="1" x="990"/>
        <item m="1" x="1905"/>
        <item m="1" x="1448"/>
        <item m="1" x="1906"/>
        <item m="1" x="1907"/>
        <item m="1" x="1908"/>
        <item m="1" x="1128"/>
        <item m="1" x="1238"/>
        <item m="1" x="1129"/>
        <item x="485"/>
        <item m="1" x="1910"/>
        <item m="1" x="1911"/>
        <item m="1" x="1912"/>
        <item m="1" x="1913"/>
        <item m="1" x="1914"/>
        <item m="1" x="1915"/>
        <item m="1" x="1916"/>
        <item m="1" x="1917"/>
        <item m="1" x="1717"/>
        <item m="1" x="1744"/>
        <item m="1" x="1269"/>
        <item m="1" x="1690"/>
        <item m="1" x="1499"/>
        <item m="1" x="1185"/>
        <item m="1" x="1689"/>
        <item m="1" x="1283"/>
        <item m="1" x="1506"/>
        <item m="1" x="1508"/>
        <item m="1" x="1654"/>
        <item m="1" x="1660"/>
        <item m="1" x="1736"/>
        <item m="1" x="1729"/>
        <item m="1" x="1728"/>
        <item m="1" x="1716"/>
        <item m="1" x="1727"/>
        <item m="1" x="1726"/>
        <item m="1" x="1725"/>
        <item m="1" x="1724"/>
        <item m="1" x="1723"/>
        <item m="1" x="1722"/>
        <item m="1" x="1743"/>
        <item m="1" x="1742"/>
        <item m="1" x="1741"/>
        <item m="1" x="1703"/>
        <item m="1" x="1702"/>
        <item m="1" x="1737"/>
        <item m="1" x="1688"/>
        <item m="1" x="1700"/>
        <item m="1" x="1695"/>
        <item m="1" x="1709"/>
        <item m="1" x="1708"/>
        <item m="1" x="1707"/>
        <item m="1" x="1294"/>
        <item m="1" x="1706"/>
        <item m="1" x="1705"/>
        <item m="1" x="1704"/>
        <item m="1" x="1521"/>
        <item m="1" x="1715"/>
        <item m="1" x="1714"/>
        <item m="1" x="1713"/>
        <item m="1" x="1712"/>
        <item m="1" x="1711"/>
        <item m="1" x="1710"/>
        <item m="1" x="1686"/>
        <item m="1" x="1685"/>
        <item m="1" x="1684"/>
        <item m="1" x="1661"/>
        <item m="1" x="1666"/>
        <item m="1" x="1527"/>
        <item m="1" x="1311"/>
        <item x="79"/>
        <item m="1" x="1677"/>
        <item m="1" x="1314"/>
        <item m="1" x="1701"/>
        <item m="1" x="1319"/>
        <item m="1" x="1528"/>
        <item m="1" x="1671"/>
        <item m="1" x="1670"/>
        <item m="1" x="1669"/>
        <item m="1" x="1682"/>
        <item m="1" x="1681"/>
        <item m="1" x="1694"/>
        <item m="1" x="1693"/>
        <item m="1" x="1692"/>
        <item m="1" x="1691"/>
        <item m="1" x="1680"/>
        <item m="1" x="1679"/>
        <item m="1" x="1236"/>
        <item m="1" x="1235"/>
        <item m="1" x="1537"/>
        <item m="1" x="1538"/>
        <item m="1" x="1719"/>
        <item m="1" x="1718"/>
        <item m="1" x="1546"/>
        <item m="1" x="1730"/>
        <item m="1" x="1540"/>
        <item m="1" x="1544"/>
        <item x="168"/>
        <item m="1" x="1550"/>
        <item m="1" x="1551"/>
        <item m="1" x="1348"/>
        <item m="1" x="1656"/>
        <item m="1" x="1655"/>
        <item m="1" x="1554"/>
        <item m="1" x="1555"/>
        <item m="1" x="1653"/>
        <item m="1" x="1652"/>
        <item m="1" x="1557"/>
        <item m="1" x="1664"/>
        <item m="1" x="1663"/>
        <item m="1" x="1662"/>
        <item m="1" x="1561"/>
        <item m="1" x="1565"/>
        <item m="1" x="1676"/>
        <item m="1" x="1659"/>
        <item m="1" x="1683"/>
        <item m="1" x="1389"/>
        <item m="1" x="1675"/>
        <item m="1" x="1674"/>
        <item m="1" x="1673"/>
        <item m="1" x="1672"/>
        <item m="1" x="1735"/>
        <item m="1" x="1734"/>
        <item m="1" x="1587"/>
        <item m="1" x="1585"/>
        <item m="1" x="1586"/>
        <item m="1" x="1584"/>
        <item x="337"/>
        <item x="338"/>
        <item x="301"/>
        <item x="302"/>
        <item x="303"/>
        <item x="299"/>
        <item x="300"/>
        <item x="298"/>
        <item m="1" x="1740"/>
        <item m="1" x="1739"/>
        <item m="1" x="1732"/>
        <item m="1" x="1697"/>
        <item m="1" x="1696"/>
        <item m="1" x="1657"/>
        <item m="1" x="1699"/>
        <item m="1" x="1698"/>
        <item m="1" x="1421"/>
        <item m="1" x="1420"/>
        <item m="1" x="1687"/>
        <item m="1" x="1738"/>
        <item m="1" x="1658"/>
        <item m="1" x="1603"/>
        <item m="1" x="1606"/>
        <item m="1" x="1607"/>
        <item m="1" x="1433"/>
        <item m="1" x="1234"/>
        <item m="1" x="1720"/>
        <item m="1" x="1668"/>
        <item m="1" x="1619"/>
        <item m="1" x="1620"/>
        <item m="1" x="1621"/>
        <item m="1" x="1667"/>
        <item m="1" x="1733"/>
        <item m="1" x="1650"/>
        <item m="1" x="1629"/>
        <item m="1" x="1233"/>
        <item m="1" x="1665"/>
        <item m="1" x="1632"/>
        <item m="1" x="1640"/>
        <item m="1" x="1631"/>
        <item m="1" x="1651"/>
        <item m="1" x="1450"/>
        <item m="1" x="1451"/>
        <item m="1" x="1130"/>
        <item m="1" x="1721"/>
        <item m="1" x="1731"/>
        <item m="1" x="1745"/>
        <item m="1" x="1678"/>
        <item m="1" x="1464"/>
        <item m="1" x="1465"/>
        <item m="1" x="1261"/>
        <item m="1" x="1266"/>
        <item m="1" x="1466"/>
        <item m="1" x="1267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x="26"/>
        <item m="1" x="1286"/>
        <item m="1" x="1187"/>
        <item m="1" x="1502"/>
        <item m="1" x="1197"/>
        <item m="1" x="1504"/>
        <item m="1" x="1505"/>
        <item m="1" x="1507"/>
        <item m="1" x="1509"/>
        <item m="1" x="1293"/>
        <item m="1" x="1292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291"/>
        <item m="1" x="1519"/>
        <item m="1" x="1287"/>
        <item m="1" x="1520"/>
        <item m="1" x="1288"/>
        <item m="1" x="1522"/>
        <item m="1" x="1523"/>
        <item m="1" x="1524"/>
        <item m="1" x="1525"/>
        <item m="1" x="1289"/>
        <item m="1" x="1290"/>
        <item m="1" x="1526"/>
        <item x="81"/>
        <item x="86"/>
        <item x="84"/>
        <item m="1" x="1188"/>
        <item x="90"/>
        <item m="1" x="1529"/>
        <item m="1" x="1329"/>
        <item m="1" x="1330"/>
        <item m="1" x="1331"/>
        <item m="1" x="1530"/>
        <item m="1" x="1325"/>
        <item m="1" x="1533"/>
        <item m="1" x="1534"/>
        <item m="1" x="1535"/>
        <item m="1" x="1332"/>
        <item m="1" x="1536"/>
        <item m="1" x="1230"/>
        <item m="1" x="1543"/>
        <item m="1" x="1334"/>
        <item x="145"/>
        <item m="1" x="1335"/>
        <item m="1" x="1333"/>
        <item m="1" x="1341"/>
        <item m="1" x="1342"/>
        <item m="1" x="1343"/>
        <item m="1" x="1344"/>
        <item x="188"/>
        <item m="1" x="1552"/>
        <item m="1" x="1350"/>
        <item m="1" x="1553"/>
        <item m="1" x="1353"/>
        <item m="1" x="1354"/>
        <item m="1" x="1556"/>
        <item m="1" x="1357"/>
        <item m="1" x="1358"/>
        <item m="1" x="1359"/>
        <item m="1" x="1360"/>
        <item m="1" x="1367"/>
        <item m="1" x="1370"/>
        <item m="1" x="1371"/>
        <item m="1" x="1372"/>
        <item m="1" x="1373"/>
        <item m="1" x="1368"/>
        <item m="1" x="1374"/>
        <item m="1" x="1375"/>
        <item m="1" x="1379"/>
        <item m="1" x="960"/>
        <item m="1" x="1563"/>
        <item m="1" x="1564"/>
        <item m="1" x="1572"/>
        <item m="1" x="1573"/>
        <item m="1" x="1574"/>
        <item m="1" x="1575"/>
        <item m="1" x="1576"/>
        <item m="1" x="1577"/>
        <item m="1" x="1392"/>
        <item m="1" x="1581"/>
        <item m="1" x="1582"/>
        <item m="1" x="1583"/>
        <item m="1" x="1588"/>
        <item m="1" x="1398"/>
        <item m="1" x="1590"/>
        <item m="1" x="1591"/>
        <item m="1" x="1592"/>
        <item m="1" x="1594"/>
        <item m="1" x="1595"/>
        <item m="1" x="1596"/>
        <item m="1" x="1415"/>
        <item m="1" x="1597"/>
        <item m="1" x="1598"/>
        <item m="1" x="1409"/>
        <item x="397"/>
        <item x="417"/>
        <item x="428"/>
        <item m="1" x="1599"/>
        <item x="429"/>
        <item m="1" x="1600"/>
        <item m="1" x="1601"/>
        <item m="1" x="1602"/>
        <item m="1" x="1604"/>
        <item m="1" x="1605"/>
        <item m="1" x="1432"/>
        <item m="1" x="1608"/>
        <item m="1" x="1609"/>
        <item m="1" x="1610"/>
        <item m="1" x="1611"/>
        <item m="1" x="1618"/>
        <item m="1" x="1435"/>
        <item m="1" x="1622"/>
        <item m="1" x="1623"/>
        <item m="1" x="1624"/>
        <item m="1" x="1436"/>
        <item m="1" x="1625"/>
        <item m="1" x="1440"/>
        <item m="1" x="1630"/>
        <item m="1" x="1446"/>
        <item m="1" x="1442"/>
        <item m="1" x="1443"/>
        <item m="1" x="1444"/>
        <item m="1" x="1445"/>
        <item m="1" x="1633"/>
        <item m="1" x="1634"/>
        <item m="1" x="989"/>
        <item m="1" x="1635"/>
        <item m="1" x="1636"/>
        <item m="1" x="1637"/>
        <item m="1" x="1638"/>
        <item m="1" x="1639"/>
        <item m="1" x="1641"/>
        <item m="1" x="1449"/>
        <item m="1" x="1642"/>
        <item m="1" x="1643"/>
        <item m="1" x="1644"/>
        <item m="1" x="1647"/>
        <item m="1" x="1648"/>
        <item m="1" x="1649"/>
        <item m="1" x="1462"/>
        <item m="1" x="1460"/>
        <item m="1" x="1461"/>
        <item m="1" x="1210"/>
        <item m="1" x="1259"/>
        <item m="1" x="1260"/>
        <item x="7"/>
        <item m="1" x="526"/>
        <item m="1" x="1263"/>
        <item m="1" x="1264"/>
        <item m="1" x="1265"/>
        <item m="1" x="1240"/>
        <item m="1" x="1270"/>
        <item m="1" x="1271"/>
        <item m="1" x="1272"/>
        <item m="1" x="1273"/>
        <item m="1" x="1274"/>
        <item m="1" x="1275"/>
        <item m="1" x="1276"/>
        <item m="1" x="1000"/>
        <item m="1" x="1278"/>
        <item m="1" x="1279"/>
        <item m="1" x="1208"/>
        <item m="1" x="1280"/>
        <item m="1" x="1281"/>
        <item m="1" x="1003"/>
        <item m="1" x="1282"/>
        <item m="1" x="1207"/>
        <item m="1" x="1284"/>
        <item m="1" x="1232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217"/>
        <item m="1" x="1310"/>
        <item m="1" x="1312"/>
        <item m="1" x="1313"/>
        <item m="1" x="1315"/>
        <item m="1" x="1255"/>
        <item m="1" x="1316"/>
        <item m="1" x="1317"/>
        <item m="1" x="1229"/>
        <item m="1" x="1228"/>
        <item m="1" x="1227"/>
        <item m="1" x="1320"/>
        <item m="1" x="1321"/>
        <item m="1" x="1323"/>
        <item m="1" x="1324"/>
        <item m="1" x="1327"/>
        <item m="1" x="1328"/>
        <item m="1" x="1221"/>
        <item m="1" x="1220"/>
        <item m="1" x="1219"/>
        <item m="1" x="1226"/>
        <item m="1" x="1225"/>
        <item x="124"/>
        <item x="125"/>
        <item m="1" x="1218"/>
        <item m="1" x="1336"/>
        <item m="1" x="597"/>
        <item m="1" x="1337"/>
        <item m="1" x="1338"/>
        <item m="1" x="1205"/>
        <item m="1" x="1339"/>
        <item m="1" x="1340"/>
        <item x="132"/>
        <item m="1" x="1345"/>
        <item m="1" x="1206"/>
        <item x="128"/>
        <item x="129"/>
        <item m="1" x="1347"/>
        <item x="166"/>
        <item m="1" x="1349"/>
        <item x="196"/>
        <item m="1" x="1351"/>
        <item x="221"/>
        <item m="1" x="1355"/>
        <item m="1" x="1216"/>
        <item m="1" x="1239"/>
        <item x="253"/>
        <item m="1" x="1356"/>
        <item m="1" x="1361"/>
        <item m="1" x="1362"/>
        <item m="1" x="956"/>
        <item m="1" x="1363"/>
        <item m="1" x="1364"/>
        <item m="1" x="959"/>
        <item m="1" x="1365"/>
        <item m="1" x="1366"/>
        <item m="1" x="1376"/>
        <item m="1" x="1378"/>
        <item m="1" x="1383"/>
        <item m="1" x="899"/>
        <item x="281"/>
        <item m="1" x="1386"/>
        <item m="1" x="1387"/>
        <item m="1" x="965"/>
        <item m="1" x="1391"/>
        <item m="1" x="1393"/>
        <item m="1" x="1394"/>
        <item m="1" x="1395"/>
        <item m="1" x="646"/>
        <item x="328"/>
        <item m="1" x="1396"/>
        <item x="329"/>
        <item x="335"/>
        <item m="1" x="653"/>
        <item m="1" x="654"/>
        <item x="334"/>
        <item m="1" x="1224"/>
        <item m="1" x="1399"/>
        <item m="1" x="1400"/>
        <item m="1" x="1401"/>
        <item m="1" x="1402"/>
        <item x="358"/>
        <item m="1" x="1231"/>
        <item m="1" x="1096"/>
        <item m="1" x="1403"/>
        <item x="402"/>
        <item m="1" x="1405"/>
        <item m="1" x="1406"/>
        <item m="1" x="1407"/>
        <item x="395"/>
        <item m="1" x="1408"/>
        <item m="1" x="1410"/>
        <item m="1" x="1411"/>
        <item m="1" x="1412"/>
        <item m="1" x="1413"/>
        <item m="1" x="1414"/>
        <item m="1" x="1416"/>
        <item m="1" x="1417"/>
        <item m="1" x="1418"/>
        <item m="1" x="1419"/>
        <item m="1" x="1091"/>
        <item m="1" x="1422"/>
        <item m="1" x="1423"/>
        <item m="1" x="1424"/>
        <item x="421"/>
        <item x="422"/>
        <item m="1" x="1425"/>
        <item m="1" x="1426"/>
        <item m="1" x="1427"/>
        <item m="1" x="1428"/>
        <item m="1" x="982"/>
        <item m="1" x="983"/>
        <item x="435"/>
        <item m="1" x="984"/>
        <item m="1" x="900"/>
        <item m="1" x="1209"/>
        <item x="452"/>
        <item m="1" x="1437"/>
        <item m="1" x="1438"/>
        <item m="1" x="1439"/>
        <item m="1" x="698"/>
        <item m="1" x="1441"/>
        <item m="1" x="717"/>
        <item m="1" x="1452"/>
        <item m="1" x="1127"/>
        <item m="1" x="1215"/>
        <item m="1" x="1214"/>
        <item m="1" x="1453"/>
        <item m="1" x="1454"/>
        <item m="1" x="1455"/>
        <item x="501"/>
        <item m="1" x="902"/>
        <item m="1" x="901"/>
        <item m="1" x="1457"/>
        <item m="1" x="1458"/>
        <item m="1" x="1459"/>
        <item m="1" x="524"/>
        <item m="1" x="1171"/>
        <item m="1" x="1174"/>
        <item m="1" x="1173"/>
        <item m="1" x="1149"/>
        <item m="1" x="1150"/>
        <item x="15"/>
        <item x="25"/>
        <item m="1" x="1184"/>
        <item m="1" x="1223"/>
        <item m="1" x="1170"/>
        <item m="1" x="1176"/>
        <item m="1" x="1164"/>
        <item m="1" x="1198"/>
        <item m="1" x="1200"/>
        <item m="1" x="1166"/>
        <item m="1" x="1165"/>
        <item m="1" x="1169"/>
        <item m="1" x="1156"/>
        <item m="1" x="1158"/>
        <item m="1" x="1204"/>
        <item x="41"/>
        <item m="1" x="1181"/>
        <item m="1" x="1027"/>
        <item m="1" x="1028"/>
        <item m="1" x="1177"/>
        <item m="1" x="1154"/>
        <item m="1" x="1024"/>
        <item m="1" x="1157"/>
        <item m="1" x="1161"/>
        <item m="1" x="1160"/>
        <item x="88"/>
        <item m="1" x="1222"/>
        <item m="1" x="1167"/>
        <item m="1" x="1199"/>
        <item m="1" x="1043"/>
        <item m="1" x="1203"/>
        <item m="1" x="1047"/>
        <item m="1" x="1052"/>
        <item m="1" x="1053"/>
        <item m="1" x="951"/>
        <item x="147"/>
        <item x="148"/>
        <item x="152"/>
        <item x="157"/>
        <item m="1" x="1162"/>
        <item m="1" x="1048"/>
        <item m="1" x="1049"/>
        <item x="136"/>
        <item m="1" x="1196"/>
        <item m="1" x="1057"/>
        <item x="183"/>
        <item m="1" x="1194"/>
        <item m="1" x="1182"/>
        <item m="1" x="1163"/>
        <item m="1" x="1190"/>
        <item m="1" x="1155"/>
        <item x="246"/>
        <item m="1" x="1192"/>
        <item m="1" x="1191"/>
        <item m="1" x="1183"/>
        <item m="1" x="1202"/>
        <item m="1" x="1201"/>
        <item m="1" x="897"/>
        <item x="256"/>
        <item x="257"/>
        <item x="258"/>
        <item x="259"/>
        <item m="1" x="1159"/>
        <item m="1" x="1071"/>
        <item m="1" x="1069"/>
        <item m="1" x="1070"/>
        <item m="1" x="1068"/>
        <item m="1" x="1075"/>
        <item m="1" x="1076"/>
        <item x="282"/>
        <item m="1" x="895"/>
        <item m="1" x="1189"/>
        <item m="1" x="1180"/>
        <item m="1" x="1168"/>
        <item m="1" x="1256"/>
        <item m="1" x="1147"/>
        <item m="1" x="1084"/>
        <item m="1" x="1086"/>
        <item x="330"/>
        <item x="349"/>
        <item x="350"/>
        <item m="1" x="1195"/>
        <item m="1" x="1153"/>
        <item m="1" x="1172"/>
        <item x="411"/>
        <item m="1" x="1175"/>
        <item m="1" x="973"/>
        <item m="1" x="1098"/>
        <item m="1" x="1097"/>
        <item m="1" x="1211"/>
        <item x="401"/>
        <item x="372"/>
        <item m="1" x="1152"/>
        <item m="1" x="896"/>
        <item x="442"/>
        <item x="446"/>
        <item m="1" x="1151"/>
        <item x="453"/>
        <item m="1" x="1108"/>
        <item m="1" x="1109"/>
        <item m="1" x="1110"/>
        <item m="1" x="1112"/>
        <item m="1" x="1113"/>
        <item m="1" x="1121"/>
        <item m="1" x="1122"/>
        <item m="1" x="1123"/>
        <item m="1" x="1124"/>
        <item m="1" x="1125"/>
        <item x="469"/>
        <item m="1" x="898"/>
        <item m="1" x="718"/>
        <item m="1" x="719"/>
        <item m="1" x="720"/>
        <item m="1" x="721"/>
        <item m="1" x="722"/>
        <item m="1" x="723"/>
        <item m="1" x="1148"/>
        <item m="1" x="1213"/>
        <item m="1" x="1212"/>
        <item m="1" x="1135"/>
        <item m="1" x="1136"/>
        <item m="1" x="1179"/>
        <item m="1" x="1178"/>
        <item m="1" x="1193"/>
        <item m="1" x="1138"/>
        <item m="1" x="1140"/>
        <item m="1" x="1141"/>
        <item m="1" x="1142"/>
        <item m="1" x="1143"/>
        <item m="1" x="1144"/>
        <item m="1" x="1145"/>
        <item m="1" x="992"/>
        <item m="1" x="752"/>
        <item m="1" x="1139"/>
        <item m="1" x="523"/>
        <item m="1" x="993"/>
        <item m="1" x="905"/>
        <item m="1" x="994"/>
        <item m="1" x="995"/>
        <item m="1" x="996"/>
        <item m="1" x="997"/>
        <item m="1" x="998"/>
        <item x="34"/>
        <item m="1" x="999"/>
        <item x="27"/>
        <item m="1" x="1001"/>
        <item m="1" x="1002"/>
        <item m="1" x="1004"/>
        <item m="1" x="1005"/>
        <item m="1" x="1006"/>
        <item m="1" x="1007"/>
        <item m="1" x="1008"/>
        <item m="1" x="924"/>
        <item m="1" x="1009"/>
        <item m="1" x="925"/>
        <item m="1" x="1010"/>
        <item m="1" x="1011"/>
        <item m="1" x="1012"/>
        <item m="1" x="1013"/>
        <item m="1" x="542"/>
        <item x="4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x="42"/>
        <item m="1" x="1025"/>
        <item m="1" x="1026"/>
        <item m="1" x="1029"/>
        <item m="1" x="1030"/>
        <item m="1" x="1031"/>
        <item m="1" x="920"/>
        <item m="1" x="921"/>
        <item m="1" x="1032"/>
        <item m="1" x="1033"/>
        <item x="44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x="91"/>
        <item m="1" x="1044"/>
        <item m="1" x="1045"/>
        <item m="1" x="1046"/>
        <item x="158"/>
        <item x="156"/>
        <item m="1" x="947"/>
        <item m="1" x="948"/>
        <item m="1" x="1050"/>
        <item m="1" x="1051"/>
        <item m="1" x="950"/>
        <item m="1" x="1054"/>
        <item m="1" x="1055"/>
        <item m="1" x="1056"/>
        <item x="179"/>
        <item x="180"/>
        <item x="178"/>
        <item m="1" x="620"/>
        <item m="1" x="1058"/>
        <item m="1" x="891"/>
        <item m="1" x="1059"/>
        <item m="1" x="1060"/>
        <item x="219"/>
        <item x="223"/>
        <item m="1" x="892"/>
        <item m="1" x="1061"/>
        <item m="1" x="1062"/>
        <item m="1" x="1063"/>
        <item m="1" x="1064"/>
        <item m="1" x="1065"/>
        <item m="1" x="1066"/>
        <item m="1" x="1067"/>
        <item x="251"/>
        <item x="252"/>
        <item m="1" x="955"/>
        <item m="1" x="1072"/>
        <item m="1" x="958"/>
        <item m="1" x="1073"/>
        <item m="1" x="1074"/>
        <item m="1" x="629"/>
        <item m="1" x="1077"/>
        <item m="1" x="1078"/>
        <item m="1" x="1079"/>
        <item m="1" x="1080"/>
        <item m="1" x="1081"/>
        <item m="1" x="964"/>
        <item m="1" x="1082"/>
        <item m="1" x="1083"/>
        <item m="1" x="1085"/>
        <item x="333"/>
        <item m="1" x="967"/>
        <item m="1" x="648"/>
        <item m="1" x="652"/>
        <item x="351"/>
        <item m="1" x="1087"/>
        <item m="1" x="1088"/>
        <item m="1" x="1089"/>
        <item m="1" x="1090"/>
        <item m="1" x="1092"/>
        <item x="371"/>
        <item m="1" x="894"/>
        <item x="368"/>
        <item x="369"/>
        <item x="370"/>
        <item m="1" x="1093"/>
        <item x="367"/>
        <item m="1" x="1094"/>
        <item m="1" x="1095"/>
        <item x="400"/>
        <item x="398"/>
        <item x="399"/>
        <item x="387"/>
        <item m="1" x="1099"/>
        <item m="1" x="1100"/>
        <item m="1" x="1101"/>
        <item m="1" x="1102"/>
        <item m="1" x="1103"/>
        <item m="1" x="1104"/>
        <item m="1" x="978"/>
        <item m="1" x="1105"/>
        <item m="1" x="1106"/>
        <item m="1" x="893"/>
        <item x="440"/>
        <item m="1" x="1107"/>
        <item x="454"/>
        <item m="1" x="1111"/>
        <item m="1" x="987"/>
        <item m="1" x="1114"/>
        <item m="1" x="988"/>
        <item m="1" x="1115"/>
        <item m="1" x="1116"/>
        <item m="1" x="1117"/>
        <item m="1" x="1118"/>
        <item m="1" x="712"/>
        <item m="1" x="1119"/>
        <item m="1" x="1120"/>
        <item m="1" x="1126"/>
        <item x="484"/>
        <item m="1" x="1137"/>
        <item m="1" x="890"/>
        <item x="502"/>
        <item x="511"/>
        <item x="512"/>
        <item x="513"/>
        <item m="1" x="1146"/>
        <item m="1" x="903"/>
        <item m="1" x="904"/>
        <item m="1" x="907"/>
        <item m="1" x="908"/>
        <item m="1" x="529"/>
        <item x="31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x="47"/>
        <item x="46"/>
        <item m="1" x="918"/>
        <item m="1" x="919"/>
        <item m="1" x="922"/>
        <item m="1" x="923"/>
        <item x="45"/>
        <item m="1" x="926"/>
        <item m="1" x="927"/>
        <item m="1" x="928"/>
        <item m="1" x="929"/>
        <item m="1" x="930"/>
        <item m="1" x="931"/>
        <item m="1" x="932"/>
        <item m="1" x="541"/>
        <item m="1" x="933"/>
        <item m="1" x="934"/>
        <item m="1" x="935"/>
        <item m="1" x="936"/>
        <item m="1" x="937"/>
        <item x="78"/>
        <item m="1" x="578"/>
        <item x="87"/>
        <item m="1" x="590"/>
        <item m="1" x="939"/>
        <item m="1" x="940"/>
        <item m="1" x="941"/>
        <item m="1" x="942"/>
        <item m="1" x="943"/>
        <item m="1" x="944"/>
        <item m="1" x="945"/>
        <item m="1" x="946"/>
        <item x="126"/>
        <item x="154"/>
        <item x="155"/>
        <item m="1" x="949"/>
        <item x="142"/>
        <item x="143"/>
        <item m="1" x="598"/>
        <item m="1" x="599"/>
        <item m="1" x="608"/>
        <item m="1" x="606"/>
        <item m="1" x="609"/>
        <item m="1" x="611"/>
        <item m="1" x="612"/>
        <item x="187"/>
        <item x="186"/>
        <item m="1" x="952"/>
        <item x="224"/>
        <item x="225"/>
        <item m="1" x="883"/>
        <item m="1" x="953"/>
        <item m="1" x="954"/>
        <item m="1" x="621"/>
        <item m="1" x="871"/>
        <item m="1" x="870"/>
        <item m="1" x="957"/>
        <item x="267"/>
        <item x="268"/>
        <item x="277"/>
        <item m="1" x="882"/>
        <item m="1" x="961"/>
        <item m="1" x="962"/>
        <item m="1" x="879"/>
        <item m="1" x="875"/>
        <item m="1" x="874"/>
        <item m="1" x="886"/>
        <item m="1" x="876"/>
        <item m="1" x="881"/>
        <item m="1" x="880"/>
        <item m="1" x="885"/>
        <item m="1" x="963"/>
        <item m="1" x="884"/>
        <item m="1" x="640"/>
        <item m="1" x="641"/>
        <item m="1" x="966"/>
        <item m="1" x="647"/>
        <item x="344"/>
        <item x="345"/>
        <item m="1" x="649"/>
        <item m="1" x="878"/>
        <item m="1" x="877"/>
        <item m="1" x="650"/>
        <item m="1" x="666"/>
        <item m="1" x="968"/>
        <item m="1" x="969"/>
        <item m="1" x="970"/>
        <item m="1" x="971"/>
        <item m="1" x="869"/>
        <item x="386"/>
        <item x="376"/>
        <item m="1" x="972"/>
        <item m="1" x="887"/>
        <item x="410"/>
        <item m="1" x="679"/>
        <item m="1" x="974"/>
        <item m="1" x="975"/>
        <item m="1" x="976"/>
        <item x="413"/>
        <item m="1" x="977"/>
        <item x="427"/>
        <item x="426"/>
        <item x="441"/>
        <item m="1" x="979"/>
        <item m="1" x="980"/>
        <item m="1" x="981"/>
        <item x="437"/>
        <item x="436"/>
        <item m="1" x="985"/>
        <item m="1" x="986"/>
        <item m="1" x="700"/>
        <item m="1" x="701"/>
        <item m="1" x="702"/>
        <item m="1" x="703"/>
        <item m="1" x="707"/>
        <item m="1" x="708"/>
        <item m="1" x="713"/>
        <item m="1" x="873"/>
        <item m="1" x="889"/>
        <item m="1" x="888"/>
        <item x="483"/>
        <item x="481"/>
        <item x="482"/>
        <item m="1" x="991"/>
        <item m="1" x="726"/>
        <item x="500"/>
        <item m="1" x="751"/>
        <item m="1" x="872"/>
        <item m="1" x="750"/>
        <item m="1" x="731"/>
        <item m="1" x="732"/>
        <item m="1" x="733"/>
        <item m="1" x="734"/>
        <item m="1" x="735"/>
        <item m="1" x="746"/>
        <item m="1" x="747"/>
        <item m="1" x="745"/>
        <item x="521"/>
        <item m="1" x="788"/>
        <item m="1" x="776"/>
        <item m="1" x="845"/>
        <item m="1" x="534"/>
        <item m="1" x="533"/>
        <item m="1" x="757"/>
        <item m="1" x="530"/>
        <item m="1" x="531"/>
        <item m="1" x="532"/>
        <item m="1" x="528"/>
        <item m="1" x="863"/>
        <item m="1" x="770"/>
        <item m="1" x="769"/>
        <item m="1" x="856"/>
        <item m="1" x="775"/>
        <item m="1" x="537"/>
        <item m="1" x="789"/>
        <item x="22"/>
        <item m="1" x="868"/>
        <item m="1" x="758"/>
        <item m="1" x="552"/>
        <item m="1" x="774"/>
        <item m="1" x="773"/>
        <item m="1" x="772"/>
        <item m="1" x="771"/>
        <item m="1" x="762"/>
        <item m="1" x="553"/>
        <item m="1" x="756"/>
        <item m="1" x="755"/>
        <item m="1" x="754"/>
        <item m="1" x="554"/>
        <item m="1" x="551"/>
        <item m="1" x="550"/>
        <item m="1" x="781"/>
        <item m="1" x="803"/>
        <item m="1" x="806"/>
        <item m="1" x="818"/>
        <item m="1" x="546"/>
        <item m="1" x="815"/>
        <item m="1" x="821"/>
        <item m="1" x="548"/>
        <item m="1" x="549"/>
        <item m="1" x="547"/>
        <item m="1" x="832"/>
        <item m="1" x="831"/>
        <item m="1" x="829"/>
        <item m="1" x="828"/>
        <item m="1" x="827"/>
        <item m="1" x="826"/>
        <item m="1" x="862"/>
        <item m="1" x="864"/>
        <item m="1" x="543"/>
        <item m="1" x="861"/>
        <item x="420"/>
        <item m="1" x="867"/>
        <item m="1" x="866"/>
        <item m="1" x="852"/>
        <item m="1" x="544"/>
        <item m="1" x="846"/>
        <item m="1" x="842"/>
        <item m="1" x="841"/>
        <item m="1" x="545"/>
        <item m="1" x="840"/>
        <item m="1" x="816"/>
        <item m="1" x="817"/>
        <item m="1" x="805"/>
        <item m="1" x="804"/>
        <item m="1" x="810"/>
        <item m="1" x="851"/>
        <item m="1" x="579"/>
        <item m="1" x="586"/>
        <item x="92"/>
        <item m="1" x="591"/>
        <item m="1" x="780"/>
        <item x="120"/>
        <item x="122"/>
        <item m="1" x="825"/>
        <item m="1" x="824"/>
        <item m="1" x="610"/>
        <item m="1" x="855"/>
        <item m="1" x="600"/>
        <item m="1" x="767"/>
        <item m="1" x="603"/>
        <item x="149"/>
        <item x="160"/>
        <item m="1" x="800"/>
        <item m="1" x="619"/>
        <item m="1" x="617"/>
        <item m="1" x="618"/>
        <item m="1" x="777"/>
        <item x="220"/>
        <item m="1" x="830"/>
        <item m="1" x="779"/>
        <item m="1" x="849"/>
        <item m="1" x="848"/>
        <item m="1" x="847"/>
        <item m="1" x="765"/>
        <item m="1" x="764"/>
        <item m="1" x="763"/>
        <item m="1" x="860"/>
        <item m="1" x="859"/>
        <item m="1" x="853"/>
        <item m="1" x="792"/>
        <item m="1" x="836"/>
        <item m="1" x="835"/>
        <item x="261"/>
        <item m="1" x="854"/>
        <item m="1" x="626"/>
        <item m="1" x="627"/>
        <item m="1" x="784"/>
        <item m="1" x="630"/>
        <item m="1" x="632"/>
        <item x="275"/>
        <item m="1" x="783"/>
        <item m="1" x="782"/>
        <item m="1" x="844"/>
        <item m="1" x="822"/>
        <item m="1" x="785"/>
        <item m="1" x="790"/>
        <item m="1" x="791"/>
        <item m="1" x="843"/>
        <item m="1" x="801"/>
        <item m="1" x="638"/>
        <item m="1" x="857"/>
        <item m="1" x="802"/>
        <item x="291"/>
        <item m="1" x="642"/>
        <item m="1" x="643"/>
        <item m="1" x="645"/>
        <item x="331"/>
        <item m="1" x="657"/>
        <item m="1" x="837"/>
        <item m="1" x="651"/>
        <item m="1" x="655"/>
        <item m="1" x="658"/>
        <item m="1" x="753"/>
        <item m="1" x="656"/>
        <item x="360"/>
        <item x="361"/>
        <item x="359"/>
        <item m="1" x="672"/>
        <item m="1" x="768"/>
        <item m="1" x="667"/>
        <item x="391"/>
        <item m="1" x="820"/>
        <item m="1" x="814"/>
        <item m="1" x="813"/>
        <item m="1" x="850"/>
        <item x="392"/>
        <item m="1" x="786"/>
        <item x="380"/>
        <item x="381"/>
        <item x="383"/>
        <item x="384"/>
        <item x="385"/>
        <item m="1" x="798"/>
        <item m="1" x="677"/>
        <item x="409"/>
        <item m="1" x="865"/>
        <item x="408"/>
        <item x="414"/>
        <item m="1" x="833"/>
        <item x="412"/>
        <item m="1" x="799"/>
        <item m="1" x="787"/>
        <item m="1" x="819"/>
        <item m="1" x="686"/>
        <item m="1" x="778"/>
        <item x="424"/>
        <item m="1" x="690"/>
        <item m="1" x="691"/>
        <item m="1" x="692"/>
        <item m="1" x="823"/>
        <item m="1" x="693"/>
        <item m="1" x="694"/>
        <item x="443"/>
        <item m="1" x="766"/>
        <item m="1" x="812"/>
        <item m="1" x="811"/>
        <item m="1" x="794"/>
        <item m="1" x="793"/>
        <item m="1" x="760"/>
        <item m="1" x="759"/>
        <item m="1" x="706"/>
        <item m="1" x="697"/>
        <item m="1" x="699"/>
        <item m="1" x="834"/>
        <item x="468"/>
        <item m="1" x="714"/>
        <item m="1" x="715"/>
        <item m="1" x="709"/>
        <item m="1" x="839"/>
        <item m="1" x="838"/>
        <item m="1" x="761"/>
        <item x="477"/>
        <item m="1" x="797"/>
        <item m="1" x="796"/>
        <item m="1" x="795"/>
        <item m="1" x="742"/>
        <item m="1" x="743"/>
        <item m="1" x="809"/>
        <item m="1" x="744"/>
        <item m="1" x="808"/>
        <item m="1" x="748"/>
        <item m="1" x="749"/>
        <item m="1" x="858"/>
        <item m="1" x="728"/>
        <item m="1" x="729"/>
        <item m="1" x="730"/>
        <item m="1" x="807"/>
        <item m="1" x="727"/>
        <item m="1" x="525"/>
        <item x="1"/>
        <item x="8"/>
        <item m="1" x="527"/>
        <item m="1" x="535"/>
        <item x="28"/>
        <item x="29"/>
        <item x="30"/>
        <item m="1" x="536"/>
        <item m="1" x="538"/>
        <item m="1" x="539"/>
        <item x="23"/>
        <item m="1" x="540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80"/>
        <item m="1" x="581"/>
        <item m="1" x="582"/>
        <item x="89"/>
        <item m="1" x="583"/>
        <item m="1" x="584"/>
        <item m="1" x="585"/>
        <item x="93"/>
        <item m="1" x="587"/>
        <item m="1" x="588"/>
        <item m="1" x="589"/>
        <item m="1" x="592"/>
        <item x="104"/>
        <item m="1" x="593"/>
        <item x="105"/>
        <item m="1" x="594"/>
        <item m="1" x="595"/>
        <item x="106"/>
        <item x="117"/>
        <item x="121"/>
        <item m="1" x="596"/>
        <item x="118"/>
        <item x="119"/>
        <item x="140"/>
        <item x="150"/>
        <item m="1" x="601"/>
        <item m="1" x="602"/>
        <item m="1" x="604"/>
        <item x="138"/>
        <item x="144"/>
        <item x="141"/>
        <item x="133"/>
        <item m="1" x="605"/>
        <item m="1" x="607"/>
        <item x="127"/>
        <item x="174"/>
        <item x="175"/>
        <item x="176"/>
        <item x="177"/>
        <item x="189"/>
        <item m="1" x="613"/>
        <item m="1" x="614"/>
        <item x="181"/>
        <item x="182"/>
        <item m="1" x="615"/>
        <item m="1" x="616"/>
        <item x="184"/>
        <item x="185"/>
        <item x="194"/>
        <item x="195"/>
        <item x="199"/>
        <item x="200"/>
        <item x="198"/>
        <item x="197"/>
        <item x="201"/>
        <item x="202"/>
        <item x="203"/>
        <item x="212"/>
        <item x="211"/>
        <item x="210"/>
        <item x="207"/>
        <item x="208"/>
        <item x="209"/>
        <item x="205"/>
        <item x="206"/>
        <item x="204"/>
        <item x="222"/>
        <item x="232"/>
        <item x="230"/>
        <item x="231"/>
        <item x="233"/>
        <item x="234"/>
        <item x="235"/>
        <item x="236"/>
        <item x="237"/>
        <item x="238"/>
        <item x="226"/>
        <item x="227"/>
        <item x="228"/>
        <item x="229"/>
        <item x="244"/>
        <item m="1" x="622"/>
        <item m="1" x="623"/>
        <item m="1" x="624"/>
        <item m="1" x="625"/>
        <item m="1" x="628"/>
        <item m="1" x="631"/>
        <item x="276"/>
        <item m="1" x="633"/>
        <item m="1" x="634"/>
        <item m="1" x="635"/>
        <item m="1" x="636"/>
        <item m="1" x="637"/>
        <item m="1" x="639"/>
        <item x="292"/>
        <item x="293"/>
        <item x="290"/>
        <item x="326"/>
        <item x="327"/>
        <item m="1" x="644"/>
        <item m="1" x="659"/>
        <item x="332"/>
        <item m="1" x="660"/>
        <item m="1" x="661"/>
        <item m="1" x="662"/>
        <item m="1" x="663"/>
        <item m="1" x="664"/>
        <item x="342"/>
        <item m="1" x="665"/>
        <item m="1" x="668"/>
        <item x="354"/>
        <item m="1" x="669"/>
        <item m="1" x="670"/>
        <item m="1" x="671"/>
        <item x="363"/>
        <item x="362"/>
        <item m="1" x="673"/>
        <item m="1" x="674"/>
        <item x="382"/>
        <item m="1" x="675"/>
        <item m="1" x="676"/>
        <item m="1" x="678"/>
        <item m="1" x="680"/>
        <item x="396"/>
        <item m="1" x="681"/>
        <item m="1" x="682"/>
        <item m="1" x="683"/>
        <item m="1" x="684"/>
        <item m="1" x="685"/>
        <item x="375"/>
        <item x="373"/>
        <item x="374"/>
        <item m="1" x="687"/>
        <item m="1" x="688"/>
        <item x="416"/>
        <item x="415"/>
        <item m="1" x="689"/>
        <item x="439"/>
        <item x="438"/>
        <item x="448"/>
        <item x="449"/>
        <item x="450"/>
        <item x="451"/>
        <item m="1" x="695"/>
        <item m="1" x="696"/>
        <item x="455"/>
        <item m="1" x="704"/>
        <item m="1" x="705"/>
        <item m="1" x="710"/>
        <item m="1" x="711"/>
        <item m="1" x="716"/>
        <item x="474"/>
        <item x="475"/>
        <item x="473"/>
        <item x="479"/>
        <item x="478"/>
        <item x="476"/>
        <item x="480"/>
        <item m="1" x="724"/>
        <item x="497"/>
        <item m="1" x="725"/>
        <item m="1" x="736"/>
        <item m="1" x="737"/>
        <item m="1" x="738"/>
        <item m="1" x="739"/>
        <item m="1" x="740"/>
        <item m="1" x="741"/>
        <item x="0"/>
        <item x="2"/>
        <item x="3"/>
        <item x="4"/>
        <item x="5"/>
        <item x="6"/>
        <item x="9"/>
        <item x="10"/>
        <item x="11"/>
        <item x="12"/>
        <item x="13"/>
        <item x="17"/>
        <item x="18"/>
        <item x="19"/>
        <item x="20"/>
        <item x="21"/>
        <item x="24"/>
        <item x="32"/>
        <item x="33"/>
        <item x="35"/>
        <item x="36"/>
        <item x="37"/>
        <item x="38"/>
        <item x="3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2"/>
        <item x="83"/>
        <item x="85"/>
        <item x="94"/>
        <item x="95"/>
        <item x="96"/>
        <item x="97"/>
        <item x="98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30"/>
        <item x="131"/>
        <item x="134"/>
        <item x="135"/>
        <item x="137"/>
        <item x="139"/>
        <item x="151"/>
        <item x="159"/>
        <item x="161"/>
        <item x="162"/>
        <item x="165"/>
        <item x="169"/>
        <item x="170"/>
        <item x="171"/>
        <item x="172"/>
        <item x="173"/>
        <item x="190"/>
        <item x="191"/>
        <item x="192"/>
        <item x="193"/>
        <item x="213"/>
        <item x="214"/>
        <item x="215"/>
        <item x="216"/>
        <item x="217"/>
        <item x="218"/>
        <item x="239"/>
        <item x="240"/>
        <item x="241"/>
        <item x="242"/>
        <item x="243"/>
        <item x="245"/>
        <item x="247"/>
        <item x="248"/>
        <item x="249"/>
        <item x="260"/>
        <item x="262"/>
        <item x="263"/>
        <item x="264"/>
        <item x="265"/>
        <item x="266"/>
        <item x="269"/>
        <item x="270"/>
        <item x="271"/>
        <item x="272"/>
        <item x="273"/>
        <item x="274"/>
        <item x="280"/>
        <item x="283"/>
        <item x="284"/>
        <item x="285"/>
        <item x="286"/>
        <item x="287"/>
        <item x="288"/>
        <item x="289"/>
        <item x="341"/>
        <item x="343"/>
        <item x="346"/>
        <item x="347"/>
        <item x="348"/>
        <item x="352"/>
        <item x="353"/>
        <item x="355"/>
        <item x="356"/>
        <item x="377"/>
        <item x="378"/>
        <item x="379"/>
        <item x="388"/>
        <item x="389"/>
        <item x="390"/>
        <item x="393"/>
        <item x="394"/>
        <item x="403"/>
        <item x="404"/>
        <item x="405"/>
        <item x="406"/>
        <item x="407"/>
        <item x="418"/>
        <item x="419"/>
        <item x="423"/>
        <item x="430"/>
        <item x="433"/>
        <item x="434"/>
        <item x="444"/>
        <item x="445"/>
        <item x="447"/>
        <item x="456"/>
        <item x="457"/>
        <item x="458"/>
        <item x="459"/>
        <item x="460"/>
        <item x="463"/>
        <item x="467"/>
        <item x="470"/>
        <item x="472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3"/>
        <item x="504"/>
        <item x="505"/>
        <item x="506"/>
        <item x="507"/>
        <item x="508"/>
        <item x="509"/>
        <item x="510"/>
        <item x="514"/>
        <item x="515"/>
        <item x="516"/>
        <item x="517"/>
        <item x="518"/>
        <item x="519"/>
        <item x="5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446"/>
        <item m="1" x="7694"/>
        <item m="1" x="5066"/>
        <item m="1" x="5104"/>
        <item m="1" x="5078"/>
        <item m="1" x="7410"/>
        <item m="1" x="7834"/>
        <item m="1" x="6281"/>
        <item m="1" x="5795"/>
        <item m="1" x="5130"/>
        <item m="1" x="7684"/>
        <item m="1" x="6523"/>
        <item m="1" x="5134"/>
        <item m="1" x="3918"/>
        <item m="1" x="1728"/>
        <item m="1" x="5056"/>
        <item m="1" x="5026"/>
        <item m="1" x="5068"/>
        <item m="1" x="6286"/>
        <item m="1" x="1701"/>
        <item m="1" x="6524"/>
        <item m="1" x="2769"/>
        <item m="1" x="5112"/>
        <item m="1" x="6533"/>
        <item m="1" x="3917"/>
        <item m="1" x="7686"/>
        <item m="1" x="5069"/>
        <item m="1" x="4268"/>
        <item m="1" x="6285"/>
        <item m="1" x="6014"/>
        <item m="1" x="6015"/>
        <item m="1" x="6847"/>
        <item m="1" x="3919"/>
        <item m="1" x="3189"/>
        <item m="1" x="7816"/>
        <item m="1" x="1703"/>
        <item m="1" x="4007"/>
        <item m="1" x="6256"/>
        <item m="1" x="5060"/>
        <item m="1" x="5054"/>
        <item m="1" x="3922"/>
        <item m="1" x="3920"/>
        <item m="1" x="7545"/>
        <item m="1" x="4010"/>
        <item m="1" x="4009"/>
        <item m="1" x="4008"/>
        <item m="1" x="4011"/>
        <item m="1" x="4012"/>
        <item m="1" x="6758"/>
        <item m="1" x="6848"/>
        <item m="1" x="5071"/>
        <item m="1" x="5055"/>
        <item m="1" x="3921"/>
        <item m="1" x="4006"/>
        <item m="1" x="4013"/>
        <item m="1" x="4005"/>
        <item m="1" x="4015"/>
        <item m="1" x="7708"/>
        <item m="1" x="7703"/>
        <item m="1" x="7883"/>
        <item m="1" x="7757"/>
        <item m="1" x="7825"/>
        <item m="1" x="7746"/>
        <item m="1" x="7676"/>
        <item m="1" x="7693"/>
        <item m="1" x="7810"/>
        <item m="1" x="7861"/>
        <item m="1" x="7800"/>
        <item m="1" x="7801"/>
        <item m="1" x="7821"/>
        <item m="1" x="7688"/>
        <item m="1" x="5928"/>
        <item m="1" x="7767"/>
        <item m="1" x="7806"/>
        <item m="1" x="7683"/>
        <item m="1" x="4857"/>
        <item m="1" x="7826"/>
        <item m="1" x="7839"/>
        <item m="1" x="7744"/>
        <item m="1" x="2091"/>
        <item m="1" x="7712"/>
        <item m="1" x="7859"/>
        <item m="1" x="7724"/>
        <item m="1" x="7824"/>
        <item m="1" x="6026"/>
        <item m="1" x="7731"/>
        <item m="1" x="7719"/>
        <item m="1" x="7901"/>
        <item m="1" x="7732"/>
        <item m="1" x="7736"/>
        <item m="1" x="7742"/>
        <item m="1" x="7704"/>
        <item m="1" x="7734"/>
        <item m="1" x="7733"/>
        <item m="1" x="7739"/>
        <item m="1" x="7740"/>
        <item m="1" x="7770"/>
        <item m="1" x="5052"/>
        <item m="1" x="7758"/>
        <item m="1" x="7799"/>
        <item m="1" x="4267"/>
        <item m="1" x="7705"/>
        <item m="1" x="7707"/>
        <item m="1" x="7710"/>
        <item m="1" x="7745"/>
        <item m="1" x="7818"/>
        <item m="1" x="7913"/>
        <item m="1" x="7786"/>
        <item m="1" x="7725"/>
        <item m="1" x="7792"/>
        <item m="1" x="7812"/>
        <item m="1" x="7819"/>
        <item m="1" x="3751"/>
        <item m="1" x="7689"/>
        <item m="1" x="6278"/>
        <item m="1" x="6290"/>
        <item m="1" x="7717"/>
        <item m="1" x="7820"/>
        <item m="1" x="5106"/>
        <item m="1" x="7655"/>
        <item m="1" x="7814"/>
        <item m="1" x="7815"/>
        <item m="1" x="7229"/>
        <item m="1" x="7926"/>
        <item m="1" x="7759"/>
        <item m="1" x="7727"/>
        <item m="1" x="7728"/>
        <item m="1" x="7698"/>
        <item m="1" x="7140"/>
        <item m="1" x="6986"/>
        <item m="1" x="6226"/>
        <item m="1" x="7791"/>
        <item m="1" x="7713"/>
        <item m="1" x="7714"/>
        <item m="1" x="7715"/>
        <item m="1" x="7301"/>
        <item m="1" x="7781"/>
        <item m="1" x="7787"/>
        <item m="1" x="7866"/>
        <item m="1" x="7858"/>
        <item m="1" x="4778"/>
        <item m="1" x="7730"/>
        <item m="1" x="7785"/>
        <item m="1" x="7779"/>
        <item m="1" x="6025"/>
        <item m="1" x="7891"/>
        <item m="1" x="2792"/>
        <item m="1" x="6701"/>
        <item m="1" x="7902"/>
        <item m="1" x="7774"/>
        <item m="1" x="7772"/>
        <item m="1" x="7780"/>
        <item m="1" x="7776"/>
        <item m="1" x="7700"/>
        <item m="1" x="6514"/>
        <item m="1" x="7726"/>
        <item m="1" x="7741"/>
        <item m="1" x="7270"/>
        <item m="1" x="7737"/>
        <item m="1" x="7372"/>
        <item m="1" x="2785"/>
        <item m="1" x="7114"/>
        <item m="1" x="7495"/>
        <item m="1" x="7695"/>
        <item m="1" x="7881"/>
        <item m="1" x="6280"/>
        <item m="1" x="7783"/>
        <item m="1" x="7748"/>
        <item m="1" x="7775"/>
        <item m="1" x="7771"/>
        <item m="1" x="7773"/>
        <item m="1" x="7788"/>
        <item m="1" x="4997"/>
        <item m="1" x="7851"/>
        <item m="1" x="7761"/>
        <item m="1" x="7852"/>
        <item m="1" x="7853"/>
        <item m="1" x="7952"/>
        <item m="1" x="7892"/>
        <item m="1" x="7132"/>
        <item m="1" x="6985"/>
        <item m="1" x="7796"/>
        <item m="1" x="7797"/>
        <item m="1" x="5109"/>
        <item m="1" x="7909"/>
        <item m="1" x="7749"/>
        <item m="1" x="7670"/>
        <item m="1" x="7488"/>
        <item m="1" x="7811"/>
        <item m="1" x="7699"/>
        <item m="1" x="7802"/>
        <item m="1" x="6288"/>
        <item m="1" x="7738"/>
        <item m="1" x="6279"/>
        <item m="1" x="7235"/>
        <item m="1" x="6988"/>
        <item m="1" x="7650"/>
        <item m="1" x="7656"/>
        <item m="1" x="7854"/>
        <item m="1" x="7855"/>
        <item m="1" x="7518"/>
        <item m="1" x="6083"/>
        <item m="1" x="3403"/>
        <item m="1" x="7860"/>
        <item m="1" x="3174"/>
        <item m="1" x="7644"/>
        <item m="1" x="7322"/>
        <item m="1" x="7977"/>
        <item m="1" x="7702"/>
        <item m="1" x="7716"/>
        <item m="1" x="7847"/>
        <item m="1" x="7836"/>
        <item m="1" x="7833"/>
        <item m="1" x="7765"/>
        <item m="1" x="2033"/>
        <item m="1" x="7794"/>
        <item m="1" x="7638"/>
        <item m="1" x="7639"/>
        <item m="1" x="7640"/>
        <item m="1" x="7642"/>
        <item m="1" x="7131"/>
        <item m="1" x="5696"/>
        <item m="1" x="6987"/>
        <item m="1" x="5036"/>
        <item m="1" x="7886"/>
        <item m="1" x="7608"/>
        <item m="1" x="7609"/>
        <item m="1" x="7944"/>
        <item m="1" x="7133"/>
        <item m="1" x="7823"/>
        <item m="1" x="7711"/>
        <item m="1" x="7896"/>
        <item m="1" x="7370"/>
        <item m="1" x="7371"/>
        <item m="1" x="7793"/>
        <item m="1" x="7722"/>
        <item m="1" x="6283"/>
        <item m="1" x="6282"/>
        <item m="1" x="5077"/>
        <item m="1" x="6526"/>
        <item m="1" x="7566"/>
        <item m="1" x="7980"/>
        <item m="1" x="7981"/>
        <item m="1" x="7769"/>
        <item m="1" x="7829"/>
        <item m="1" x="7978"/>
        <item m="1" x="7662"/>
        <item m="1" x="7915"/>
        <item m="1" x="7782"/>
        <item m="1" x="6734"/>
        <item m="1" x="7803"/>
        <item m="1" x="7804"/>
        <item m="1" x="7641"/>
        <item m="1" x="7643"/>
        <item m="1" x="7768"/>
        <item m="1" x="7718"/>
        <item m="1" x="7828"/>
        <item m="1" x="7827"/>
        <item m="1" x="6721"/>
        <item m="1" x="5035"/>
        <item m="1" x="7937"/>
        <item m="1" x="7940"/>
        <item m="1" x="7904"/>
        <item m="1" x="7000"/>
        <item m="1" x="7870"/>
        <item m="1" x="7840"/>
        <item m="1" x="7914"/>
        <item m="1" x="7947"/>
        <item m="1" x="7469"/>
        <item m="1" x="7956"/>
        <item m="1" x="7955"/>
        <item m="1" x="7953"/>
        <item m="1" x="7790"/>
        <item m="1" x="7993"/>
        <item m="1" x="7961"/>
        <item m="1" x="7962"/>
        <item m="1" x="7963"/>
        <item m="1" x="7958"/>
        <item m="1" x="7972"/>
        <item m="1" x="7973"/>
        <item m="1" x="7974"/>
        <item m="1" x="7975"/>
        <item m="1" x="7976"/>
        <item m="1" x="7903"/>
        <item m="1" x="7988"/>
        <item m="1" x="7691"/>
        <item m="1" x="7690"/>
        <item m="1" x="7321"/>
        <item m="1" x="7979"/>
        <item m="1" x="7987"/>
        <item m="1" x="7871"/>
        <item m="1" x="7986"/>
        <item m="1" x="7869"/>
        <item m="1" x="7831"/>
        <item m="1" x="7982"/>
        <item m="1" x="7983"/>
        <item m="1" x="7872"/>
        <item m="1" x="7994"/>
        <item m="1" x="7868"/>
        <item m="1" x="7658"/>
        <item m="1" x="7999"/>
        <item m="1" x="7632"/>
        <item m="1" x="7637"/>
        <item m="1" x="7809"/>
        <item m="1" x="7654"/>
        <item m="1" x="7927"/>
        <item m="1" x="7928"/>
        <item m="1" x="7849"/>
        <item m="1" x="7929"/>
        <item m="1" x="7218"/>
        <item m="1" x="7930"/>
        <item m="1" x="7931"/>
        <item m="1" x="7429"/>
        <item m="1" x="7932"/>
        <item m="1" x="7933"/>
        <item m="1" x="7663"/>
        <item m="1" x="7664"/>
        <item m="1" x="7934"/>
        <item m="1" x="7935"/>
        <item m="1" x="7936"/>
        <item m="1" x="7938"/>
        <item m="1" x="7720"/>
        <item m="1" x="7939"/>
        <item m="1" x="7941"/>
        <item m="1" x="6990"/>
        <item m="1" x="7225"/>
        <item m="1" x="7582"/>
        <item m="1" x="7942"/>
        <item m="1" x="7943"/>
        <item m="1" x="7945"/>
        <item m="1" x="6710"/>
        <item m="1" x="7946"/>
        <item m="1" x="7948"/>
        <item m="1" x="7949"/>
        <item m="1" x="7950"/>
        <item m="1" x="7951"/>
        <item m="1" x="7568"/>
        <item m="1" x="7373"/>
        <item m="1" x="7615"/>
        <item m="1" x="7628"/>
        <item m="1" x="7954"/>
        <item m="1" x="7897"/>
        <item m="1" x="7957"/>
        <item m="1" x="7959"/>
        <item m="1" x="7960"/>
        <item m="1" x="7964"/>
        <item m="1" x="7965"/>
        <item m="1" x="7966"/>
        <item m="1" x="7967"/>
        <item m="1" x="7968"/>
        <item m="1" x="7969"/>
        <item m="1" x="7970"/>
        <item m="1" x="7971"/>
        <item m="1" x="7245"/>
        <item m="1" x="7629"/>
        <item m="1" x="6989"/>
        <item m="1" x="6284"/>
        <item m="1" x="7581"/>
        <item m="1" x="7912"/>
        <item m="1" x="7755"/>
        <item m="1" x="7756"/>
        <item m="1" x="7754"/>
        <item m="1" x="7813"/>
        <item m="1" x="7984"/>
        <item m="1" x="7985"/>
        <item m="1" x="7832"/>
        <item m="1" x="7830"/>
        <item m="1" x="7867"/>
        <item m="1" x="7567"/>
        <item m="1" x="7240"/>
        <item m="1" x="7789"/>
        <item m="1" x="7989"/>
        <item m="1" x="7990"/>
        <item m="1" x="7991"/>
        <item m="1" x="7992"/>
        <item m="1" x="7995"/>
        <item m="1" x="6277"/>
        <item m="1" x="7996"/>
        <item m="1" x="7607"/>
        <item m="1" x="7997"/>
        <item m="1" x="7998"/>
        <item m="1" x="7136"/>
        <item m="1" x="7135"/>
        <item m="1" x="7626"/>
        <item m="1" x="7916"/>
        <item m="1" x="7532"/>
        <item m="1" x="4826"/>
        <item m="1" x="7679"/>
        <item m="1" x="7747"/>
        <item m="1" x="7753"/>
        <item m="1" x="7360"/>
        <item m="1" x="7924"/>
        <item m="1" x="6997"/>
        <item m="1" x="6702"/>
        <item m="1" x="6709"/>
        <item m="1" x="7837"/>
        <item m="1" x="7817"/>
        <item m="1" x="7838"/>
        <item m="1" x="7923"/>
        <item m="1" x="7925"/>
        <item m="1" x="7874"/>
        <item m="1" x="7763"/>
        <item m="1" x="7697"/>
        <item m="1" x="7850"/>
        <item m="1" x="7875"/>
        <item m="1" x="7876"/>
        <item m="1" x="7877"/>
        <item m="1" x="7438"/>
        <item m="1" x="5065"/>
        <item m="1" x="7291"/>
        <item m="1" x="7878"/>
        <item m="1" x="7685"/>
        <item m="1" x="7879"/>
        <item m="1" x="7680"/>
        <item m="1" x="7880"/>
        <item m="1" x="7882"/>
        <item m="1" x="7665"/>
        <item m="1" x="7884"/>
        <item m="1" x="7269"/>
        <item m="1" x="7885"/>
        <item m="1" x="7887"/>
        <item m="1" x="7888"/>
        <item m="1" x="7889"/>
        <item m="1" x="7846"/>
        <item m="1" x="7709"/>
        <item m="1" x="7822"/>
        <item m="1" x="7583"/>
        <item m="1" x="7890"/>
        <item m="1" x="7510"/>
        <item m="1" x="7893"/>
        <item m="1" x="7894"/>
        <item m="1" x="7895"/>
        <item m="1" x="7366"/>
        <item m="1" x="7374"/>
        <item m="1" x="7588"/>
        <item m="1" x="7589"/>
        <item m="1" x="7139"/>
        <item m="1" x="7898"/>
        <item m="1" x="7899"/>
        <item m="1" x="7900"/>
        <item m="1" x="7574"/>
        <item m="1" x="7575"/>
        <item m="1" x="7576"/>
        <item m="1" x="3196"/>
        <item m="1" x="7766"/>
        <item m="1" x="7486"/>
        <item m="1" x="7905"/>
        <item m="1" x="7906"/>
        <item m="1" x="5062"/>
        <item m="1" x="7907"/>
        <item m="1" x="7908"/>
        <item m="1" x="7910"/>
        <item m="1" x="7911"/>
        <item m="1" x="7743"/>
        <item m="1" x="7565"/>
        <item m="1" x="7687"/>
        <item m="1" x="7668"/>
        <item m="1" x="7667"/>
        <item m="1" x="7563"/>
        <item m="1" x="7778"/>
        <item m="1" x="5022"/>
        <item m="1" x="7777"/>
        <item m="1" x="7601"/>
        <item m="1" x="7602"/>
        <item m="1" x="7603"/>
        <item m="1" x="7735"/>
        <item m="1" x="7598"/>
        <item m="1" x="6850"/>
        <item m="1" x="7784"/>
        <item m="1" x="7917"/>
        <item m="1" x="7918"/>
        <item m="1" x="7622"/>
        <item m="1" x="7919"/>
        <item m="1" x="7920"/>
        <item m="1" x="7921"/>
        <item m="1" x="7569"/>
        <item m="1" x="7752"/>
        <item m="1" x="7618"/>
        <item m="1" x="7539"/>
        <item m="1" x="7624"/>
        <item m="1" x="7659"/>
        <item m="1" x="7623"/>
        <item m="1" x="7648"/>
        <item m="1" x="7649"/>
        <item m="1" x="7646"/>
        <item m="1" x="7634"/>
        <item m="1" x="7633"/>
        <item m="1" x="7922"/>
        <item m="1" x="7795"/>
        <item m="1" x="7630"/>
        <item m="1" x="6708"/>
        <item m="1" x="7636"/>
        <item m="1" x="7798"/>
        <item m="1" x="7562"/>
        <item m="1" x="7524"/>
        <item m="1" x="7525"/>
        <item m="1" x="7388"/>
        <item m="1" x="7564"/>
        <item m="1" x="7298"/>
        <item m="1" x="7299"/>
        <item m="1" x="7570"/>
        <item m="1" x="7571"/>
        <item m="1" x="7572"/>
        <item m="1" x="7573"/>
        <item m="1" x="7577"/>
        <item m="1" x="7578"/>
        <item m="1" x="7579"/>
        <item m="1" x="7580"/>
        <item m="1" x="7584"/>
        <item m="1" x="6999"/>
        <item m="1" x="7585"/>
        <item m="1" x="7586"/>
        <item m="1" x="7587"/>
        <item m="1" x="7590"/>
        <item m="1" x="7591"/>
        <item m="1" x="7592"/>
        <item m="1" x="7593"/>
        <item m="1" x="7594"/>
        <item m="1" x="7464"/>
        <item m="1" x="7595"/>
        <item m="1" x="7596"/>
        <item m="1" x="7597"/>
        <item m="1" x="6998"/>
        <item m="1" x="7345"/>
        <item m="1" x="6849"/>
        <item m="1" x="7599"/>
        <item m="1" x="7600"/>
        <item m="1" x="7237"/>
        <item m="1" x="7238"/>
        <item m="1" x="7239"/>
        <item m="1" x="7604"/>
        <item m="1" x="7605"/>
        <item m="1" x="7606"/>
        <item m="1" x="5098"/>
        <item m="1" x="6995"/>
        <item m="1" x="7610"/>
        <item m="1" x="7611"/>
        <item m="1" x="7612"/>
        <item m="1" x="7613"/>
        <item m="1" x="7614"/>
        <item m="1" x="7367"/>
        <item m="1" x="7616"/>
        <item m="1" x="7617"/>
        <item m="1" x="7619"/>
        <item m="1" x="7620"/>
        <item m="1" x="7621"/>
        <item m="1" x="7625"/>
        <item m="1" x="7627"/>
        <item m="1" x="7631"/>
        <item m="1" x="6996"/>
        <item m="1" x="7477"/>
        <item m="1" x="7635"/>
        <item m="1" x="5088"/>
        <item m="1" x="2784"/>
        <item m="1" x="7645"/>
        <item m="1" x="7647"/>
        <item m="1" x="7137"/>
        <item m="1" x="7138"/>
        <item m="1" x="7651"/>
        <item m="1" x="7652"/>
        <item m="1" x="7653"/>
        <item m="1" x="7275"/>
        <item m="1" x="7657"/>
        <item m="1" x="7660"/>
        <item m="1" x="7661"/>
        <item m="1" x="6993"/>
        <item m="1" x="7666"/>
        <item m="1" x="7263"/>
        <item m="1" x="7669"/>
        <item m="1" x="7671"/>
        <item m="1" x="7672"/>
        <item m="1" x="7673"/>
        <item m="1" x="7674"/>
        <item m="1" x="7675"/>
        <item m="1" x="7677"/>
        <item m="1" x="7678"/>
        <item m="1" x="7264"/>
        <item m="1" x="7681"/>
        <item m="1" x="7682"/>
        <item m="1" x="7692"/>
        <item m="1" x="7696"/>
        <item m="1" x="7701"/>
        <item m="1" x="7706"/>
        <item m="1" x="7721"/>
        <item m="1" x="7723"/>
        <item m="1" x="7729"/>
        <item m="1" x="7750"/>
        <item m="1" x="7751"/>
        <item m="1" x="7760"/>
        <item m="1" x="7762"/>
        <item m="1" x="7764"/>
        <item m="1" x="7805"/>
        <item m="1" x="7807"/>
        <item m="1" x="7808"/>
        <item m="1" x="7426"/>
        <item m="1" x="7428"/>
        <item m="1" x="7835"/>
        <item m="1" x="7841"/>
        <item m="1" x="7842"/>
        <item m="1" x="7553"/>
        <item m="1" x="7512"/>
        <item m="1" x="7843"/>
        <item m="1" x="7844"/>
        <item m="1" x="7845"/>
        <item m="1" x="7848"/>
        <item m="1" x="7856"/>
        <item m="1" x="7857"/>
        <item m="1" x="7862"/>
        <item m="1" x="7863"/>
        <item m="1" x="7864"/>
        <item m="1" x="7865"/>
        <item m="1" x="6984"/>
        <item m="1" x="7439"/>
        <item m="1" x="7873"/>
        <item m="1" x="7001"/>
        <item m="1" x="7522"/>
        <item m="1" x="7304"/>
        <item m="1" x="7523"/>
        <item m="1" x="7141"/>
        <item m="1" x="7307"/>
        <item m="1" x="7308"/>
        <item m="1" x="7526"/>
        <item m="1" x="7527"/>
        <item m="1" x="7451"/>
        <item m="1" x="7528"/>
        <item m="1" x="7442"/>
        <item m="1" x="7443"/>
        <item m="1" x="7444"/>
        <item m="1" x="7445"/>
        <item m="1" x="7446"/>
        <item m="1" x="7447"/>
        <item m="1" x="7448"/>
        <item m="1" x="6666"/>
        <item m="1" x="7453"/>
        <item m="1" x="7529"/>
        <item m="1" x="7324"/>
        <item m="1" x="7223"/>
        <item m="1" x="6992"/>
        <item m="1" x="6991"/>
        <item m="1" x="7226"/>
        <item m="1" x="6703"/>
        <item m="1" x="7456"/>
        <item m="1" x="7530"/>
        <item m="1" x="6732"/>
        <item m="1" x="7531"/>
        <item m="1" x="7458"/>
        <item m="1" x="7255"/>
        <item m="1" x="7460"/>
        <item m="1" x="7461"/>
        <item m="1" x="7334"/>
        <item m="1" x="7230"/>
        <item m="1" x="6994"/>
        <item m="1" x="7533"/>
        <item m="1" x="7338"/>
        <item m="1" x="5008"/>
        <item m="1" x="7143"/>
        <item m="1" x="7343"/>
        <item m="1" x="7231"/>
        <item m="1" x="7134"/>
        <item m="1" x="7351"/>
        <item m="1" x="7534"/>
        <item m="1" x="5103"/>
        <item m="1" x="7535"/>
        <item m="1" x="5004"/>
        <item m="1" x="7536"/>
        <item m="1" x="7537"/>
        <item m="1" x="7353"/>
        <item m="1" x="7354"/>
        <item m="1" x="7355"/>
        <item m="1" x="5063"/>
        <item m="1" x="6704"/>
        <item m="1" x="7359"/>
        <item m="1" x="5002"/>
        <item m="1" x="7365"/>
        <item m="1" x="7538"/>
        <item m="1" x="7376"/>
        <item m="1" x="7478"/>
        <item m="1" x="7479"/>
        <item m="1" x="7380"/>
        <item m="1" x="7540"/>
        <item m="1" x="7474"/>
        <item m="1" x="7475"/>
        <item m="1" x="7385"/>
        <item m="1" x="7008"/>
        <item m="1" x="7541"/>
        <item m="1" x="7390"/>
        <item m="1" x="7481"/>
        <item m="1" x="7249"/>
        <item m="1" x="7260"/>
        <item m="1" x="7261"/>
        <item m="1" x="7542"/>
        <item m="1" x="5794"/>
        <item m="1" x="7543"/>
        <item m="1" x="4998"/>
        <item m="1" x="7544"/>
        <item m="1" x="7277"/>
        <item m="1" x="5086"/>
        <item m="1" x="7011"/>
        <item m="1" x="7546"/>
        <item m="1" x="6851"/>
        <item m="1" x="5038"/>
        <item m="1" x="5044"/>
        <item m="1" x="7246"/>
        <item m="1" x="6525"/>
        <item m="1" x="7547"/>
        <item m="1" x="7548"/>
        <item m="1" x="6705"/>
        <item m="1" x="6706"/>
        <item m="1" x="6852"/>
        <item m="1" x="7549"/>
        <item m="1" x="5058"/>
        <item m="1" x="7550"/>
        <item m="1" x="5061"/>
        <item m="1" x="7507"/>
        <item m="1" x="7551"/>
        <item m="1" x="7552"/>
        <item m="1" x="6291"/>
        <item m="1" x="6707"/>
        <item m="1" x="7013"/>
        <item m="1" x="7554"/>
        <item m="1" x="5697"/>
        <item m="1" x="7555"/>
        <item m="1" x="7556"/>
        <item m="1" x="7557"/>
        <item m="1" x="7558"/>
        <item m="1" x="5129"/>
        <item m="1" x="7559"/>
        <item m="1" x="6628"/>
        <item m="1" x="7560"/>
        <item m="1" x="7561"/>
        <item m="1" x="7289"/>
        <item m="1" x="7290"/>
        <item m="1" x="7292"/>
        <item m="1" x="7440"/>
        <item m="1" x="7293"/>
        <item m="1" x="7302"/>
        <item m="1" x="6532"/>
        <item m="1" x="7303"/>
        <item m="1" x="7310"/>
        <item m="1" x="7142"/>
        <item m="1" x="7295"/>
        <item m="1" x="7296"/>
        <item m="1" x="7002"/>
        <item m="1" x="7297"/>
        <item m="1" x="5043"/>
        <item m="1" x="7300"/>
        <item m="1" x="6711"/>
        <item m="1" x="7441"/>
        <item m="1" x="7395"/>
        <item m="1" x="7449"/>
        <item m="1" x="7450"/>
        <item m="1" x="7316"/>
        <item m="1" x="7314"/>
        <item m="1" x="7315"/>
        <item m="1" x="5437"/>
        <item m="1" x="7452"/>
        <item m="1" x="7312"/>
        <item m="1" x="7454"/>
        <item m="1" x="7319"/>
        <item m="1" x="7320"/>
        <item m="1" x="7455"/>
        <item m="1" x="7224"/>
        <item m="1" x="7323"/>
        <item m="1" x="7005"/>
        <item m="1" x="7457"/>
        <item m="1" x="7328"/>
        <item m="1" x="7329"/>
        <item m="1" x="7459"/>
        <item m="1" x="7331"/>
        <item m="1" x="7332"/>
        <item m="1" x="7333"/>
        <item m="1" x="7462"/>
        <item m="1" x="7463"/>
        <item m="1" x="7339"/>
        <item m="1" x="7006"/>
        <item m="1" x="7342"/>
        <item m="1" x="7144"/>
        <item m="1" x="7344"/>
        <item m="1" x="7233"/>
        <item m="1" x="7465"/>
        <item m="1" x="7368"/>
        <item m="1" x="7369"/>
        <item m="1" x="7242"/>
        <item m="1" x="7466"/>
        <item m="1" x="5040"/>
        <item m="1" x="7467"/>
        <item m="1" x="7468"/>
        <item m="1" x="6717"/>
        <item m="1" x="7363"/>
        <item m="1" x="7364"/>
        <item m="1" x="7007"/>
        <item m="1" x="7352"/>
        <item m="1" x="6530"/>
        <item m="1" x="7470"/>
        <item m="1" x="7361"/>
        <item m="1" x="7471"/>
        <item m="1" x="6528"/>
        <item m="1" x="7472"/>
        <item m="1" x="7377"/>
        <item m="1" x="7473"/>
        <item m="1" x="7378"/>
        <item m="1" x="7386"/>
        <item m="1" x="7476"/>
        <item m="1" x="7379"/>
        <item m="1" x="7480"/>
        <item m="1" x="7391"/>
        <item m="1" x="7482"/>
        <item m="1" x="7483"/>
        <item m="1" x="7484"/>
        <item m="1" x="6536"/>
        <item m="1" x="7485"/>
        <item m="1" x="7258"/>
        <item m="1" x="4982"/>
        <item m="1" x="7254"/>
        <item m="1" x="7145"/>
        <item m="1" x="7487"/>
        <item m="1" x="7014"/>
        <item m="1" x="7259"/>
        <item m="1" x="6719"/>
        <item m="1" x="7262"/>
        <item m="1" x="7399"/>
        <item m="1" x="7400"/>
        <item m="1" x="6629"/>
        <item m="1" x="7009"/>
        <item m="1" x="7489"/>
        <item m="1" x="7407"/>
        <item m="1" x="7406"/>
        <item m="1" x="5796"/>
        <item m="1" x="7490"/>
        <item m="1" x="5699"/>
        <item m="1" x="7266"/>
        <item m="1" x="7491"/>
        <item m="1" x="7492"/>
        <item m="1" x="5003"/>
        <item m="1" x="5000"/>
        <item m="1" x="5001"/>
        <item m="1" x="6853"/>
        <item m="1" x="7493"/>
        <item m="1" x="7494"/>
        <item m="1" x="7416"/>
        <item m="1" x="7496"/>
        <item m="1" x="7497"/>
        <item m="1" x="7012"/>
        <item m="1" x="5030"/>
        <item m="1" x="7498"/>
        <item m="1" x="7499"/>
        <item m="1" x="5045"/>
        <item m="1" x="7147"/>
        <item m="1" x="7148"/>
        <item m="1" x="7278"/>
        <item m="1" x="6289"/>
        <item m="1" x="5017"/>
        <item m="1" x="5013"/>
        <item m="1" x="7146"/>
        <item m="1" x="6531"/>
        <item m="1" x="6529"/>
        <item m="1" x="7500"/>
        <item m="1" x="6854"/>
        <item m="1" x="7417"/>
        <item m="1" x="7501"/>
        <item m="1" x="7502"/>
        <item m="1" x="7503"/>
        <item m="1" x="7504"/>
        <item m="1" x="5070"/>
        <item m="1" x="5075"/>
        <item m="1" x="7505"/>
        <item m="1" x="7506"/>
        <item m="1" x="7425"/>
        <item m="1" x="5097"/>
        <item m="1" x="7508"/>
        <item m="1" x="7427"/>
        <item m="1" x="7509"/>
        <item m="1" x="7511"/>
        <item m="1" x="7513"/>
        <item m="1" x="7514"/>
        <item m="1" x="6535"/>
        <item m="1" x="7515"/>
        <item m="1" x="7516"/>
        <item m="1" x="7517"/>
        <item m="1" x="7284"/>
        <item m="1" x="5701"/>
        <item m="1" x="7432"/>
        <item m="1" x="7435"/>
        <item m="1" x="7434"/>
        <item m="1" x="7519"/>
        <item m="1" x="7436"/>
        <item m="1" x="7437"/>
        <item m="1" x="7149"/>
        <item m="1" x="6725"/>
        <item m="1" x="7520"/>
        <item m="1" x="7521"/>
        <item m="1" x="7294"/>
        <item m="1" x="7003"/>
        <item m="1" x="7305"/>
        <item m="1" x="7306"/>
        <item m="1" x="7309"/>
        <item m="1" x="7311"/>
        <item m="1" x="7313"/>
        <item m="1" x="6712"/>
        <item m="1" x="7317"/>
        <item m="1" x="7222"/>
        <item m="1" x="7318"/>
        <item m="1" x="7004"/>
        <item m="1" x="7151"/>
        <item m="1" x="6713"/>
        <item m="1" x="7325"/>
        <item m="1" x="7326"/>
        <item m="1" x="7327"/>
        <item m="1" x="7330"/>
        <item m="1" x="7335"/>
        <item m="1" x="7336"/>
        <item m="1" x="7337"/>
        <item m="1" x="7340"/>
        <item m="1" x="7341"/>
        <item m="1" x="7346"/>
        <item m="1" x="7234"/>
        <item m="1" x="7347"/>
        <item m="1" x="7348"/>
        <item m="1" x="7349"/>
        <item m="1" x="7350"/>
        <item m="1" x="7243"/>
        <item m="1" x="7356"/>
        <item m="1" x="7357"/>
        <item m="1" x="7358"/>
        <item m="1" x="6287"/>
        <item m="1" x="6716"/>
        <item m="1" x="6715"/>
        <item m="1" x="5025"/>
        <item m="1" x="6714"/>
        <item m="1" x="7362"/>
        <item m="1" x="7375"/>
        <item m="1" x="7049"/>
        <item m="1" x="7381"/>
        <item m="1" x="7382"/>
        <item m="1" x="7383"/>
        <item m="1" x="7384"/>
        <item m="1" x="7387"/>
        <item m="1" x="6718"/>
        <item m="1" x="7389"/>
        <item m="1" x="7287"/>
        <item m="1" x="7392"/>
        <item m="1" x="7393"/>
        <item m="1" x="7394"/>
        <item m="1" x="7062"/>
        <item m="1" x="7251"/>
        <item m="1" x="7250"/>
        <item m="1" x="7252"/>
        <item m="1" x="7253"/>
        <item m="1" x="7256"/>
        <item m="1" x="7396"/>
        <item m="1" x="7397"/>
        <item m="1" x="7398"/>
        <item m="1" x="7010"/>
        <item m="1" x="7401"/>
        <item m="1" x="7402"/>
        <item m="1" x="7403"/>
        <item m="1" x="7404"/>
        <item m="1" x="5797"/>
        <item m="1" x="7405"/>
        <item m="1" x="7265"/>
        <item m="1" x="5698"/>
        <item m="1" x="6722"/>
        <item m="1" x="7408"/>
        <item m="1" x="7409"/>
        <item m="1" x="7411"/>
        <item m="1" x="6630"/>
        <item m="1" x="7279"/>
        <item m="1" x="7412"/>
        <item m="1" x="7413"/>
        <item m="1" x="7414"/>
        <item m="1" x="7415"/>
        <item m="1" x="7182"/>
        <item m="1" x="5049"/>
        <item m="1" x="7274"/>
        <item m="1" x="7418"/>
        <item m="1" x="7419"/>
        <item m="1" x="7420"/>
        <item m="1" x="7421"/>
        <item m="1" x="7422"/>
        <item m="1" x="7271"/>
        <item m="1" x="5089"/>
        <item m="1" x="6723"/>
        <item m="1" x="5700"/>
        <item m="1" x="7423"/>
        <item m="1" x="7424"/>
        <item m="1" x="6292"/>
        <item m="1" x="6534"/>
        <item m="1" x="7184"/>
        <item m="1" x="5117"/>
        <item m="1" x="5116"/>
        <item m="1" x="6546"/>
        <item m="1" x="7430"/>
        <item m="1" x="7431"/>
        <item m="1" x="5703"/>
        <item m="1" x="5704"/>
        <item m="1" x="5126"/>
        <item m="1" x="5702"/>
        <item m="1" x="7433"/>
        <item m="1" x="5705"/>
        <item m="1" x="7188"/>
        <item m="1" x="6724"/>
        <item m="1" x="7026"/>
        <item m="1" x="7027"/>
        <item m="1" x="7150"/>
        <item m="1" x="7216"/>
        <item m="1" x="7217"/>
        <item m="1" x="7219"/>
        <item m="1" x="7220"/>
        <item m="1" x="7221"/>
        <item m="1" x="7227"/>
        <item m="1" x="7228"/>
        <item m="1" x="6864"/>
        <item m="1" x="7044"/>
        <item m="1" x="7154"/>
        <item m="1" x="7232"/>
        <item m="1" x="7236"/>
        <item m="1" x="7155"/>
        <item m="1" x="7241"/>
        <item m="1" x="7157"/>
        <item m="1" x="7158"/>
        <item m="1" x="6296"/>
        <item m="1" x="7162"/>
        <item m="1" x="7244"/>
        <item m="1" x="7165"/>
        <item m="1" x="7050"/>
        <item m="1" x="7172"/>
        <item m="1" x="6225"/>
        <item m="1" x="7054"/>
        <item m="1" x="7170"/>
        <item m="1" x="6888"/>
        <item m="1" x="7056"/>
        <item m="1" x="7057"/>
        <item m="1" x="6889"/>
        <item m="1" x="6633"/>
        <item m="1" x="7247"/>
        <item m="1" x="7248"/>
        <item m="1" x="7061"/>
        <item m="1" x="7173"/>
        <item m="1" x="7257"/>
        <item m="1" x="5800"/>
        <item m="1" x="5803"/>
        <item m="1" x="6018"/>
        <item m="1" x="6017"/>
        <item m="1" x="6019"/>
        <item m="1" x="7267"/>
        <item m="1" x="7268"/>
        <item m="1" x="6301"/>
        <item m="1" x="5042"/>
        <item m="1" x="5034"/>
        <item m="1" x="7180"/>
        <item m="1" x="7272"/>
        <item m="1" x="7273"/>
        <item m="1" x="5454"/>
        <item m="1" x="7276"/>
        <item m="1" x="5073"/>
        <item m="1" x="5074"/>
        <item m="1" x="5072"/>
        <item m="1" x="5712"/>
        <item m="1" x="5014"/>
        <item m="1" x="5018"/>
        <item m="1" x="7280"/>
        <item m="1" x="5111"/>
        <item m="1" x="7281"/>
        <item m="1" x="6305"/>
        <item m="1" x="5118"/>
        <item m="1" x="7189"/>
        <item m="1" x="7282"/>
        <item m="1" x="7283"/>
        <item m="1" x="7285"/>
        <item m="1" x="7286"/>
        <item m="1" x="5132"/>
        <item m="1" x="7288"/>
        <item m="1" x="6640"/>
        <item m="1" x="6700"/>
        <item m="1" x="5119"/>
        <item m="1" x="7015"/>
        <item m="1" x="7025"/>
        <item m="1" x="6858"/>
        <item m="1" x="6726"/>
        <item m="1" x="7152"/>
        <item m="1" x="7153"/>
        <item m="1" x="7031"/>
        <item m="1" x="6862"/>
        <item m="1" x="6863"/>
        <item m="1" x="7024"/>
        <item m="1" x="7036"/>
        <item m="1" x="7037"/>
        <item m="1" x="7038"/>
        <item m="1" x="7035"/>
        <item m="1" x="7156"/>
        <item m="1" x="7159"/>
        <item m="1" x="7160"/>
        <item m="1" x="7051"/>
        <item m="1" x="6385"/>
        <item m="1" x="6881"/>
        <item m="1" x="6731"/>
        <item m="1" x="6880"/>
        <item m="1" x="7161"/>
        <item m="1" x="7046"/>
        <item m="1" x="7047"/>
        <item m="1" x="7048"/>
        <item m="1" x="7163"/>
        <item m="1" x="7164"/>
        <item m="1" x="7166"/>
        <item m="1" x="7167"/>
        <item m="1" x="7168"/>
        <item m="1" x="6757"/>
        <item m="1" x="7169"/>
        <item m="1" x="7171"/>
        <item m="1" x="6890"/>
        <item m="1" x="6738"/>
        <item m="1" x="7174"/>
        <item m="1" x="7175"/>
        <item m="1" x="7176"/>
        <item m="1" x="7177"/>
        <item m="1" x="2903"/>
        <item m="1" x="7178"/>
        <item m="1" x="7179"/>
        <item m="1" x="7181"/>
        <item m="1" x="7183"/>
        <item m="1" x="7069"/>
        <item m="1" x="7070"/>
        <item m="1" x="4404"/>
        <item m="1" x="7071"/>
        <item m="1" x="7185"/>
        <item m="1" x="7186"/>
        <item m="1" x="7187"/>
        <item m="1" x="7190"/>
        <item m="1" x="7072"/>
        <item m="1" x="7191"/>
        <item m="1" x="6641"/>
        <item m="1" x="7018"/>
        <item m="1" x="7019"/>
        <item m="1" x="6856"/>
        <item m="1" x="7020"/>
        <item m="1" x="7021"/>
        <item m="1" x="7022"/>
        <item m="1" x="5064"/>
        <item m="1" x="7023"/>
        <item m="1" x="6876"/>
        <item m="1" x="7192"/>
        <item m="1" x="6865"/>
        <item m="1" x="7193"/>
        <item m="1" x="7194"/>
        <item m="1" x="6859"/>
        <item m="1" x="7034"/>
        <item m="1" x="7195"/>
        <item m="1" x="6739"/>
        <item m="1" x="7196"/>
        <item m="1" x="7197"/>
        <item m="1" x="7055"/>
        <item m="1" x="7053"/>
        <item m="1" x="7052"/>
        <item m="1" x="7068"/>
        <item m="1" x="7198"/>
        <item m="1" x="7199"/>
        <item m="1" x="7059"/>
        <item m="1" x="7060"/>
        <item m="1" x="7200"/>
        <item m="1" x="5799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5024"/>
        <item m="1" x="7211"/>
        <item m="1" x="5101"/>
        <item m="1" x="7212"/>
        <item m="1" x="7213"/>
        <item m="1" x="6020"/>
        <item m="1" x="5721"/>
        <item m="1" x="5722"/>
        <item m="1" x="6764"/>
        <item m="1" x="7214"/>
        <item m="1" x="5128"/>
        <item m="1" x="7215"/>
        <item m="1" x="7016"/>
        <item m="1" x="7017"/>
        <item m="1" x="6860"/>
        <item m="1" x="7028"/>
        <item m="1" x="7029"/>
        <item m="1" x="7030"/>
        <item m="1" x="6866"/>
        <item m="1" x="7032"/>
        <item m="1" x="7033"/>
        <item m="1" x="7039"/>
        <item m="1" x="7040"/>
        <item m="1" x="7041"/>
        <item m="1" x="7042"/>
        <item m="1" x="7043"/>
        <item m="1" x="7045"/>
        <item m="1" x="6883"/>
        <item m="1" x="6884"/>
        <item m="1" x="6745"/>
        <item m="1" x="7058"/>
        <item m="1" x="7063"/>
        <item m="1" x="7064"/>
        <item m="1" x="7065"/>
        <item m="1" x="5091"/>
        <item m="1" x="7066"/>
        <item m="1" x="7067"/>
        <item m="1" x="5805"/>
        <item m="1" x="6870"/>
        <item m="1" x="5124"/>
        <item m="1" x="6893"/>
        <item m="1" x="6769"/>
        <item m="1" x="5012"/>
        <item m="1" x="6773"/>
        <item m="1" x="6774"/>
        <item m="1" x="7073"/>
        <item m="1" x="7074"/>
        <item m="1" x="7075"/>
        <item m="1" x="7076"/>
        <item m="1" x="7077"/>
        <item m="1" x="7078"/>
        <item m="1" x="7079"/>
        <item m="1" x="7080"/>
        <item m="1" x="6855"/>
        <item m="1" x="6857"/>
        <item m="1" x="7081"/>
        <item m="1" x="7082"/>
        <item m="1" x="7083"/>
        <item m="1" x="6877"/>
        <item m="1" x="6868"/>
        <item m="1" x="6869"/>
        <item m="1" x="6867"/>
        <item m="1" x="7084"/>
        <item m="1" x="6871"/>
        <item m="1" x="6756"/>
        <item m="1" x="6874"/>
        <item m="1" x="6875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6735"/>
        <item m="1" x="6882"/>
        <item m="1" x="7102"/>
        <item m="1" x="7103"/>
        <item m="1" x="7104"/>
        <item m="1" x="7105"/>
        <item m="1" x="7106"/>
        <item m="1" x="7107"/>
        <item m="1" x="7108"/>
        <item m="1" x="7109"/>
        <item m="1" x="6886"/>
        <item m="1" x="7110"/>
        <item m="1" x="6891"/>
        <item m="1" x="7111"/>
        <item m="1" x="7112"/>
        <item m="1" x="7113"/>
        <item m="1" x="7115"/>
        <item m="1" x="7116"/>
        <item m="1" x="6541"/>
        <item m="1" x="7117"/>
        <item m="1" x="7118"/>
        <item m="1" x="7119"/>
        <item m="1" x="7120"/>
        <item m="1" x="5029"/>
        <item m="1" x="7121"/>
        <item m="1" x="7122"/>
        <item m="1" x="7123"/>
        <item m="1" x="7124"/>
        <item m="1" x="7125"/>
        <item m="1" x="5723"/>
        <item m="1" x="6892"/>
        <item m="1" x="7126"/>
        <item m="1" x="7127"/>
        <item m="1" x="7128"/>
        <item m="1" x="7129"/>
        <item m="1" x="7130"/>
        <item m="1" x="4822"/>
        <item m="1" x="6720"/>
        <item m="1" x="6760"/>
        <item m="1" x="6861"/>
        <item m="1" x="6872"/>
        <item m="1" x="6873"/>
        <item m="1" x="6878"/>
        <item m="1" x="6879"/>
        <item m="1" x="6376"/>
        <item m="1" x="6728"/>
        <item m="1" x="6733"/>
        <item m="1" x="6737"/>
        <item x="15"/>
        <item m="1" x="6736"/>
        <item m="1" x="6885"/>
        <item m="1" x="6887"/>
        <item m="1" x="6747"/>
        <item m="1" x="5802"/>
        <item m="1" x="6632"/>
        <item m="1" x="6751"/>
        <item m="1" x="6752"/>
        <item m="1" x="5005"/>
        <item m="1" x="4999"/>
        <item m="1" x="5006"/>
        <item m="1" x="5076"/>
        <item m="1" x="5053"/>
        <item m="1" x="5057"/>
        <item m="1" x="6539"/>
        <item m="1" x="6300"/>
        <item m="1" x="5085"/>
        <item m="1" x="5032"/>
        <item m="1" x="6542"/>
        <item m="1" x="5011"/>
        <item m="1" x="5021"/>
        <item m="1" x="5010"/>
        <item m="1" x="5023"/>
        <item m="1" x="5046"/>
        <item m="1" x="6302"/>
        <item m="1" x="5028"/>
        <item m="1" x="6540"/>
        <item m="1" x="5050"/>
        <item m="1" x="5051"/>
        <item m="1" x="5009"/>
        <item m="1" x="6299"/>
        <item m="1" x="5096"/>
        <item m="1" x="5100"/>
        <item m="1" x="6303"/>
        <item m="1" x="5102"/>
        <item m="1" x="6545"/>
        <item m="1" x="6761"/>
        <item m="1" x="6762"/>
        <item m="1" x="6765"/>
        <item m="1" x="5131"/>
        <item m="1" x="6768"/>
        <item m="1" x="6894"/>
        <item m="1" x="6895"/>
        <item m="1" x="6896"/>
        <item m="1" x="6897"/>
        <item m="1" x="6898"/>
        <item m="1" x="6537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727"/>
        <item m="1" x="6919"/>
        <item m="1" x="6920"/>
        <item m="1" x="6921"/>
        <item m="1" x="6922"/>
        <item m="1" x="6371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2346"/>
        <item m="1" x="6935"/>
        <item m="1" x="6936"/>
        <item m="1" x="6937"/>
        <item m="1" x="6938"/>
        <item m="1" x="6939"/>
        <item m="1" x="6940"/>
        <item m="1" x="6941"/>
        <item m="1" x="6729"/>
        <item m="1" x="6942"/>
        <item m="1" x="6943"/>
        <item m="1" x="6944"/>
        <item m="1" x="6945"/>
        <item m="1" x="6730"/>
        <item m="1" x="6946"/>
        <item m="1" x="6947"/>
        <item m="1" x="6740"/>
        <item m="1" x="6741"/>
        <item m="1" x="6743"/>
        <item m="1" x="6742"/>
        <item m="1" x="6948"/>
        <item m="1" x="6949"/>
        <item m="1" x="6744"/>
        <item m="1" x="6950"/>
        <item m="1" x="6951"/>
        <item m="1" x="4773"/>
        <item m="1" x="6952"/>
        <item m="1" x="6953"/>
        <item m="1" x="5031"/>
        <item m="1" x="6954"/>
        <item m="1" x="6955"/>
        <item m="1" x="6746"/>
        <item m="1" x="6956"/>
        <item m="1" x="6957"/>
        <item m="1" x="6748"/>
        <item m="1" x="6084"/>
        <item m="1" x="6750"/>
        <item m="1" x="6749"/>
        <item m="1" x="5706"/>
        <item m="1" x="6958"/>
        <item m="1" x="6297"/>
        <item m="1" x="6298"/>
        <item m="1" x="6959"/>
        <item m="1" x="6960"/>
        <item m="1" x="6961"/>
        <item m="1" x="6962"/>
        <item m="1" x="5037"/>
        <item m="1" x="6963"/>
        <item m="1" x="6637"/>
        <item m="1" x="5019"/>
        <item m="1" x="5033"/>
        <item m="1" x="5048"/>
        <item m="1" x="6964"/>
        <item m="1" x="5041"/>
        <item m="1" x="5047"/>
        <item m="1" x="6965"/>
        <item m="1" x="6966"/>
        <item m="1" x="6544"/>
        <item m="1" x="6759"/>
        <item m="1" x="5080"/>
        <item m="1" x="5067"/>
        <item m="1" x="6086"/>
        <item m="1" x="6967"/>
        <item m="1" x="6968"/>
        <item m="1" x="6969"/>
        <item m="1" x="6970"/>
        <item m="1" x="6971"/>
        <item m="1" x="6753"/>
        <item m="1" x="6972"/>
        <item m="1" x="6973"/>
        <item m="1" x="6974"/>
        <item m="1" x="6975"/>
        <item m="1" x="6976"/>
        <item m="1" x="5020"/>
        <item m="1" x="6977"/>
        <item m="1" x="6230"/>
        <item m="1" x="6978"/>
        <item m="1" x="6304"/>
        <item m="1" x="6979"/>
        <item m="1" x="6980"/>
        <item m="1" x="6386"/>
        <item m="1" x="3593"/>
        <item m="1" x="6981"/>
        <item m="1" x="6982"/>
        <item m="1" x="5724"/>
        <item m="1" x="3304"/>
        <item m="1" x="6763"/>
        <item m="1" x="6766"/>
        <item m="1" x="6983"/>
        <item m="1" x="6767"/>
        <item m="1" x="6388"/>
        <item m="1" x="6770"/>
        <item m="1" x="6772"/>
        <item m="1" x="6771"/>
        <item m="1" x="6390"/>
        <item m="1" x="6754"/>
        <item m="1" x="6755"/>
        <item m="1" x="6775"/>
        <item m="1" x="6634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5939"/>
        <item m="1" x="6793"/>
        <item m="1" x="6794"/>
        <item m="1" x="6795"/>
        <item m="1" x="6796"/>
        <item m="1" x="6797"/>
        <item m="1" x="6798"/>
        <item m="1" x="6799"/>
        <item m="1" x="6800"/>
        <item m="1" x="6295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606"/>
        <item m="1" x="6819"/>
        <item m="1" x="6820"/>
        <item m="1" x="6821"/>
        <item m="1" x="5716"/>
        <item m="1" x="6822"/>
        <item m="1" x="5714"/>
        <item m="1" x="6823"/>
        <item m="1" x="6824"/>
        <item m="1" x="6825"/>
        <item m="1" x="5059"/>
        <item m="1" x="6826"/>
        <item m="1" x="6827"/>
        <item m="1" x="6828"/>
        <item m="1" x="6229"/>
        <item m="1" x="6829"/>
        <item m="1" x="6830"/>
        <item m="1" x="6636"/>
        <item m="1" x="6831"/>
        <item m="1" x="6832"/>
        <item m="1" x="6833"/>
        <item m="1" x="6834"/>
        <item m="1" x="5105"/>
        <item m="1" x="6835"/>
        <item m="1" x="5107"/>
        <item m="1" x="6836"/>
        <item m="1" x="6837"/>
        <item m="1" x="6838"/>
        <item m="1" x="6839"/>
        <item m="1" x="6840"/>
        <item m="1" x="6841"/>
        <item m="1" x="6842"/>
        <item m="1" x="5718"/>
        <item m="1" x="6843"/>
        <item m="1" x="6639"/>
        <item m="1" x="6844"/>
        <item m="1" x="6845"/>
        <item m="1" x="6846"/>
        <item m="1" x="6626"/>
        <item m="1" x="6522"/>
        <item m="1" x="6627"/>
        <item m="1" x="6527"/>
        <item m="1" x="6631"/>
        <item m="1" x="4987"/>
        <item m="1" x="4986"/>
        <item m="1" x="4988"/>
        <item m="1" x="5709"/>
        <item m="1" x="5711"/>
        <item m="1" x="5093"/>
        <item m="1" x="5094"/>
        <item m="1" x="5087"/>
        <item m="1" x="6635"/>
        <item m="1" x="6638"/>
        <item m="1" x="6021"/>
        <item m="1" x="1707"/>
        <item m="1" x="5573"/>
        <item m="1" x="6555"/>
        <item m="1" x="6556"/>
        <item m="1" x="6557"/>
        <item m="1" x="6558"/>
        <item m="1" x="6554"/>
        <item m="1" x="6642"/>
        <item m="1" x="6398"/>
        <item m="1" x="6399"/>
        <item m="1" x="6400"/>
        <item m="1" x="6401"/>
        <item m="1" x="5798"/>
        <item m="1" x="6232"/>
        <item m="1" x="6643"/>
        <item m="1" x="6016"/>
        <item m="1" x="6367"/>
        <item m="1" x="6644"/>
        <item m="1" x="6368"/>
        <item m="1" x="6369"/>
        <item m="1" x="6370"/>
        <item m="1" x="6645"/>
        <item m="1" x="5810"/>
        <item m="1" x="6293"/>
        <item m="1" x="6413"/>
        <item m="1" x="6372"/>
        <item m="1" x="6646"/>
        <item m="1" x="6647"/>
        <item m="1" x="6648"/>
        <item m="1" x="6649"/>
        <item m="1" x="6650"/>
        <item m="1" x="6538"/>
        <item m="1" x="6436"/>
        <item m="1" x="6437"/>
        <item m="1" x="6651"/>
        <item m="1" x="6383"/>
        <item m="1" x="6652"/>
        <item m="1" x="6653"/>
        <item m="1" x="6294"/>
        <item m="1" x="6654"/>
        <item m="1" x="6088"/>
        <item m="1" x="6570"/>
        <item m="1" x="6378"/>
        <item m="1" x="6379"/>
        <item m="1" x="6380"/>
        <item m="1" x="6375"/>
        <item m="1" x="6373"/>
        <item m="1" x="6374"/>
        <item m="1" x="6429"/>
        <item m="1" x="6381"/>
        <item m="1" x="6382"/>
        <item m="1" x="6655"/>
        <item m="1" x="6656"/>
        <item m="1" x="6377"/>
        <item m="1" x="6574"/>
        <item m="1" x="6657"/>
        <item m="1" x="6658"/>
        <item m="1" x="3473"/>
        <item m="1" x="6571"/>
        <item m="1" x="6572"/>
        <item m="1" x="6573"/>
        <item m="1" x="6447"/>
        <item m="1" x="6449"/>
        <item m="1" x="6659"/>
        <item m="1" x="6660"/>
        <item m="1" x="4507"/>
        <item m="1" x="6454"/>
        <item m="1" x="6459"/>
        <item m="1" x="6661"/>
        <item m="1" x="6662"/>
        <item m="1" x="6586"/>
        <item m="1" x="6384"/>
        <item m="1" x="6462"/>
        <item m="1" x="6472"/>
        <item m="1" x="6473"/>
        <item m="1" x="6663"/>
        <item m="1" x="6664"/>
        <item m="1" x="5367"/>
        <item m="1" x="6387"/>
        <item m="1" x="5467"/>
        <item m="1" x="6665"/>
        <item m="1" x="5368"/>
        <item m="1" x="4980"/>
        <item m="1" x="4981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5801"/>
        <item m="1" x="5804"/>
        <item m="1" x="6085"/>
        <item m="1" x="6679"/>
        <item m="1" x="5339"/>
        <item m="1" x="6680"/>
        <item m="1" x="6681"/>
        <item m="1" x="6682"/>
        <item m="1" x="6612"/>
        <item m="1" x="6683"/>
        <item m="1" x="5707"/>
        <item m="1" x="5713"/>
        <item m="1" x="5710"/>
        <item m="1" x="5715"/>
        <item m="1" x="5708"/>
        <item m="1" x="1948"/>
        <item m="1" x="6684"/>
        <item m="1" x="6685"/>
        <item m="1" x="6686"/>
        <item m="1" x="4831"/>
        <item m="1" x="6543"/>
        <item m="1" x="6613"/>
        <item m="1" x="6687"/>
        <item m="1" x="6688"/>
        <item m="1" x="6515"/>
        <item m="1" x="5108"/>
        <item m="1" x="6689"/>
        <item m="1" x="5806"/>
        <item m="1" x="6618"/>
        <item m="1" x="5726"/>
        <item m="1" x="6690"/>
        <item m="1" x="6306"/>
        <item m="1" x="6691"/>
        <item m="1" x="6692"/>
        <item m="1" x="6693"/>
        <item m="1" x="5719"/>
        <item m="1" x="5720"/>
        <item m="1" x="6694"/>
        <item m="1" x="5727"/>
        <item m="1" x="5717"/>
        <item m="1" x="5725"/>
        <item m="1" x="6620"/>
        <item m="1" x="6621"/>
        <item m="1" x="6622"/>
        <item m="1" x="6695"/>
        <item m="1" x="6696"/>
        <item m="1" x="6697"/>
        <item m="1" x="6698"/>
        <item m="1" x="6389"/>
        <item m="1" x="6699"/>
        <item m="1" x="6624"/>
        <item m="1" x="6625"/>
        <item m="1" x="2805"/>
        <item m="1" x="2795"/>
        <item m="1" x="4021"/>
        <item m="1" x="5039"/>
        <item m="1" x="6547"/>
        <item m="1" x="6548"/>
        <item m="1" x="6549"/>
        <item m="1" x="6550"/>
        <item m="1" x="6551"/>
        <item m="1" x="6391"/>
        <item m="1" x="6552"/>
        <item m="1" x="6553"/>
        <item m="1" x="6559"/>
        <item m="1" x="6402"/>
        <item m="1" x="6403"/>
        <item m="1" x="6560"/>
        <item m="1" x="6561"/>
        <item m="1" x="6562"/>
        <item m="1" x="6563"/>
        <item m="1" x="6564"/>
        <item m="1" x="6408"/>
        <item m="1" x="6316"/>
        <item m="1" x="6409"/>
        <item m="1" x="6410"/>
        <item m="1" x="6359"/>
        <item m="1" x="6414"/>
        <item m="1" x="6240"/>
        <item m="1" x="6415"/>
        <item m="1" x="6320"/>
        <item m="1" x="6565"/>
        <item m="1" x="6417"/>
        <item m="1" x="6418"/>
        <item m="1" x="6566"/>
        <item m="1" x="6567"/>
        <item m="1" x="6416"/>
        <item m="1" x="6438"/>
        <item m="1" x="6439"/>
        <item m="1" x="6440"/>
        <item m="1" x="6441"/>
        <item m="1" x="6442"/>
        <item m="1" x="6568"/>
        <item m="1" x="6569"/>
        <item m="1" x="6420"/>
        <item m="1" x="6422"/>
        <item m="1" x="6423"/>
        <item m="1" x="6425"/>
        <item m="1" x="6426"/>
        <item m="1" x="6427"/>
        <item m="1" x="6428"/>
        <item m="1" x="6424"/>
        <item m="1" x="6443"/>
        <item m="1" x="6419"/>
        <item m="1" x="6140"/>
        <item m="1" x="6575"/>
        <item m="1" x="6444"/>
        <item m="1" x="6576"/>
        <item m="1" x="6577"/>
        <item m="1" x="6578"/>
        <item m="1" x="6579"/>
        <item m="1" x="6580"/>
        <item m="1" x="6581"/>
        <item m="1" x="6450"/>
        <item m="1" x="2189"/>
        <item m="1" x="6448"/>
        <item m="1" x="6452"/>
        <item m="1" x="6582"/>
        <item m="1" x="5291"/>
        <item m="1" x="6455"/>
        <item m="1" x="4508"/>
        <item m="1" x="6333"/>
        <item m="1" x="6583"/>
        <item m="1" x="4509"/>
        <item m="1" x="6584"/>
        <item m="1" x="6458"/>
        <item m="1" x="6585"/>
        <item m="1" x="6460"/>
        <item m="1" x="6461"/>
        <item m="1" x="6463"/>
        <item m="1" x="6464"/>
        <item m="1" x="6465"/>
        <item m="1" x="6474"/>
        <item m="1" x="6587"/>
        <item m="1" x="6588"/>
        <item m="1" x="6589"/>
        <item m="1" x="6590"/>
        <item m="1" x="6591"/>
        <item m="1" x="6592"/>
        <item m="1" x="6593"/>
        <item m="1" x="6485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480"/>
        <item m="1" x="6481"/>
        <item m="1" x="6482"/>
        <item m="1" x="6483"/>
        <item m="1" x="6484"/>
        <item m="1" x="6486"/>
        <item m="1" x="6487"/>
        <item m="1" x="6604"/>
        <item m="1" x="6494"/>
        <item m="1" x="6112"/>
        <item m="1" x="6491"/>
        <item m="1" x="6119"/>
        <item m="1" x="1834"/>
        <item m="1" x="1849"/>
        <item m="1" x="1848"/>
        <item m="1" x="6605"/>
        <item m="1" x="5338"/>
        <item m="1" x="6499"/>
        <item m="1" x="1914"/>
        <item m="1" x="1913"/>
        <item m="1" x="1912"/>
        <item m="1" x="1132"/>
        <item m="1" x="1911"/>
        <item m="1" x="1910"/>
        <item m="1" x="1909"/>
        <item m="1" x="6607"/>
        <item m="1" x="6608"/>
        <item m="1" x="6511"/>
        <item m="1" x="6609"/>
        <item m="1" x="6610"/>
        <item m="1" x="6611"/>
        <item m="1" x="6501"/>
        <item m="1" x="6614"/>
        <item m="1" x="6258"/>
        <item m="1" x="6615"/>
        <item m="1" x="5838"/>
        <item m="1" x="6616"/>
        <item m="1" x="6617"/>
        <item m="1" x="6134"/>
        <item m="1" x="6619"/>
        <item m="1" x="6519"/>
        <item m="1" x="6623"/>
        <item m="1" x="6052"/>
        <item m="1" x="5938"/>
        <item m="1" x="6392"/>
        <item m="1" x="6393"/>
        <item m="1" x="6394"/>
        <item m="1" x="6395"/>
        <item m="1" x="6396"/>
        <item m="1" x="6397"/>
        <item m="1" x="6404"/>
        <item m="1" x="6405"/>
        <item m="1" x="6406"/>
        <item m="1" x="6407"/>
        <item m="1" x="5458"/>
        <item m="1" x="5459"/>
        <item m="1" x="5460"/>
        <item m="1" x="6411"/>
        <item m="1" x="5461"/>
        <item m="1" x="4719"/>
        <item m="1" x="5462"/>
        <item m="1" x="6412"/>
        <item m="1" x="6231"/>
        <item m="1" x="6125"/>
        <item m="1" x="4437"/>
        <item m="1" x="6089"/>
        <item m="1" x="6236"/>
        <item m="1" x="6321"/>
        <item m="1" x="6421"/>
        <item m="1" x="6430"/>
        <item m="1" x="6431"/>
        <item m="1" x="6432"/>
        <item m="1" x="6433"/>
        <item m="1" x="6434"/>
        <item m="1" x="6435"/>
        <item m="1" x="5143"/>
        <item m="1" x="6445"/>
        <item m="1" x="6446"/>
        <item m="1" x="5139"/>
        <item m="1" x="6451"/>
        <item m="1" x="6453"/>
        <item m="1" x="6456"/>
        <item m="1" x="6457"/>
        <item m="1" x="6248"/>
        <item m="1" x="6336"/>
        <item m="1" x="6466"/>
        <item m="1" x="6467"/>
        <item m="1" x="6468"/>
        <item m="1" x="6469"/>
        <item m="1" x="6470"/>
        <item m="1" x="6471"/>
        <item m="1" x="5825"/>
        <item m="1" x="6475"/>
        <item m="1" x="6476"/>
        <item m="1" x="5204"/>
        <item m="1" x="6145"/>
        <item m="1" x="6146"/>
        <item m="1" x="6142"/>
        <item m="1" x="6141"/>
        <item m="1" x="6144"/>
        <item m="1" x="6477"/>
        <item m="1" x="6331"/>
        <item m="1" x="6478"/>
        <item m="1" x="6479"/>
        <item m="1" x="6488"/>
        <item m="1" x="6489"/>
        <item m="1" x="6490"/>
        <item m="1" x="5836"/>
        <item m="1" x="1982"/>
        <item m="1" x="4983"/>
        <item m="1" x="6120"/>
        <item m="1" x="6040"/>
        <item m="1" x="6492"/>
        <item m="1" x="6493"/>
        <item m="1" x="6495"/>
        <item m="1" x="6496"/>
        <item m="1" x="5832"/>
        <item m="1" x="6497"/>
        <item m="1" x="6498"/>
        <item m="1" x="5835"/>
        <item m="1" x="6500"/>
        <item m="1" x="6502"/>
        <item m="1" x="6503"/>
        <item m="1" x="6504"/>
        <item m="1" x="1871"/>
        <item m="1" x="6505"/>
        <item m="1" x="4845"/>
        <item m="1" x="6506"/>
        <item m="1" x="2046"/>
        <item m="1" x="6507"/>
        <item m="1" x="6508"/>
        <item m="1" x="6354"/>
        <item m="1" x="6509"/>
        <item m="1" x="6510"/>
        <item m="1" x="5999"/>
        <item m="1" x="6512"/>
        <item m="1" x="6513"/>
        <item m="1" x="1822"/>
        <item m="1" x="6516"/>
        <item m="1" x="6517"/>
        <item m="1" x="6044"/>
        <item m="1" x="6518"/>
        <item m="1" x="6364"/>
        <item m="1" x="6366"/>
        <item m="1" x="6520"/>
        <item m="1" x="6521"/>
        <item m="1" x="6227"/>
        <item m="1" x="6228"/>
        <item m="1" x="6307"/>
        <item m="1" x="6308"/>
        <item m="1" x="6309"/>
        <item m="1" x="6310"/>
        <item m="1" x="6233"/>
        <item m="1" x="5457"/>
        <item m="1" x="6311"/>
        <item m="1" x="6312"/>
        <item m="1" x="6313"/>
        <item m="1" x="6314"/>
        <item m="1" x="6315"/>
        <item m="1" x="6317"/>
        <item m="1" x="6318"/>
        <item m="1" x="6319"/>
        <item m="1" x="6241"/>
        <item m="1" x="6322"/>
        <item m="1" x="6323"/>
        <item m="1" x="6239"/>
        <item m="1" x="6324"/>
        <item m="1" x="6325"/>
        <item m="1" x="6105"/>
        <item m="1" x="6326"/>
        <item m="1" x="6327"/>
        <item m="1" x="6244"/>
        <item m="1" x="6328"/>
        <item m="1" x="6329"/>
        <item m="1" x="6330"/>
        <item m="1" x="5575"/>
        <item m="1" x="6332"/>
        <item m="1" x="4315"/>
        <item m="1" x="6334"/>
        <item m="1" x="5362"/>
        <item m="1" x="6335"/>
        <item m="1" x="6106"/>
        <item m="1" x="5365"/>
        <item m="1" x="5576"/>
        <item m="1" x="6337"/>
        <item m="1" x="6338"/>
        <item m="1" x="6339"/>
        <item m="1" x="6250"/>
        <item m="1" x="6273"/>
        <item m="1" x="5577"/>
        <item m="1" x="6340"/>
        <item m="1" x="6341"/>
        <item m="1" x="6107"/>
        <item m="1" x="6342"/>
        <item m="1" x="6343"/>
        <item m="1" x="6344"/>
        <item m="1" x="6345"/>
        <item m="1" x="6346"/>
        <item m="1" x="6347"/>
        <item m="1" x="5466"/>
        <item m="1" x="6249"/>
        <item m="1" x="6348"/>
        <item m="1" x="6252"/>
        <item m="1" x="6251"/>
        <item m="1" x="6116"/>
        <item m="1" x="6117"/>
        <item m="1" x="6118"/>
        <item m="1" x="6253"/>
        <item m="1" x="6349"/>
        <item m="1" x="1916"/>
        <item m="1" x="1915"/>
        <item m="1" x="6350"/>
        <item m="1" x="6351"/>
        <item m="1" x="6352"/>
        <item m="1" x="6353"/>
        <item m="1" x="6041"/>
        <item m="1" x="1957"/>
        <item m="1" x="1983"/>
        <item m="1" x="6121"/>
        <item m="1" x="5737"/>
        <item m="1" x="6355"/>
        <item m="1" x="6356"/>
        <item m="1" x="1725"/>
        <item m="1" x="6257"/>
        <item m="1" x="5217"/>
        <item m="1" x="6357"/>
        <item m="1" x="6358"/>
        <item m="1" x="6360"/>
        <item m="1" x="6049"/>
        <item m="1" x="6361"/>
        <item m="1" x="6130"/>
        <item m="1" x="6128"/>
        <item m="1" x="6129"/>
        <item m="1" x="6362"/>
        <item m="1" x="6363"/>
        <item m="1" x="5744"/>
        <item m="1" x="6048"/>
        <item m="1" x="6133"/>
        <item m="1" x="6050"/>
        <item m="1" x="6365"/>
        <item m="1" x="2325"/>
        <item m="1" x="2768"/>
        <item m="1" x="4022"/>
        <item m="1" x="5929"/>
        <item m="1" x="6234"/>
        <item m="1" x="6235"/>
        <item m="1" x="6101"/>
        <item m="1" x="6090"/>
        <item m="1" x="6237"/>
        <item m="1" x="6238"/>
        <item m="1" x="6091"/>
        <item m="1" x="5574"/>
        <item m="1" x="6092"/>
        <item m="1" x="6103"/>
        <item m="1" x="6100"/>
        <item m="1" x="6104"/>
        <item m="1" x="5464"/>
        <item m="1" x="6242"/>
        <item m="1" x="6243"/>
        <item m="1" x="6245"/>
        <item m="1" x="6246"/>
        <item m="1" x="6097"/>
        <item m="1" x="6098"/>
        <item m="1" x="5281"/>
        <item m="1" x="6247"/>
        <item m="1" x="5312"/>
        <item m="1" x="6109"/>
        <item m="1" x="6139"/>
        <item m="1" x="6108"/>
        <item m="1" x="6147"/>
        <item m="1" x="5366"/>
        <item m="1" x="6113"/>
        <item m="1" x="6114"/>
        <item m="1" x="2088"/>
        <item m="1" x="5330"/>
        <item m="1" x="6115"/>
        <item m="1" x="6254"/>
        <item m="1" x="4842"/>
        <item m="1" x="1984"/>
        <item m="1" x="6255"/>
        <item m="1" x="4861"/>
        <item m="1" x="1954"/>
        <item m="1" x="6043"/>
        <item m="1" x="6124"/>
        <item m="1" x="5369"/>
        <item m="1" x="6045"/>
        <item m="1" x="5740"/>
        <item m="1" x="5945"/>
        <item m="1" x="6259"/>
        <item m="1" x="5946"/>
        <item m="1" x="6138"/>
        <item m="1" x="6131"/>
        <item m="1" x="6132"/>
        <item m="1" x="5947"/>
        <item m="1" x="6260"/>
        <item m="1" x="5961"/>
        <item m="1" x="5841"/>
        <item m="1" x="6214"/>
        <item m="1" x="5968"/>
        <item m="1" x="6149"/>
        <item m="1" x="6156"/>
        <item m="1" x="6157"/>
        <item m="1" x="5455"/>
        <item m="1" x="5456"/>
        <item m="1" x="6110"/>
        <item m="1" x="6261"/>
        <item m="1" x="6161"/>
        <item m="1" x="6022"/>
        <item m="1" x="6262"/>
        <item m="1" x="6094"/>
        <item m="1" x="6099"/>
        <item m="1" x="6095"/>
        <item m="1" x="6186"/>
        <item m="1" x="6093"/>
        <item m="1" x="6023"/>
        <item m="1" x="6096"/>
        <item m="1" x="6102"/>
        <item m="1" x="6194"/>
        <item m="1" x="6143"/>
        <item m="1" x="4595"/>
        <item m="1" x="6028"/>
        <item m="1" x="6029"/>
        <item m="1" x="6030"/>
        <item m="1" x="5363"/>
        <item m="1" x="5364"/>
        <item m="1" x="6031"/>
        <item m="1" x="6197"/>
        <item m="1" x="6198"/>
        <item m="1" x="6199"/>
        <item m="1" x="6037"/>
        <item m="1" x="6034"/>
        <item m="1" x="6035"/>
        <item m="1" x="6036"/>
        <item m="1" x="5465"/>
        <item m="1" x="6111"/>
        <item m="1" x="5325"/>
        <item m="1" x="6206"/>
        <item m="1" x="6205"/>
        <item m="1" x="6039"/>
        <item m="1" x="4585"/>
        <item m="1" x="6263"/>
        <item m="1" x="6264"/>
        <item m="1" x="6265"/>
        <item m="1" x="6266"/>
        <item m="1" x="6267"/>
        <item m="1" x="6268"/>
        <item m="1" x="6269"/>
        <item m="1" x="5733"/>
        <item m="1" x="6122"/>
        <item m="1" x="6219"/>
        <item m="1" x="5113"/>
        <item m="1" x="6126"/>
        <item m="1" x="6135"/>
        <item m="1" x="6136"/>
        <item m="1" x="6137"/>
        <item m="1" x="6270"/>
        <item m="1" x="6271"/>
        <item m="1" x="6221"/>
        <item m="1" x="6272"/>
        <item m="1" x="5741"/>
        <item m="1" x="5742"/>
        <item m="1" x="6127"/>
        <item m="1" x="6274"/>
        <item m="1" x="6148"/>
        <item m="1" x="6275"/>
        <item m="1" x="6276"/>
        <item m="1" x="6087"/>
        <item m="1" x="5158"/>
        <item m="1" x="6123"/>
        <item m="1" x="4592"/>
        <item m="1" x="5955"/>
        <item m="1" x="6173"/>
        <item m="1" x="6150"/>
        <item m="1" x="6151"/>
        <item m="1" x="6152"/>
        <item m="1" x="5942"/>
        <item m="1" x="6153"/>
        <item m="1" x="6154"/>
        <item m="1" x="6155"/>
        <item m="1" x="6158"/>
        <item m="1" x="6159"/>
        <item m="1" x="5149"/>
        <item m="1" x="6160"/>
        <item m="1" x="6162"/>
        <item m="1" x="6163"/>
        <item m="1" x="6164"/>
        <item m="1" x="6165"/>
        <item m="1" x="6166"/>
        <item m="1" x="5463"/>
        <item m="1" x="6167"/>
        <item m="1" x="6168"/>
        <item m="1" x="6169"/>
        <item m="1" x="6170"/>
        <item m="1" x="4805"/>
        <item m="1" x="5964"/>
        <item m="1" x="6061"/>
        <item m="1" x="6171"/>
        <item m="1" x="6172"/>
        <item m="1" x="5931"/>
        <item m="1" x="6196"/>
        <item m="1" x="6174"/>
        <item m="1" x="6175"/>
        <item m="1" x="6176"/>
        <item m="1" x="6177"/>
        <item m="1" x="6178"/>
        <item m="1" x="6179"/>
        <item m="1" x="6180"/>
        <item m="1" x="5360"/>
        <item m="1" x="6181"/>
        <item m="1" x="6182"/>
        <item m="1" x="5361"/>
        <item m="1" x="6024"/>
        <item m="1" x="6183"/>
        <item m="1" x="6184"/>
        <item m="1" x="6185"/>
        <item m="1" x="6187"/>
        <item m="1" x="6188"/>
        <item m="1" x="6189"/>
        <item m="1" x="6190"/>
        <item m="1" x="6191"/>
        <item m="1" x="6192"/>
        <item m="1" x="5290"/>
        <item m="1" x="6193"/>
        <item m="1" x="4500"/>
        <item m="1" x="4501"/>
        <item m="1" x="6065"/>
        <item m="1" x="6195"/>
        <item m="1" x="6027"/>
        <item m="1" x="6200"/>
        <item m="1" x="6201"/>
        <item m="1" x="6202"/>
        <item m="1" x="6203"/>
        <item m="1" x="6032"/>
        <item m="1" x="6033"/>
        <item m="1" x="6204"/>
        <item m="1" x="6038"/>
        <item m="1" x="5935"/>
        <item m="1" x="5497"/>
        <item m="1" x="6207"/>
        <item m="1" x="5578"/>
        <item m="1" x="6208"/>
        <item m="1" x="2500"/>
        <item m="1" x="5833"/>
        <item m="1" x="6209"/>
        <item m="1" x="6210"/>
        <item m="1" x="6211"/>
        <item m="1" x="6212"/>
        <item m="1" x="5735"/>
        <item m="1" x="6213"/>
        <item m="1" x="6215"/>
        <item m="1" x="4776"/>
        <item m="1" x="6216"/>
        <item m="1" x="1952"/>
        <item m="1" x="4846"/>
        <item m="1" x="6217"/>
        <item m="1" x="4833"/>
        <item m="1" x="6042"/>
        <item m="1" x="6218"/>
        <item m="1" x="2048"/>
        <item m="1" x="1850"/>
        <item m="1" x="5940"/>
        <item m="1" x="4403"/>
        <item m="1" x="6220"/>
        <item m="1" x="4418"/>
        <item m="1" x="6046"/>
        <item m="1" x="6222"/>
        <item m="1" x="6047"/>
        <item m="1" x="6223"/>
        <item m="1" x="5579"/>
        <item m="1" x="5948"/>
        <item m="1" x="5949"/>
        <item m="1" x="5962"/>
        <item m="1" x="6224"/>
        <item m="1" x="5965"/>
        <item m="1" x="6051"/>
        <item m="1" x="1716"/>
        <item m="1" x="5972"/>
        <item m="1" x="5973"/>
        <item m="1" x="6053"/>
        <item m="1" x="6054"/>
        <item m="1" x="5843"/>
        <item m="1" x="5842"/>
        <item m="1" x="1870"/>
        <item m="1" x="6055"/>
        <item m="1" x="4228"/>
        <item m="1" x="6056"/>
        <item m="1" x="6057"/>
        <item m="1" x="6058"/>
        <item m="1" x="6059"/>
        <item m="1" x="6060"/>
        <item m="1" x="5982"/>
        <item m="1" x="5155"/>
        <item m="1" x="6062"/>
        <item m="1" x="5934"/>
        <item m="1" x="5273"/>
        <item m="1" x="5932"/>
        <item m="1" x="5933"/>
        <item m="1" x="720"/>
        <item m="1" x="5282"/>
        <item m="1" x="5814"/>
        <item m="1" x="6063"/>
        <item m="1" x="5815"/>
        <item m="1" x="6064"/>
        <item m="1" x="4520"/>
        <item m="1" x="6066"/>
        <item m="1" x="6067"/>
        <item m="1" x="5484"/>
        <item m="1" x="6068"/>
        <item m="1" x="4911"/>
        <item m="1" x="5498"/>
        <item m="1" x="5492"/>
        <item m="1" x="5493"/>
        <item m="1" x="5494"/>
        <item m="1" x="5499"/>
        <item m="1" x="5936"/>
        <item m="1" x="5826"/>
        <item m="1" x="5827"/>
        <item m="1" x="5831"/>
        <item m="1" x="5829"/>
        <item m="1" x="5830"/>
        <item m="1" x="4023"/>
        <item m="1" x="5495"/>
        <item m="1" x="5496"/>
        <item m="1" x="5828"/>
        <item m="1" x="5991"/>
        <item m="1" x="5937"/>
        <item m="1" x="6069"/>
        <item m="1" x="6070"/>
        <item m="1" x="6071"/>
        <item m="1" x="5738"/>
        <item m="1" x="6072"/>
        <item m="1" x="6073"/>
        <item m="1" x="5736"/>
        <item m="1" x="6074"/>
        <item m="1" x="6075"/>
        <item m="1" x="6076"/>
        <item m="1" x="3583"/>
        <item m="1" x="6077"/>
        <item m="1" x="5941"/>
        <item m="1" x="5943"/>
        <item m="1" x="5944"/>
        <item m="1" x="5950"/>
        <item m="1" x="5951"/>
        <item m="1" x="5743"/>
        <item m="1" x="5746"/>
        <item m="1" x="6078"/>
        <item m="1" x="6079"/>
        <item m="1" x="2284"/>
        <item m="1" x="5745"/>
        <item m="1" x="5840"/>
        <item m="1" x="5952"/>
        <item m="1" x="5953"/>
        <item m="1" x="5954"/>
        <item m="1" x="5957"/>
        <item m="1" x="5958"/>
        <item m="1" x="5956"/>
        <item m="1" x="5959"/>
        <item m="1" x="5960"/>
        <item m="1" x="5966"/>
        <item m="1" x="5967"/>
        <item m="1" x="6080"/>
        <item m="1" x="5969"/>
        <item m="1" x="5970"/>
        <item m="1" x="6081"/>
        <item m="1" x="5971"/>
        <item m="1" x="5359"/>
        <item m="1" x="5974"/>
        <item m="1" x="5975"/>
        <item m="1" x="6082"/>
        <item m="1" x="5930"/>
        <item m="1" x="5963"/>
        <item m="1" x="5808"/>
        <item m="1" x="5976"/>
        <item m="1" x="5977"/>
        <item m="1" x="5978"/>
        <item m="1" x="5809"/>
        <item m="1" x="5849"/>
        <item m="1" x="5850"/>
        <item m="1" x="5851"/>
        <item m="1" x="5807"/>
        <item m="1" x="5979"/>
        <item m="1" x="5512"/>
        <item m="1" x="5471"/>
        <item m="1" x="5472"/>
        <item m="1" x="5980"/>
        <item m="1" x="5981"/>
        <item m="1" x="4804"/>
        <item m="1" x="5983"/>
        <item m="1" x="5487"/>
        <item m="1" x="5984"/>
        <item m="1" x="5985"/>
        <item m="1" x="5603"/>
        <item m="1" x="5813"/>
        <item m="1" x="4502"/>
        <item m="1" x="5508"/>
        <item m="1" x="5607"/>
        <item m="1" x="5986"/>
        <item m="1" x="5816"/>
        <item m="1" x="5817"/>
        <item m="1" x="5818"/>
        <item m="1" x="5819"/>
        <item m="1" x="5822"/>
        <item m="1" x="5823"/>
        <item m="1" x="5824"/>
        <item m="1" x="5303"/>
        <item m="1" x="5987"/>
        <item m="1" x="5820"/>
        <item m="1" x="5821"/>
        <item m="1" x="5485"/>
        <item m="1" x="5988"/>
        <item m="1" x="5989"/>
        <item m="1" x="4868"/>
        <item m="1" x="5990"/>
        <item m="1" x="5506"/>
        <item m="1" x="5500"/>
        <item m="1" x="5501"/>
        <item m="1" x="5507"/>
        <item m="1" x="5509"/>
        <item m="1" x="5510"/>
        <item m="1" x="5511"/>
        <item m="1" x="5505"/>
        <item m="1" x="5394"/>
        <item m="1" x="5503"/>
        <item m="1" x="5504"/>
        <item m="1" x="5886"/>
        <item m="1" x="5612"/>
        <item m="1" x="5633"/>
        <item m="1" x="3601"/>
        <item m="1" x="5839"/>
        <item m="1" x="5919"/>
        <item m="1" x="5502"/>
        <item m="1" x="5613"/>
        <item m="1" x="5992"/>
        <item m="1" x="2102"/>
        <item m="1" x="5993"/>
        <item m="1" x="5994"/>
        <item m="1" x="5995"/>
        <item m="1" x="5996"/>
        <item m="1" x="5997"/>
        <item m="1" x="5834"/>
        <item m="1" x="5998"/>
        <item m="1" x="5734"/>
        <item m="1" x="6000"/>
        <item m="1" x="6001"/>
        <item m="1" x="5837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1876"/>
        <item m="1" x="6012"/>
        <item m="1" x="5357"/>
        <item m="1" x="6013"/>
        <item m="1" x="4796"/>
        <item m="1" x="5811"/>
        <item m="1" x="5812"/>
        <item m="1" x="1788"/>
        <item m="1" x="5844"/>
        <item m="1" x="5374"/>
        <item m="1" x="3600"/>
        <item m="1" x="5375"/>
        <item m="1" x="5376"/>
        <item m="1" x="5377"/>
        <item m="1" x="5845"/>
        <item m="1" x="5846"/>
        <item m="1" x="5847"/>
        <item m="1" x="5848"/>
        <item m="1" x="5852"/>
        <item m="1" x="5378"/>
        <item m="1" x="5728"/>
        <item m="1" x="5853"/>
        <item m="1" x="5729"/>
        <item m="1" x="5854"/>
        <item m="1" x="5855"/>
        <item m="1" x="5856"/>
        <item m="1" x="4444"/>
        <item m="1" x="5470"/>
        <item m="1" x="5592"/>
        <item m="1" x="5591"/>
        <item m="1" x="5857"/>
        <item m="1" x="5858"/>
        <item m="1" x="5859"/>
        <item m="1" x="5860"/>
        <item m="1" x="5861"/>
        <item m="1" x="5862"/>
        <item m="1" x="5863"/>
        <item m="1" x="5864"/>
        <item m="1" x="5731"/>
        <item m="1" x="5865"/>
        <item m="1" x="5866"/>
        <item m="1" x="5599"/>
        <item m="1" x="5600"/>
        <item m="1" x="5601"/>
        <item m="1" x="1950"/>
        <item m="1" x="5867"/>
        <item m="1" x="5868"/>
        <item m="1" x="5732"/>
        <item m="1" x="5869"/>
        <item m="1" x="5870"/>
        <item m="1" x="5871"/>
        <item m="1" x="5872"/>
        <item m="1" x="5873"/>
        <item m="1" x="5874"/>
        <item m="1" x="5875"/>
        <item m="1" x="5876"/>
        <item m="1" x="4024"/>
        <item m="1" x="5608"/>
        <item m="1" x="5877"/>
        <item m="1" x="5878"/>
        <item m="1" x="5879"/>
        <item m="1" x="5880"/>
        <item m="1" x="5881"/>
        <item m="1" x="5882"/>
        <item m="1" x="5883"/>
        <item m="1" x="5514"/>
        <item m="1" x="5515"/>
        <item m="1" x="5513"/>
        <item m="1" x="5884"/>
        <item m="1" x="5885"/>
        <item m="1" x="5887"/>
        <item m="1" x="5888"/>
        <item m="1" x="5889"/>
        <item m="1" x="5890"/>
        <item m="1" x="5891"/>
        <item m="1" x="5892"/>
        <item m="1" x="5893"/>
        <item m="1" x="5522"/>
        <item m="1" x="5395"/>
        <item m="1" x="5396"/>
        <item m="1" x="5894"/>
        <item m="1" x="1832"/>
        <item m="1" x="5895"/>
        <item m="1" x="5896"/>
        <item m="1" x="1920"/>
        <item m="1" x="1928"/>
        <item m="1" x="1897"/>
        <item m="1" x="5782"/>
        <item m="1" x="5777"/>
        <item m="1" x="5897"/>
        <item m="1" x="4853"/>
        <item m="1" x="5898"/>
        <item m="1" x="5739"/>
        <item m="1" x="4838"/>
        <item m="1" x="5775"/>
        <item m="1" x="5401"/>
        <item m="1" x="5341"/>
        <item m="1" x="5527"/>
        <item m="1" x="5899"/>
        <item m="1" x="4843"/>
        <item m="1" x="4844"/>
        <item m="1" x="4836"/>
        <item m="1" x="5900"/>
        <item m="1" x="5901"/>
        <item m="1" x="1812"/>
        <item m="1" x="4863"/>
        <item m="1" x="5528"/>
        <item m="1" x="4710"/>
        <item m="1" x="1792"/>
        <item m="1" x="1793"/>
        <item m="1" x="2567"/>
        <item m="1" x="5902"/>
        <item m="1" x="5903"/>
        <item m="1" x="1808"/>
        <item m="1" x="1807"/>
        <item m="1" x="5616"/>
        <item m="1" x="5904"/>
        <item m="1" x="5905"/>
        <item m="1" x="5906"/>
        <item m="1" x="5787"/>
        <item m="1" x="5788"/>
        <item m="1" x="5907"/>
        <item m="1" x="5908"/>
        <item m="1" x="5909"/>
        <item m="1" x="5910"/>
        <item m="1" x="5911"/>
        <item m="1" x="5912"/>
        <item m="1" x="5913"/>
        <item m="1" x="5914"/>
        <item m="1" x="5615"/>
        <item m="1" x="5915"/>
        <item m="1" x="5620"/>
        <item m="1" x="5621"/>
        <item m="1" x="4877"/>
        <item m="1" x="4793"/>
        <item m="1" x="5916"/>
        <item m="1" x="5917"/>
        <item m="1" x="5918"/>
        <item m="1" x="5920"/>
        <item m="1" x="5393"/>
        <item m="1" x="5921"/>
        <item m="1" x="5922"/>
        <item m="1" x="5389"/>
        <item m="1" x="5390"/>
        <item m="1" x="5923"/>
        <item m="1" x="5924"/>
        <item m="1" x="5925"/>
        <item m="1" x="5926"/>
        <item m="1" x="5927"/>
        <item m="1" x="2303"/>
        <item m="1" x="5730"/>
        <item m="1" x="5380"/>
        <item m="1" x="5747"/>
        <item m="1" x="5623"/>
        <item m="1" x="5624"/>
        <item m="1" x="5625"/>
        <item m="1" x="5626"/>
        <item m="1" x="5627"/>
        <item m="1" x="5628"/>
        <item m="1" x="5629"/>
        <item m="1" x="5630"/>
        <item m="1" x="3191"/>
        <item m="1" x="5581"/>
        <item m="1" x="5748"/>
        <item m="1" x="5580"/>
        <item m="1" x="5468"/>
        <item m="1" x="5469"/>
        <item m="1" x="5582"/>
        <item m="1" x="5583"/>
        <item m="1" x="5749"/>
        <item m="1" x="5750"/>
        <item m="1" x="5584"/>
        <item m="1" x="5585"/>
        <item m="1" x="5586"/>
        <item m="1" x="5587"/>
        <item m="1" x="5751"/>
        <item m="1" x="5752"/>
        <item m="1" x="5753"/>
        <item m="1" x="5622"/>
        <item m="1" x="5754"/>
        <item m="1" x="5755"/>
        <item m="1" x="5756"/>
        <item m="1" x="5588"/>
        <item m="1" x="5593"/>
        <item m="1" x="5594"/>
        <item m="1" x="5475"/>
        <item m="1" x="5757"/>
        <item m="1" x="5595"/>
        <item m="1" x="5758"/>
        <item m="1" x="5759"/>
        <item m="1" x="5590"/>
        <item m="1" x="5589"/>
        <item m="1" x="5596"/>
        <item m="1" x="4919"/>
        <item m="1" x="5156"/>
        <item m="1" x="5760"/>
        <item m="1" x="5598"/>
        <item m="1" x="5761"/>
        <item m="1" x="5762"/>
        <item m="1" x="5652"/>
        <item m="1" x="5763"/>
        <item m="1" x="5764"/>
        <item m="1" x="5653"/>
        <item m="1" x="5654"/>
        <item m="1" x="5655"/>
        <item m="1" x="5656"/>
        <item m="1" x="5765"/>
        <item m="1" x="5657"/>
        <item m="1" x="5766"/>
        <item m="1" x="5658"/>
        <item m="1" x="5767"/>
        <item m="1" x="877"/>
        <item m="1" x="5602"/>
        <item m="1" x="5768"/>
        <item m="1" x="5662"/>
        <item m="1" x="5606"/>
        <item m="1" x="5604"/>
        <item m="1" x="5605"/>
        <item m="1" x="5597"/>
        <item m="1" x="5296"/>
        <item m="1" x="5300"/>
        <item m="1" x="5301"/>
        <item m="1" x="5769"/>
        <item m="1" x="5489"/>
        <item m="1" x="5610"/>
        <item m="1" x="5490"/>
        <item m="1" x="5611"/>
        <item m="1" x="5770"/>
        <item m="1" x="5771"/>
        <item m="1" x="5609"/>
        <item m="1" x="5397"/>
        <item m="1" x="5517"/>
        <item m="1" x="5491"/>
        <item m="1" x="5634"/>
        <item m="1" x="5677"/>
        <item m="1" x="5678"/>
        <item m="1" x="5679"/>
        <item m="1" x="5317"/>
        <item m="1" x="5318"/>
        <item m="1" x="5635"/>
        <item m="1" x="5772"/>
        <item m="1" x="5518"/>
        <item m="1" x="4406"/>
        <item m="1" x="5636"/>
        <item m="1" x="5773"/>
        <item m="1" x="5520"/>
        <item m="1" x="5774"/>
        <item m="1" x="4775"/>
        <item m="1" x="5524"/>
        <item m="1" x="5525"/>
        <item m="1" x="5526"/>
        <item m="1" x="5398"/>
        <item m="1" x="3193"/>
        <item m="1" x="4837"/>
        <item m="1" x="4835"/>
        <item m="1" x="5776"/>
        <item m="1" x="5778"/>
        <item m="1" x="4852"/>
        <item m="1" x="4856"/>
        <item m="1" x="5779"/>
        <item m="1" x="5780"/>
        <item m="1" x="5693"/>
        <item m="1" x="5781"/>
        <item m="1" x="1981"/>
        <item m="1" x="5215"/>
        <item m="1" x="1843"/>
        <item m="1" x="1833"/>
        <item m="1" x="5783"/>
        <item m="1" x="5784"/>
        <item m="1" x="5529"/>
        <item m="1" x="5120"/>
        <item m="1" x="5614"/>
        <item m="1" x="5785"/>
        <item m="1" x="5786"/>
        <item m="1" x="5789"/>
        <item m="1" x="5790"/>
        <item m="1" x="5791"/>
        <item m="1" x="5792"/>
        <item m="1" x="5651"/>
        <item m="1" x="5617"/>
        <item m="1" x="5618"/>
        <item m="1" x="5619"/>
        <item m="1" x="5408"/>
        <item m="1" x="5409"/>
        <item m="1" x="5410"/>
        <item m="1" x="5793"/>
        <item m="1" x="5233"/>
        <item m="1" x="5402"/>
        <item m="1" x="5403"/>
        <item m="1" x="5631"/>
        <item m="1" x="5632"/>
        <item m="1" x="5637"/>
        <item m="1" x="5638"/>
        <item m="1" x="5379"/>
        <item m="1" x="5639"/>
        <item m="1" x="4912"/>
        <item m="1" x="5640"/>
        <item m="1" x="5641"/>
        <item m="1" x="5642"/>
        <item m="1" x="5474"/>
        <item m="1" x="4920"/>
        <item m="1" x="5643"/>
        <item m="1" x="5480"/>
        <item m="1" x="5644"/>
        <item m="1" x="5645"/>
        <item m="1" x="4899"/>
        <item m="1" x="5646"/>
        <item m="1" x="5647"/>
        <item m="1" x="4864"/>
        <item m="1" x="4434"/>
        <item m="1" x="5648"/>
        <item m="1" x="5473"/>
        <item m="1" x="5262"/>
        <item m="1" x="4884"/>
        <item m="1" x="5649"/>
        <item m="1" x="5650"/>
        <item m="1" x="5481"/>
        <item m="1" x="5482"/>
        <item m="1" x="3204"/>
        <item m="1" x="5477"/>
        <item m="1" x="5478"/>
        <item m="1" x="5479"/>
        <item m="1" x="5392"/>
        <item m="1" x="5659"/>
        <item m="1" x="5660"/>
        <item m="1" x="5661"/>
        <item m="1" x="5663"/>
        <item m="1" x="5664"/>
        <item m="1" x="5483"/>
        <item m="1" x="5665"/>
        <item m="1" x="5486"/>
        <item m="1" x="5488"/>
        <item m="1" x="5666"/>
        <item m="1" x="5229"/>
        <item m="1" x="5667"/>
        <item m="1" x="5516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80"/>
        <item m="1" x="5519"/>
        <item m="1" x="2053"/>
        <item m="1" x="4821"/>
        <item m="1" x="5521"/>
        <item m="1" x="1524"/>
        <item m="1" x="5523"/>
        <item m="1" x="5681"/>
        <item m="1" x="5682"/>
        <item m="1" x="5683"/>
        <item m="1" x="5684"/>
        <item m="1" x="5685"/>
        <item m="1" x="5686"/>
        <item m="1" x="1839"/>
        <item m="1" x="5687"/>
        <item m="1" x="1823"/>
        <item m="1" x="5688"/>
        <item m="1" x="5689"/>
        <item m="1" x="2049"/>
        <item m="1" x="5690"/>
        <item m="1" x="5356"/>
        <item m="1" x="5114"/>
        <item m="1" x="5530"/>
        <item m="1" x="5531"/>
        <item m="1" x="5354"/>
        <item m="1" x="5691"/>
        <item m="1" x="5125"/>
        <item m="1" x="4417"/>
        <item m="1" x="4878"/>
        <item m="1" x="4879"/>
        <item m="1" x="4880"/>
        <item m="1" x="5692"/>
        <item m="1" x="5694"/>
        <item m="1" x="5533"/>
        <item m="1" x="5695"/>
        <item m="1" x="4887"/>
        <item m="1" x="5476"/>
        <item m="1" x="5328"/>
        <item m="1" x="1794"/>
        <item m="1" x="5532"/>
        <item m="1" x="5137"/>
        <item m="1" x="5242"/>
        <item m="1" x="5534"/>
        <item m="1" x="5535"/>
        <item m="1" x="5370"/>
        <item m="1" x="5371"/>
        <item m="1" x="5372"/>
        <item m="1" x="5536"/>
        <item m="1" x="5384"/>
        <item m="1" x="5244"/>
        <item m="1" x="5245"/>
        <item m="1" x="5537"/>
        <item m="1" x="5259"/>
        <item m="1" x="5381"/>
        <item m="1" x="5382"/>
        <item m="1" x="5383"/>
        <item m="1" x="4923"/>
        <item m="1" x="5265"/>
        <item m="1" x="4918"/>
        <item m="1" x="1961"/>
        <item m="1" x="5538"/>
        <item m="1" x="5539"/>
        <item m="1" x="5540"/>
        <item m="1" x="5541"/>
        <item m="1" x="3927"/>
        <item m="1" x="5283"/>
        <item m="1" x="5284"/>
        <item m="1" x="2323"/>
        <item m="1" x="5286"/>
        <item m="1" x="5287"/>
        <item m="1" x="5285"/>
        <item m="1" x="4025"/>
        <item m="1" x="5298"/>
        <item m="1" x="5542"/>
        <item m="1" x="5543"/>
        <item m="1" x="2029"/>
        <item m="1" x="5280"/>
        <item m="1" x="5544"/>
        <item m="1" x="5545"/>
        <item m="1" x="5546"/>
        <item m="1" x="5547"/>
        <item m="1" x="5307"/>
        <item m="1" x="5548"/>
        <item m="1" x="5549"/>
        <item m="1" x="5319"/>
        <item m="1" x="5316"/>
        <item m="1" x="5550"/>
        <item m="1" x="4914"/>
        <item m="1" x="4995"/>
        <item m="1" x="5551"/>
        <item m="1" x="5007"/>
        <item m="1" x="5552"/>
        <item m="1" x="5553"/>
        <item m="1" x="5554"/>
        <item m="1" x="5555"/>
        <item m="1" x="5081"/>
        <item m="1" x="5079"/>
        <item m="1" x="5556"/>
        <item m="1" x="3849"/>
        <item m="1" x="5557"/>
        <item m="1" x="2003"/>
        <item m="1" x="5558"/>
        <item m="1" x="5559"/>
        <item m="1" x="5560"/>
        <item m="1" x="5561"/>
        <item m="1" x="5562"/>
        <item m="1" x="5399"/>
        <item m="1" x="5400"/>
        <item m="1" x="5563"/>
        <item m="1" x="5564"/>
        <item m="1" x="5565"/>
        <item m="1" x="2050"/>
        <item m="1" x="2051"/>
        <item m="1" x="2094"/>
        <item m="1" x="4597"/>
        <item m="1" x="4784"/>
        <item m="1" x="5405"/>
        <item m="1" x="4785"/>
        <item m="1" x="2040"/>
        <item m="1" x="5566"/>
        <item m="1" x="5567"/>
        <item m="1" x="5223"/>
        <item m="1" x="5568"/>
        <item m="1" x="5406"/>
        <item m="1" x="5407"/>
        <item m="1" x="5227"/>
        <item m="1" x="5569"/>
        <item m="1" x="5570"/>
        <item m="1" x="5133"/>
        <item m="1" x="5571"/>
        <item m="1" x="5572"/>
        <item m="1" x="4798"/>
        <item m="1" x="5373"/>
        <item m="1" x="5385"/>
        <item m="1" x="5386"/>
        <item m="1" x="5387"/>
        <item m="1" x="5388"/>
        <item m="1" x="1951"/>
        <item m="1" x="5271"/>
        <item m="1" x="5272"/>
        <item m="1" x="5391"/>
        <item m="1" x="5302"/>
        <item m="1" x="3192"/>
        <item m="1" x="5404"/>
        <item m="1" x="5352"/>
        <item m="1" x="4917"/>
        <item m="1" x="5411"/>
        <item m="1" x="5160"/>
        <item m="1" x="5412"/>
        <item m="1" x="5413"/>
        <item m="1" x="5414"/>
        <item m="1" x="4801"/>
        <item m="1" x="5415"/>
        <item m="1" x="5416"/>
        <item m="1" x="5246"/>
        <item m="1" x="5247"/>
        <item m="1" x="5248"/>
        <item m="1" x="5249"/>
        <item m="1" x="5261"/>
        <item m="1" x="5256"/>
        <item m="1" x="5260"/>
        <item m="1" x="5417"/>
        <item m="1" x="5263"/>
        <item m="1" x="5331"/>
        <item m="1" x="5418"/>
        <item m="1" x="5419"/>
        <item m="1" x="5288"/>
        <item m="1" x="5420"/>
        <item m="1" x="5293"/>
        <item m="1" x="5266"/>
        <item m="1" x="5297"/>
        <item m="1" x="5421"/>
        <item m="1" x="5422"/>
        <item m="1" x="5423"/>
        <item m="1" x="4333"/>
        <item m="1" x="5424"/>
        <item m="1" x="5425"/>
        <item m="1" x="5426"/>
        <item m="1" x="5427"/>
        <item m="1" x="5428"/>
        <item m="1" x="5429"/>
        <item m="1" x="5430"/>
        <item m="1" x="5431"/>
        <item m="1" x="5226"/>
        <item m="1" x="1927"/>
        <item m="1" x="5326"/>
        <item m="1" x="5315"/>
        <item m="1" x="5313"/>
        <item m="1" x="5314"/>
        <item m="1" x="5432"/>
        <item m="1" x="5433"/>
        <item m="1" x="5329"/>
        <item m="1" x="5434"/>
        <item m="1" x="5435"/>
        <item m="1" x="5436"/>
        <item m="1" x="5438"/>
        <item m="1" x="1938"/>
        <item m="1" x="5337"/>
        <item m="1" x="5197"/>
        <item m="1" x="3942"/>
        <item m="1" x="5439"/>
        <item m="1" x="5440"/>
        <item m="1" x="5441"/>
        <item m="1" x="5083"/>
        <item m="1" x="5084"/>
        <item m="1" x="5345"/>
        <item m="1" x="1888"/>
        <item m="1" x="5442"/>
        <item m="1" x="5443"/>
        <item m="1" x="5444"/>
        <item m="1" x="5445"/>
        <item m="1" x="5446"/>
        <item m="1" x="1732"/>
        <item m="1" x="3265"/>
        <item m="1" x="1810"/>
        <item m="1" x="1811"/>
        <item m="1" x="5447"/>
        <item m="1" x="2052"/>
        <item m="1" x="5448"/>
        <item m="1" x="5099"/>
        <item m="1" x="5449"/>
        <item m="1" x="1831"/>
        <item m="1" x="2090"/>
        <item m="1" x="5110"/>
        <item m="1" x="5450"/>
        <item m="1" x="5451"/>
        <item m="1" x="5452"/>
        <item m="1" x="4794"/>
        <item m="1" x="5138"/>
        <item m="1" x="5453"/>
        <item m="1" x="4355"/>
        <item m="1" x="5234"/>
        <item m="1" x="5235"/>
        <item m="1" x="5236"/>
        <item m="1" x="4725"/>
        <item m="1" x="4905"/>
        <item m="1" x="4904"/>
        <item m="1" x="5146"/>
        <item m="1" x="5147"/>
        <item m="1" x="5237"/>
        <item m="1" x="5238"/>
        <item m="1" x="5239"/>
        <item m="1" x="4649"/>
        <item m="1" x="5240"/>
        <item m="1" x="5241"/>
        <item m="1" x="1799"/>
        <item m="1" x="4729"/>
        <item m="1" x="4735"/>
        <item m="1" x="4736"/>
        <item m="1" x="5152"/>
        <item m="1" x="5243"/>
        <item m="1" x="4439"/>
        <item m="1" x="5154"/>
        <item m="1" x="5250"/>
        <item m="1" x="5251"/>
        <item m="1" x="5252"/>
        <item m="1" x="5253"/>
        <item m="1" x="5254"/>
        <item m="1" x="5255"/>
        <item m="1" x="5257"/>
        <item m="1" x="5258"/>
        <item m="1" x="1908"/>
        <item m="1" x="5159"/>
        <item m="1" x="5264"/>
        <item m="1" x="4921"/>
        <item m="1" x="5161"/>
        <item m="1" x="4665"/>
        <item m="1" x="2030"/>
        <item m="1" x="5267"/>
        <item m="1" x="5268"/>
        <item m="1" x="5269"/>
        <item m="1" x="5270"/>
        <item m="1" x="5274"/>
        <item m="1" x="5275"/>
        <item m="1" x="5170"/>
        <item m="1" x="5276"/>
        <item m="1" x="5277"/>
        <item m="1" x="5278"/>
        <item m="1" x="5172"/>
        <item m="1" x="5279"/>
        <item m="1" x="4026"/>
        <item m="1" x="5173"/>
        <item m="1" x="5289"/>
        <item m="1" x="5115"/>
        <item m="1" x="4756"/>
        <item m="1" x="4511"/>
        <item m="1" x="4506"/>
        <item m="1" x="5292"/>
        <item m="1" x="5294"/>
        <item m="1" x="5295"/>
        <item m="1" x="4757"/>
        <item m="1" x="4954"/>
        <item m="1" x="4717"/>
        <item m="1" x="4950"/>
        <item m="1" x="5299"/>
        <item m="1" x="5178"/>
        <item m="1" x="5177"/>
        <item m="1" x="4816"/>
        <item m="1" x="5304"/>
        <item m="1" x="5305"/>
        <item m="1" x="5306"/>
        <item m="1" x="5308"/>
        <item m="1" x="5309"/>
        <item m="1" x="5310"/>
        <item m="1" x="5311"/>
        <item m="1" x="5188"/>
        <item m="1" x="5189"/>
        <item m="1" x="5320"/>
        <item m="1" x="5321"/>
        <item m="1" x="5322"/>
        <item m="1" x="5323"/>
        <item m="1" x="5324"/>
        <item m="1" x="5183"/>
        <item m="1" x="5190"/>
        <item m="1" x="5187"/>
        <item m="1" x="5186"/>
        <item m="1" x="5185"/>
        <item m="1" x="5184"/>
        <item m="1" x="5327"/>
        <item m="1" x="5191"/>
        <item m="1" x="5192"/>
        <item m="1" x="5193"/>
        <item m="1" x="5194"/>
        <item m="1" x="5332"/>
        <item m="1" x="5333"/>
        <item m="1" x="5334"/>
        <item m="1" x="5335"/>
        <item m="1" x="5336"/>
        <item m="1" x="4696"/>
        <item m="1" x="4984"/>
        <item m="1" x="4824"/>
        <item m="1" x="1895"/>
        <item m="1" x="4827"/>
        <item m="1" x="5340"/>
        <item m="1" x="5199"/>
        <item m="1" x="5342"/>
        <item m="1" x="5343"/>
        <item m="1" x="5344"/>
        <item m="1" x="5082"/>
        <item m="1" x="3567"/>
        <item m="1" x="5206"/>
        <item m="1" x="5090"/>
        <item m="1" x="5346"/>
        <item m="1" x="5347"/>
        <item m="1" x="5348"/>
        <item m="1" x="5208"/>
        <item m="1" x="5349"/>
        <item m="1" x="1791"/>
        <item m="1" x="5203"/>
        <item m="1" x="5350"/>
        <item m="1" x="3586"/>
        <item m="1" x="3588"/>
        <item m="1" x="1921"/>
        <item m="1" x="5351"/>
        <item m="1" x="5219"/>
        <item m="1" x="5353"/>
        <item m="1" x="5228"/>
        <item m="1" x="5355"/>
        <item m="1" x="5230"/>
        <item m="1" x="5231"/>
        <item m="1" x="5135"/>
        <item m="1" x="5232"/>
        <item m="1" x="4718"/>
        <item m="1" x="4020"/>
        <item m="1" x="4886"/>
        <item m="1" x="5358"/>
        <item m="1" x="4028"/>
        <item m="1" x="4894"/>
        <item m="1" x="5144"/>
        <item m="1" x="4897"/>
        <item m="1" x="4898"/>
        <item m="1" x="5145"/>
        <item m="1" x="4900"/>
        <item m="1" x="4901"/>
        <item m="1" x="4902"/>
        <item m="1" x="4903"/>
        <item m="1" x="5148"/>
        <item m="1" x="4730"/>
        <item m="1" x="4909"/>
        <item m="1" x="4731"/>
        <item m="1" x="5150"/>
        <item m="1" x="5151"/>
        <item m="1" x="5153"/>
        <item m="1" x="4803"/>
        <item m="1" x="4433"/>
        <item m="1" x="4800"/>
        <item m="1" x="3923"/>
        <item m="1" x="4913"/>
        <item m="1" x="5157"/>
        <item m="1" x="3924"/>
        <item m="1" x="4936"/>
        <item m="1" x="4935"/>
        <item m="1" x="4922"/>
        <item m="1" x="4926"/>
        <item m="1" x="3503"/>
        <item m="1" x="4938"/>
        <item m="1" x="5162"/>
        <item m="1" x="5163"/>
        <item m="1" x="4356"/>
        <item m="1" x="5164"/>
        <item m="1" x="5165"/>
        <item m="1" x="5166"/>
        <item m="1" x="5167"/>
        <item m="1" x="4948"/>
        <item m="1" x="5168"/>
        <item m="1" x="5169"/>
        <item m="1" x="4855"/>
        <item m="1" x="5171"/>
        <item m="1" x="4955"/>
        <item m="1" x="3780"/>
        <item m="1" x="4951"/>
        <item m="1" x="4952"/>
        <item m="1" x="5174"/>
        <item m="1" x="5175"/>
        <item m="1" x="5176"/>
        <item m="1" x="4963"/>
        <item m="1" x="4966"/>
        <item m="1" x="5179"/>
        <item m="1" x="5180"/>
        <item m="1" x="5181"/>
        <item m="1" x="5182"/>
        <item m="1" x="4977"/>
        <item m="1" x="4973"/>
        <item m="1" x="4974"/>
        <item m="1" x="4975"/>
        <item m="1" x="4979"/>
        <item m="1" x="3086"/>
        <item m="1" x="4985"/>
        <item m="1" x="5195"/>
        <item m="1" x="5196"/>
        <item m="1" x="4619"/>
        <item m="1" x="5198"/>
        <item m="1" x="1735"/>
        <item m="1" x="4832"/>
        <item m="1" x="5200"/>
        <item m="1" x="5201"/>
        <item m="1" x="5202"/>
        <item m="1" x="4841"/>
        <item m="1" x="4839"/>
        <item m="1" x="4840"/>
        <item m="1" x="2044"/>
        <item m="1" x="4851"/>
        <item m="1" x="4860"/>
        <item m="1" x="4859"/>
        <item m="1" x="4391"/>
        <item m="1" x="5205"/>
        <item m="1" x="5207"/>
        <item m="1" x="1147"/>
        <item m="1" x="1898"/>
        <item m="1" x="5209"/>
        <item m="1" x="5210"/>
        <item m="1" x="5211"/>
        <item m="1" x="5212"/>
        <item m="1" x="5213"/>
        <item m="1" x="5214"/>
        <item m="1" x="1923"/>
        <item m="1" x="1922"/>
        <item m="1" x="3587"/>
        <item m="1" x="5216"/>
        <item m="1" x="5142"/>
        <item m="1" x="1924"/>
        <item m="1" x="1907"/>
        <item m="1" x="4865"/>
        <item m="1" x="4866"/>
        <item m="1" x="5218"/>
        <item m="1" x="5220"/>
        <item m="1" x="5221"/>
        <item m="1" x="5222"/>
        <item m="1" x="4027"/>
        <item m="1" x="5224"/>
        <item m="1" x="4412"/>
        <item m="1" x="4410"/>
        <item m="1" x="5123"/>
        <item m="1" x="5225"/>
        <item m="1" x="1702"/>
        <item m="1" x="4624"/>
        <item m="1" x="2800"/>
        <item m="1" x="2806"/>
        <item m="1" x="4727"/>
        <item m="1" x="4890"/>
        <item m="1" x="4891"/>
        <item m="1" x="4892"/>
        <item m="1" x="4893"/>
        <item m="1" x="4895"/>
        <item m="1" x="4896"/>
        <item m="1" x="1824"/>
        <item m="1" x="4906"/>
        <item m="1" x="4907"/>
        <item m="1" x="4908"/>
        <item m="1" x="4910"/>
        <item m="1" x="4799"/>
        <item m="1" x="5127"/>
        <item m="1" x="4806"/>
        <item m="1" x="4807"/>
        <item m="1" x="4808"/>
        <item m="1" x="4810"/>
        <item m="1" x="4811"/>
        <item m="1" x="4812"/>
        <item m="1" x="4813"/>
        <item m="1" x="4809"/>
        <item m="1" x="4915"/>
        <item m="1" x="4916"/>
        <item m="1" x="5016"/>
        <item m="1" x="4924"/>
        <item m="1" x="4925"/>
        <item m="1" x="4927"/>
        <item m="1" x="4928"/>
        <item m="1" x="4929"/>
        <item m="1" x="4930"/>
        <item m="1" x="4931"/>
        <item m="1" x="4932"/>
        <item m="1" x="4933"/>
        <item m="1" x="4934"/>
        <item m="1" x="4937"/>
        <item m="1" x="5136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9"/>
        <item m="1" x="4847"/>
        <item m="1" x="4953"/>
        <item m="1" x="4956"/>
        <item m="1" x="4957"/>
        <item m="1" x="4958"/>
        <item m="1" x="4959"/>
        <item m="1" x="4763"/>
        <item m="1" x="5140"/>
        <item m="1" x="4960"/>
        <item m="1" x="4961"/>
        <item m="1" x="4962"/>
        <item m="1" x="4964"/>
        <item m="1" x="4965"/>
        <item m="1" x="4967"/>
        <item m="1" x="5141"/>
        <item m="1" x="4968"/>
        <item m="1" x="4035"/>
        <item m="1" x="4969"/>
        <item m="1" x="4970"/>
        <item m="1" x="4971"/>
        <item m="1" x="4972"/>
        <item m="1" x="4976"/>
        <item m="1" x="4978"/>
        <item m="1" x="4989"/>
        <item m="1" x="4990"/>
        <item m="1" x="4991"/>
        <item m="1" x="4992"/>
        <item m="1" x="1935"/>
        <item m="1" x="4993"/>
        <item m="1" x="4994"/>
        <item m="1" x="4996"/>
        <item m="1" x="3093"/>
        <item m="1" x="4825"/>
        <item m="1" x="5015"/>
        <item m="1" x="4828"/>
        <item m="1" x="5027"/>
        <item m="1" x="4848"/>
        <item m="1" x="1997"/>
        <item m="1" x="4854"/>
        <item m="1" x="4858"/>
        <item m="1" x="1864"/>
        <item m="1" x="4393"/>
        <item m="1" x="5092"/>
        <item m="1" x="5095"/>
        <item m="1" x="4862"/>
        <item m="1" x="5121"/>
        <item m="1" x="5122"/>
        <item m="1" x="4416"/>
        <item m="1" x="2783"/>
        <item m="1" x="3115"/>
        <item m="1" x="1929"/>
        <item m="1" x="2794"/>
        <item m="1" x="4882"/>
        <item m="1" x="4885"/>
        <item m="1" x="4625"/>
        <item m="1" x="4797"/>
        <item m="1" x="4720"/>
        <item m="1" x="4611"/>
        <item m="1" x="4732"/>
        <item m="1" x="4733"/>
        <item m="1" x="4427"/>
        <item m="1" x="4438"/>
        <item m="1" x="4802"/>
        <item m="1" x="4723"/>
        <item m="1" x="4745"/>
        <item m="1" x="4751"/>
        <item m="1" x="4814"/>
        <item m="1" x="4815"/>
        <item m="1" x="4758"/>
        <item m="1" x="4668"/>
        <item m="1" x="4669"/>
        <item m="1" x="4670"/>
        <item m="1" x="4666"/>
        <item m="1" x="4667"/>
        <item m="1" x="4817"/>
        <item m="1" x="4490"/>
        <item m="1" x="4491"/>
        <item m="1" x="4683"/>
        <item m="1" x="4783"/>
        <item m="1" x="4818"/>
        <item m="1" x="4556"/>
        <item m="1" x="4819"/>
        <item m="1" x="4601"/>
        <item m="1" x="4820"/>
        <item m="1" x="1940"/>
        <item m="1" x="4823"/>
        <item m="1" x="4385"/>
        <item m="1" x="4386"/>
        <item m="1" x="3591"/>
        <item m="1" x="2026"/>
        <item m="1" x="4829"/>
        <item m="1" x="4830"/>
        <item m="1" x="4834"/>
        <item m="1" x="4849"/>
        <item m="1" x="4850"/>
        <item m="1" x="4780"/>
        <item m="1" x="4779"/>
        <item m="1" x="4388"/>
        <item m="1" x="1962"/>
        <item m="1" x="4401"/>
        <item m="1" x="1835"/>
        <item m="1" x="1836"/>
        <item m="1" x="1790"/>
        <item m="1" x="4867"/>
        <item m="1" x="2766"/>
        <item m="1" x="2764"/>
        <item m="1" x="2765"/>
        <item m="1" x="4869"/>
        <item m="1" x="4870"/>
        <item m="1" x="4607"/>
        <item m="1" x="4871"/>
        <item m="1" x="4415"/>
        <item m="1" x="4872"/>
        <item m="1" x="4873"/>
        <item m="1" x="4874"/>
        <item m="1" x="4875"/>
        <item m="1" x="4876"/>
        <item m="1" x="2774"/>
        <item m="1" x="4881"/>
        <item m="1" x="4883"/>
        <item m="1" x="4628"/>
        <item m="1" x="4888"/>
        <item m="1" x="4889"/>
        <item m="1" x="4552"/>
        <item m="1" x="4721"/>
        <item m="1" x="4722"/>
        <item m="1" x="4567"/>
        <item m="1" x="4724"/>
        <item m="1" x="4726"/>
        <item m="1" x="4728"/>
        <item m="1" x="4429"/>
        <item m="1" x="4492"/>
        <item m="1" x="4734"/>
        <item m="1" x="4017"/>
        <item m="1" x="4435"/>
        <item m="1" x="4436"/>
        <item m="1" x="4737"/>
        <item m="1" x="4738"/>
        <item m="1" x="4739"/>
        <item m="1" x="4740"/>
        <item m="1" x="4741"/>
        <item m="1" x="4538"/>
        <item m="1" x="4742"/>
        <item m="1" x="4743"/>
        <item m="1" x="4744"/>
        <item m="1" x="4746"/>
        <item m="1" x="4456"/>
        <item m="1" x="4747"/>
        <item m="1" x="4748"/>
        <item m="1" x="4749"/>
        <item m="1" x="4750"/>
        <item m="1" x="4752"/>
        <item m="1" x="4753"/>
        <item m="1" x="4754"/>
        <item m="1" x="4755"/>
        <item m="1" x="4469"/>
        <item m="1" x="4474"/>
        <item m="1" x="4240"/>
        <item m="1" x="4759"/>
        <item m="1" x="4760"/>
        <item m="1" x="4519"/>
        <item m="1" x="4761"/>
        <item m="1" x="4762"/>
        <item m="1" x="4764"/>
        <item m="1" x="4688"/>
        <item m="1" x="4765"/>
        <item m="1" x="4528"/>
        <item m="1" x="4033"/>
        <item m="1" x="1813"/>
        <item m="1" x="4766"/>
        <item m="1" x="4767"/>
        <item m="1" x="4548"/>
        <item m="1" x="4768"/>
        <item m="1" x="4769"/>
        <item m="1" x="4549"/>
        <item m="1" x="4689"/>
        <item m="1" x="4690"/>
        <item m="1" x="4580"/>
        <item m="1" x="4770"/>
        <item m="1" x="4771"/>
        <item m="1" x="4772"/>
        <item m="1" x="4258"/>
        <item m="1" x="4774"/>
        <item m="1" x="4262"/>
        <item m="1" x="3925"/>
        <item m="1" x="4777"/>
        <item m="1" x="4392"/>
        <item m="1" x="4396"/>
        <item m="1" x="1930"/>
        <item m="1" x="4781"/>
        <item m="1" x="4782"/>
        <item m="1" x="4587"/>
        <item m="1" x="1711"/>
        <item m="1" x="1826"/>
        <item m="1" x="3585"/>
        <item m="1" x="1825"/>
        <item m="1" x="3590"/>
        <item m="1" x="1933"/>
        <item m="1" x="1931"/>
        <item m="1" x="4598"/>
        <item m="1" x="4599"/>
        <item m="1" x="3268"/>
        <item m="1" x="4602"/>
        <item m="1" x="4604"/>
        <item m="1" x="4605"/>
        <item x="13"/>
        <item m="1" x="4409"/>
        <item m="1" x="4413"/>
        <item m="1" x="4283"/>
        <item m="1" x="4786"/>
        <item m="1" x="4787"/>
        <item m="1" x="4788"/>
        <item m="1" x="4789"/>
        <item m="1" x="4790"/>
        <item m="1" x="4791"/>
        <item m="1" x="4792"/>
        <item m="1" x="4612"/>
        <item m="1" x="4617"/>
        <item m="1" x="4618"/>
        <item m="1" x="4620"/>
        <item m="1" x="4622"/>
        <item m="1" x="4642"/>
        <item m="1" x="4626"/>
        <item m="1" x="4002"/>
        <item m="1" x="4629"/>
        <item m="1" x="4795"/>
        <item m="1" x="3998"/>
        <item m="1" x="4632"/>
        <item m="1" x="4633"/>
        <item m="1" x="4634"/>
        <item m="1" x="4635"/>
        <item m="1" x="4636"/>
        <item m="1" x="4637"/>
        <item m="1" x="2767"/>
        <item m="1" x="4638"/>
        <item m="1" x="4639"/>
        <item m="1" x="4640"/>
        <item m="1" x="4425"/>
        <item m="1" x="4641"/>
        <item m="1" x="4643"/>
        <item m="1" x="4644"/>
        <item m="1" x="4645"/>
        <item m="1" x="4646"/>
        <item m="1" x="4647"/>
        <item m="1" x="4473"/>
        <item m="1" x="4648"/>
        <item m="1" x="4650"/>
        <item m="1" x="4428"/>
        <item m="1" x="4651"/>
        <item m="1" x="4652"/>
        <item m="1" x="4029"/>
        <item m="1" x="3216"/>
        <item m="1" x="4653"/>
        <item m="1" x="4504"/>
        <item m="1" x="4654"/>
        <item m="1" x="4655"/>
        <item m="1" x="4432"/>
        <item m="1" x="4364"/>
        <item m="1" x="4656"/>
        <item m="1" x="4032"/>
        <item m="1" x="2497"/>
        <item m="1" x="4657"/>
        <item m="1" x="4658"/>
        <item m="1" x="4659"/>
        <item m="1" x="4660"/>
        <item m="1" x="4661"/>
        <item m="1" x="4457"/>
        <item m="1" x="4463"/>
        <item m="1" x="4464"/>
        <item m="1" x="4662"/>
        <item m="1" x="4663"/>
        <item m="1" x="4664"/>
        <item m="1" x="4476"/>
        <item m="1" x="4481"/>
        <item m="1" x="4493"/>
        <item m="1" x="4484"/>
        <item m="1" x="4494"/>
        <item m="1" x="4671"/>
        <item m="1" x="3743"/>
        <item m="1" x="4672"/>
        <item m="1" x="4673"/>
        <item m="1" x="3261"/>
        <item m="1" x="4482"/>
        <item m="1" x="4674"/>
        <item m="1" x="4498"/>
        <item m="1" x="4499"/>
        <item m="1" x="4513"/>
        <item m="1" x="4515"/>
        <item m="1" x="4516"/>
        <item m="1" x="4030"/>
        <item m="1" x="4031"/>
        <item m="1" x="4514"/>
        <item m="1" x="4675"/>
        <item m="1" x="4676"/>
        <item m="1" x="3416"/>
        <item m="1" x="4517"/>
        <item m="1" x="4677"/>
        <item m="1" x="4452"/>
        <item m="1" x="4088"/>
        <item m="1" x="4678"/>
        <item m="1" x="4679"/>
        <item m="1" x="4680"/>
        <item m="1" x="4524"/>
        <item m="1" x="4681"/>
        <item m="1" x="4682"/>
        <item m="1" x="4525"/>
        <item m="1" x="4533"/>
        <item m="1" x="4534"/>
        <item m="1" x="4535"/>
        <item m="1" x="4531"/>
        <item m="1" x="4532"/>
        <item m="1" x="4544"/>
        <item m="1" x="4537"/>
        <item m="1" x="4684"/>
        <item m="1" x="4685"/>
        <item m="1" x="4686"/>
        <item m="1" x="4687"/>
        <item m="1" x="4547"/>
        <item m="1" x="4558"/>
        <item m="1" x="4555"/>
        <item m="1" x="4551"/>
        <item m="1" x="4557"/>
        <item m="1" x="4554"/>
        <item m="1" x="4563"/>
        <item m="1" x="4564"/>
        <item m="1" x="4569"/>
        <item m="1" x="4691"/>
        <item m="1" x="4565"/>
        <item m="1" x="4574"/>
        <item m="1" x="4566"/>
        <item m="1" x="4568"/>
        <item m="1" x="4570"/>
        <item m="1" x="4692"/>
        <item m="1" x="4693"/>
        <item m="1" x="4576"/>
        <item m="1" x="4577"/>
        <item m="1" x="4578"/>
        <item m="1" x="4579"/>
        <item m="1" x="3608"/>
        <item m="1" x="3609"/>
        <item m="1" x="2707"/>
        <item m="1" x="4312"/>
        <item m="1" x="4694"/>
        <item m="1" x="4695"/>
        <item m="1" x="4583"/>
        <item m="1" x="4697"/>
        <item m="1" x="4698"/>
        <item m="1" x="4699"/>
        <item m="1" x="4594"/>
        <item m="1" x="4018"/>
        <item m="1" x="1798"/>
        <item m="1" x="4700"/>
        <item m="1" x="4701"/>
        <item m="1" x="1868"/>
        <item m="1" x="1860"/>
        <item m="1" x="1861"/>
        <item m="1" x="3469"/>
        <item m="1" x="1867"/>
        <item m="1" x="4389"/>
        <item m="1" x="4390"/>
        <item m="1" x="1889"/>
        <item m="1" x="1709"/>
        <item m="1" x="1710"/>
        <item m="1" x="3190"/>
        <item m="1" x="4702"/>
        <item m="1" x="4703"/>
        <item m="1" x="4704"/>
        <item m="1" x="4705"/>
        <item m="1" x="4706"/>
        <item m="1" x="4707"/>
        <item m="1" x="4708"/>
        <item m="1" x="4277"/>
        <item m="1" x="1814"/>
        <item m="1" x="4709"/>
        <item m="1" x="1980"/>
        <item m="1" x="2067"/>
        <item m="1" x="1837"/>
        <item m="1" x="2299"/>
        <item m="1" x="1863"/>
        <item m="1" x="1830"/>
        <item m="1" x="4336"/>
        <item m="1" x="1955"/>
        <item m="1" x="1884"/>
        <item m="1" x="4711"/>
        <item m="1" x="4503"/>
        <item m="1" x="4712"/>
        <item m="1" x="4713"/>
        <item m="1" x="4714"/>
        <item m="1" x="2775"/>
        <item m="1" x="3610"/>
        <item m="1" x="4610"/>
        <item m="1" x="4019"/>
        <item m="1" x="4536"/>
        <item m="1" x="1086"/>
        <item m="1" x="4715"/>
        <item m="1" x="1838"/>
        <item m="1" x="1932"/>
        <item m="1" x="3596"/>
        <item m="1" x="2790"/>
        <item m="1" x="4716"/>
        <item m="1" x="1943"/>
        <item m="1" x="2796"/>
        <item m="1" x="2810"/>
        <item m="1" x="2811"/>
        <item m="1" x="4422"/>
        <item m="1" x="4039"/>
        <item m="1" x="4040"/>
        <item m="1" x="4041"/>
        <item m="1" x="4354"/>
        <item m="1" x="4423"/>
        <item m="1" x="4424"/>
        <item m="1" x="4353"/>
        <item m="1" x="4360"/>
        <item m="1" x="4426"/>
        <item m="1" x="2817"/>
        <item m="1" x="4430"/>
        <item m="1" x="4361"/>
        <item m="1" x="4357"/>
        <item m="1" x="2005"/>
        <item m="1" x="4431"/>
        <item m="1" x="4440"/>
        <item m="1" x="3257"/>
        <item m="1" x="4441"/>
        <item m="1" x="4442"/>
        <item m="1" x="4443"/>
        <item m="1" x="4445"/>
        <item m="1" x="4446"/>
        <item m="1" x="4447"/>
        <item m="1" x="4448"/>
        <item m="1" x="4449"/>
        <item m="1" x="4450"/>
        <item m="1" x="4451"/>
        <item m="1" x="4061"/>
        <item m="1" x="4453"/>
        <item m="1" x="4454"/>
        <item m="1" x="4455"/>
        <item m="1" x="4064"/>
        <item m="1" x="4458"/>
        <item m="1" x="4459"/>
        <item m="1" x="4460"/>
        <item m="1" x="4461"/>
        <item m="1" x="4462"/>
        <item m="1" x="4465"/>
        <item m="1" x="4466"/>
        <item m="1" x="4467"/>
        <item m="1" x="4371"/>
        <item m="1" x="4468"/>
        <item m="1" x="4470"/>
        <item m="1" x="4471"/>
        <item m="1" x="4472"/>
        <item m="1" x="4475"/>
        <item m="1" x="4477"/>
        <item m="1" x="4478"/>
        <item m="1" x="4479"/>
        <item m="1" x="4480"/>
        <item m="1" x="4070"/>
        <item m="1" x="4483"/>
        <item m="1" x="4485"/>
        <item m="1" x="4486"/>
        <item m="1" x="4487"/>
        <item m="1" x="4488"/>
        <item m="1" x="4489"/>
        <item m="1" x="4374"/>
        <item m="1" x="4495"/>
        <item m="1" x="4496"/>
        <item m="1" x="4497"/>
        <item m="1" x="4505"/>
        <item m="1" x="4510"/>
        <item m="1" x="4512"/>
        <item m="1" x="4518"/>
        <item m="1" x="4376"/>
        <item m="1" x="4521"/>
        <item m="1" x="4522"/>
        <item m="1" x="4523"/>
        <item m="1" x="4526"/>
        <item m="1" x="4527"/>
        <item m="1" x="4529"/>
        <item m="1" x="4530"/>
        <item m="1" x="1858"/>
        <item m="1" x="4087"/>
        <item m="1" x="4539"/>
        <item m="1" x="4540"/>
        <item m="1" x="4408"/>
        <item m="1" x="4541"/>
        <item m="1" x="4542"/>
        <item m="1" x="4543"/>
        <item m="1" x="4377"/>
        <item m="1" x="4545"/>
        <item m="1" x="4546"/>
        <item m="1" x="4380"/>
        <item m="1" x="4550"/>
        <item m="1" x="4034"/>
        <item m="1" x="4553"/>
        <item m="1" x="4099"/>
        <item m="1" x="4559"/>
        <item m="1" x="4560"/>
        <item m="1" x="4561"/>
        <item m="1" x="4562"/>
        <item m="1" x="4571"/>
        <item m="1" x="4572"/>
        <item m="1" x="4573"/>
        <item m="1" x="4575"/>
        <item m="1" x="4382"/>
        <item m="1" x="3607"/>
        <item m="1" x="2710"/>
        <item m="1" x="2089"/>
        <item m="1" x="4581"/>
        <item m="1" x="4582"/>
        <item m="1" x="4584"/>
        <item m="1" x="1936"/>
        <item m="1" x="2025"/>
        <item m="1" x="3259"/>
        <item m="1" x="4395"/>
        <item m="1" x="4394"/>
        <item m="1" x="4263"/>
        <item m="1" x="4586"/>
        <item m="1" x="4588"/>
        <item m="1" x="3926"/>
        <item m="1" x="4589"/>
        <item m="1" x="4590"/>
        <item m="1" x="4591"/>
        <item m="1" x="2460"/>
        <item m="1" x="4593"/>
        <item m="1" x="2028"/>
        <item m="1" x="4329"/>
        <item m="1" x="1977"/>
        <item m="1" x="3945"/>
        <item m="1" x="4596"/>
        <item m="1" x="2987"/>
        <item m="1" x="4036"/>
        <item m="1" x="4037"/>
        <item m="1" x="4600"/>
        <item m="1" x="4603"/>
        <item m="1" x="4038"/>
        <item m="1" x="4606"/>
        <item m="1" x="4279"/>
        <item m="1" x="4608"/>
        <item m="1" x="4609"/>
        <item m="1" x="4419"/>
        <item m="1" x="3928"/>
        <item m="1" x="4347"/>
        <item m="1" x="3611"/>
        <item m="1" x="4613"/>
        <item m="1" x="4614"/>
        <item m="1" x="4615"/>
        <item m="1" x="4616"/>
        <item m="1" x="4621"/>
        <item m="1" x="4421"/>
        <item m="1" x="4623"/>
        <item m="1" x="3750"/>
        <item m="1" x="4627"/>
        <item m="1" x="4630"/>
        <item m="1" x="4631"/>
        <item m="1" x="3752"/>
        <item m="1" x="3753"/>
        <item m="1" x="4290"/>
        <item m="1" x="4042"/>
        <item m="1" x="4046"/>
        <item m="1" x="4047"/>
        <item m="1" x="4048"/>
        <item m="1" x="4050"/>
        <item m="1" x="4057"/>
        <item m="1" x="4055"/>
        <item m="1" x="4051"/>
        <item m="1" x="4052"/>
        <item m="1" x="4053"/>
        <item m="1" x="4054"/>
        <item m="1" x="2322"/>
        <item m="1" x="4358"/>
        <item m="1" x="4359"/>
        <item m="1" x="4362"/>
        <item m="1" x="4363"/>
        <item m="1" x="4218"/>
        <item m="1" x="1780"/>
        <item m="1" x="4365"/>
        <item m="1" x="2010"/>
        <item m="1" x="4226"/>
        <item m="1" x="4227"/>
        <item m="1" x="4366"/>
        <item m="1" x="4367"/>
        <item m="1" x="4368"/>
        <item m="1" x="4369"/>
        <item m="1" x="4288"/>
        <item m="1" x="4225"/>
        <item m="1" x="3933"/>
        <item m="1" x="4370"/>
        <item m="1" x="4372"/>
        <item m="1" x="4373"/>
        <item m="1" x="4065"/>
        <item m="1" x="2238"/>
        <item m="1" x="4375"/>
        <item m="1" x="4069"/>
        <item m="1" x="2031"/>
        <item m="1" x="4301"/>
        <item x="274"/>
        <item m="1" x="4077"/>
        <item m="1" x="4078"/>
        <item m="1" x="4079"/>
        <item m="1" x="4081"/>
        <item m="1" x="4303"/>
        <item m="1" x="4082"/>
        <item m="1" x="4304"/>
        <item m="1" x="2239"/>
        <item m="1" x="4092"/>
        <item m="1" x="4093"/>
        <item m="1" x="4094"/>
        <item m="1" x="4095"/>
        <item m="1" x="4090"/>
        <item m="1" x="4378"/>
        <item m="1" x="4379"/>
        <item m="1" x="4097"/>
        <item m="1" x="3346"/>
        <item m="1" x="3739"/>
        <item m="1" x="3740"/>
        <item m="1" x="3438"/>
        <item m="1" x="3166"/>
        <item m="1" x="4381"/>
        <item m="1" x="4098"/>
        <item m="1" x="4100"/>
        <item m="1" x="4101"/>
        <item m="1" x="4102"/>
        <item m="1" x="4106"/>
        <item m="1" x="4107"/>
        <item m="1" x="3741"/>
        <item m="1" x="1978"/>
        <item m="1" x="4383"/>
        <item m="1" x="4384"/>
        <item m="1" x="3940"/>
        <item m="1" x="3941"/>
        <item m="1" x="4259"/>
        <item m="1" x="4257"/>
        <item m="1" x="4256"/>
        <item m="1" x="4260"/>
        <item m="1" x="4387"/>
        <item m="1" x="4316"/>
        <item m="1" x="3742"/>
        <item m="1" x="4261"/>
        <item m="1" x="4270"/>
        <item m="1" x="4273"/>
        <item m="1" x="4274"/>
        <item m="1" x="4269"/>
        <item m="1" x="4272"/>
        <item m="1" x="4271"/>
        <item m="1" x="4264"/>
        <item m="1" x="2465"/>
        <item m="1" x="1992"/>
        <item m="1" x="1995"/>
        <item m="1" x="3488"/>
        <item m="1" x="4397"/>
        <item m="1" x="2027"/>
        <item m="1" x="2035"/>
        <item m="1" x="4398"/>
        <item m="1" x="4399"/>
        <item m="1" x="4400"/>
        <item m="1" x="1598"/>
        <item m="1" x="4276"/>
        <item m="1" x="4331"/>
        <item m="1" x="2917"/>
        <item m="1" x="4402"/>
        <item m="1" x="4335"/>
        <item m="1" x="1890"/>
        <item m="1" x="1827"/>
        <item m="1" x="4337"/>
        <item m="1" x="3288"/>
        <item m="1" x="4405"/>
        <item m="1" x="4407"/>
        <item m="1" x="4411"/>
        <item m="1" x="4414"/>
        <item m="1" x="3747"/>
        <item m="1" x="3746"/>
        <item m="1" x="3748"/>
        <item m="1" x="3749"/>
        <item m="1" x="4420"/>
        <item m="1" x="3947"/>
        <item m="1" x="3745"/>
        <item m="1" x="3744"/>
        <item m="1" x="3313"/>
        <item m="1" x="2797"/>
        <item m="1" x="3331"/>
        <item m="1" x="3754"/>
        <item m="1" x="3512"/>
        <item m="1" x="4056"/>
        <item m="1" x="4049"/>
        <item m="1" x="4291"/>
        <item m="1" x="4292"/>
        <item m="1" x="4060"/>
        <item m="1" x="4063"/>
        <item m="1" x="4293"/>
        <item m="1" x="4234"/>
        <item m="1" x="4232"/>
        <item m="1" x="4294"/>
        <item m="1" x="4295"/>
        <item m="1" x="4296"/>
        <item m="1" x="4233"/>
        <item m="1" x="4224"/>
        <item m="1" x="4237"/>
        <item m="1" x="4221"/>
        <item m="1" x="2032"/>
        <item m="1" x="4297"/>
        <item m="1" x="3302"/>
        <item m="1" x="4298"/>
        <item m="1" x="4299"/>
        <item m="1" x="4300"/>
        <item m="1" x="4066"/>
        <item m="1" x="4074"/>
        <item m="1" x="4075"/>
        <item m="1" x="4071"/>
        <item m="1" x="4080"/>
        <item m="1" x="4241"/>
        <item m="1" x="4302"/>
        <item m="1" x="4083"/>
        <item m="1" x="4084"/>
        <item m="1" x="4305"/>
        <item m="1" x="4085"/>
        <item m="1" x="4096"/>
        <item m="1" x="4306"/>
        <item m="1" x="4307"/>
        <item m="1" x="4089"/>
        <item m="1" x="4243"/>
        <item m="1" x="4308"/>
        <item m="1" x="4309"/>
        <item m="1" x="4248"/>
        <item m="1" x="4244"/>
        <item m="1" x="4245"/>
        <item m="1" x="4247"/>
        <item m="1" x="4246"/>
        <item m="1" x="3604"/>
        <item m="1" x="3603"/>
        <item m="1" x="3536"/>
        <item m="1" x="3772"/>
        <item m="1" x="3537"/>
        <item m="1" x="3602"/>
        <item m="1" x="3538"/>
        <item m="1" x="3605"/>
        <item m="1" x="3606"/>
        <item m="1" x="4310"/>
        <item m="1" x="4250"/>
        <item m="1" x="4104"/>
        <item m="1" x="4251"/>
        <item m="1" x="4311"/>
        <item m="1" x="2711"/>
        <item m="1" x="2900"/>
        <item m="1" x="4313"/>
        <item m="1" x="3938"/>
        <item m="1" x="4253"/>
        <item m="1" x="646"/>
        <item m="1" x="3939"/>
        <item m="1" x="4314"/>
        <item m="1" x="4108"/>
        <item m="1" x="1859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3626"/>
        <item m="1" x="1726"/>
        <item m="1" x="3943"/>
        <item m="1" x="2034"/>
        <item m="1" x="4327"/>
        <item m="1" x="4328"/>
        <item m="1" x="4330"/>
        <item m="1" x="3781"/>
        <item m="1" x="4332"/>
        <item m="1" x="4278"/>
        <item m="1" x="4334"/>
        <item m="1" x="3279"/>
        <item m="1" x="4338"/>
        <item m="1" x="3293"/>
        <item m="1" x="3296"/>
        <item m="1" x="2771"/>
        <item m="1" x="4339"/>
        <item m="1" x="3948"/>
        <item m="1" x="4340"/>
        <item m="1" x="4341"/>
        <item m="1" x="4342"/>
        <item m="1" x="4343"/>
        <item m="1" x="4344"/>
        <item m="1" x="4345"/>
        <item m="1" x="4346"/>
        <item m="1" x="3789"/>
        <item m="1" x="3949"/>
        <item m="1" x="2786"/>
        <item m="1" x="3311"/>
        <item m="1" x="3314"/>
        <item m="1" x="4284"/>
        <item m="1" x="3321"/>
        <item m="1" x="3322"/>
        <item m="1" x="3323"/>
        <item m="1" x="4285"/>
        <item m="1" x="4287"/>
        <item m="1" x="4348"/>
        <item m="1" x="4289"/>
        <item m="1" x="4349"/>
        <item m="1" x="4350"/>
        <item m="1" x="4351"/>
        <item m="1" x="4352"/>
        <item m="1" x="3335"/>
        <item m="1" x="2803"/>
        <item m="1" x="3340"/>
        <item m="1" x="3341"/>
        <item m="1" x="3342"/>
        <item m="1" x="3757"/>
        <item m="1" x="3755"/>
        <item m="1" x="3756"/>
        <item m="1" x="4115"/>
        <item m="1" x="4043"/>
        <item m="1" x="4044"/>
        <item m="1" x="4045"/>
        <item m="1" x="4217"/>
        <item m="1" x="4121"/>
        <item m="1" x="4122"/>
        <item m="1" x="3759"/>
        <item m="1" x="4058"/>
        <item m="1" x="4059"/>
        <item m="1" x="3764"/>
        <item m="1" x="2226"/>
        <item m="1" x="4219"/>
        <item m="1" x="4220"/>
        <item m="1" x="4222"/>
        <item m="1" x="4223"/>
        <item m="1" x="3934"/>
        <item m="1" x="4229"/>
        <item m="1" x="4230"/>
        <item m="1" x="4231"/>
        <item m="1" x="4235"/>
        <item m="1" x="4236"/>
        <item m="1" x="3936"/>
        <item m="1" x="1313"/>
        <item m="1" x="4068"/>
        <item m="1" x="4067"/>
        <item m="1" x="4238"/>
        <item m="1" x="4239"/>
        <item m="1" x="4142"/>
        <item m="1" x="4147"/>
        <item m="1" x="4148"/>
        <item m="1" x="4072"/>
        <item m="1" x="4073"/>
        <item m="1" x="4076"/>
        <item m="1" x="4152"/>
        <item m="1" x="4163"/>
        <item m="1" x="4242"/>
        <item m="1" x="4158"/>
        <item m="1" x="4086"/>
        <item m="1" x="4160"/>
        <item m="1" x="4091"/>
        <item m="1" x="3539"/>
        <item m="1" x="4249"/>
        <item m="1" x="3540"/>
        <item m="1" x="3541"/>
        <item m="1" x="3165"/>
        <item m="1" x="3525"/>
        <item m="1" x="3436"/>
        <item m="1" x="3561"/>
        <item m="1" x="3456"/>
        <item m="1" x="3522"/>
        <item m="1" x="3523"/>
        <item m="1" x="3524"/>
        <item m="1" x="3773"/>
        <item m="1" x="4103"/>
        <item m="1" x="4203"/>
        <item m="1" x="4208"/>
        <item m="1" x="4105"/>
        <item m="1" x="3333"/>
        <item m="1" x="4252"/>
        <item m="1" x="4254"/>
        <item m="1" x="4255"/>
        <item m="1" x="1878"/>
        <item m="1" x="3779"/>
        <item m="1" x="3625"/>
        <item m="1" x="3900"/>
        <item m="1" x="4265"/>
        <item m="1" x="4266"/>
        <item m="1" x="2270"/>
        <item m="1" x="4204"/>
        <item m="1" x="1775"/>
        <item x="79"/>
        <item m="1" x="4275"/>
        <item m="1" x="1960"/>
        <item m="1" x="3680"/>
        <item m="1" x="3108"/>
        <item m="1" x="2294"/>
        <item m="1" x="3499"/>
        <item m="1" x="3269"/>
        <item m="1" x="4280"/>
        <item m="1" x="4281"/>
        <item m="1" x="3153"/>
        <item m="1" x="3786"/>
        <item m="1" x="4282"/>
        <item m="1" x="4188"/>
        <item m="1" x="1946"/>
        <item m="1" x="4286"/>
        <item m="1" x="3336"/>
        <item m="1" x="3950"/>
        <item m="1" x="4062"/>
        <item m="1" x="4109"/>
        <item m="1" x="4110"/>
        <item m="1" x="4111"/>
        <item m="1" x="4112"/>
        <item m="1" x="4113"/>
        <item m="1" x="4114"/>
        <item m="1" x="4116"/>
        <item m="1" x="4117"/>
        <item m="1" x="4118"/>
        <item m="1" x="4119"/>
        <item m="1" x="4120"/>
        <item m="1" x="4123"/>
        <item m="1" x="2163"/>
        <item m="1" x="4124"/>
        <item m="1" x="4125"/>
        <item m="1" x="4126"/>
        <item m="1" x="4127"/>
        <item m="1" x="4128"/>
        <item m="1" x="4129"/>
        <item m="1" x="4130"/>
        <item m="1" x="2826"/>
        <item m="1" x="3761"/>
        <item m="1" x="3762"/>
        <item m="1" x="3763"/>
        <item m="1" x="3930"/>
        <item m="1" x="4131"/>
        <item m="1" x="3767"/>
        <item m="1" x="1738"/>
        <item m="1" x="3619"/>
        <item m="1" x="3931"/>
        <item m="1" x="3932"/>
        <item m="1" x="2180"/>
        <item m="1" x="2850"/>
        <item m="1" x="3935"/>
        <item m="1" x="3970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3"/>
        <item m="1" x="4144"/>
        <item m="1" x="4145"/>
        <item m="1" x="4146"/>
        <item m="1" x="4149"/>
        <item m="1" x="4150"/>
        <item m="1" x="1704"/>
        <item m="1" x="4151"/>
        <item m="1" x="2809"/>
        <item m="1" x="4153"/>
        <item m="1" x="4154"/>
        <item m="1" x="3217"/>
        <item m="1" x="4155"/>
        <item m="1" x="4156"/>
        <item m="1" x="4157"/>
        <item m="1" x="4159"/>
        <item m="1" x="4161"/>
        <item m="1" x="4162"/>
        <item m="1" x="3275"/>
        <item m="1" x="3979"/>
        <item m="1" x="3277"/>
        <item m="1" x="4164"/>
        <item m="1" x="3437"/>
        <item m="1" x="3547"/>
        <item m="1" x="3161"/>
        <item m="1" x="3545"/>
        <item m="1" x="3546"/>
        <item m="1" x="3533"/>
        <item m="1" x="3534"/>
        <item m="1" x="3535"/>
        <item m="1" x="3526"/>
        <item m="1" x="3527"/>
        <item m="1" x="3528"/>
        <item m="1" x="3529"/>
        <item m="1" x="3530"/>
        <item m="1" x="3531"/>
        <item m="1" x="3532"/>
        <item m="1" x="3543"/>
        <item m="1" x="3544"/>
        <item m="1" x="3548"/>
        <item m="1" x="3542"/>
        <item m="1" x="4165"/>
        <item m="1" x="4166"/>
        <item m="1" x="4167"/>
        <item m="1" x="3774"/>
        <item m="1" x="3937"/>
        <item m="1" x="4168"/>
        <item m="1" x="3775"/>
        <item m="1" x="3776"/>
        <item m="1" x="3777"/>
        <item m="1" x="3778"/>
        <item m="1" x="4169"/>
        <item m="1" x="4170"/>
        <item m="1" x="4171"/>
        <item m="1" x="4172"/>
        <item m="1" x="4173"/>
        <item m="1" x="4174"/>
        <item m="1" x="1894"/>
        <item m="1" x="4175"/>
        <item m="1" x="4176"/>
        <item m="1" x="3976"/>
        <item m="1" x="3977"/>
        <item m="1" x="1949"/>
        <item m="1" x="4177"/>
        <item m="1" x="4178"/>
        <item m="1" x="4179"/>
        <item m="1" x="3679"/>
        <item m="1" x="4180"/>
        <item m="1" x="4181"/>
        <item m="1" x="3944"/>
        <item m="1" x="1781"/>
        <item m="1" x="4182"/>
        <item m="1" x="3980"/>
        <item m="1" x="4183"/>
        <item m="1" x="2022"/>
        <item m="1" x="4184"/>
        <item m="1" x="3990"/>
        <item m="1" x="3946"/>
        <item m="1" x="4185"/>
        <item m="1" x="4186"/>
        <item m="1" x="4187"/>
        <item m="1" x="3785"/>
        <item m="1" x="3627"/>
        <item m="1" x="1555"/>
        <item m="1" x="3790"/>
        <item m="1" x="4189"/>
        <item m="1" x="4190"/>
        <item m="1" x="4191"/>
        <item m="1" x="4192"/>
        <item m="1" x="4193"/>
        <item m="1" x="4194"/>
        <item m="1" x="3965"/>
        <item m="1" x="4195"/>
        <item m="1" x="4196"/>
        <item m="1" x="4197"/>
        <item m="1" x="4198"/>
        <item m="1" x="4199"/>
        <item m="1" x="4200"/>
        <item m="1" x="3249"/>
        <item m="1" x="4201"/>
        <item m="1" x="4202"/>
        <item m="1" x="4205"/>
        <item m="1" x="4206"/>
        <item m="1" x="4207"/>
        <item m="1" x="4209"/>
        <item m="1" x="4210"/>
        <item m="1" x="4211"/>
        <item m="1" x="4212"/>
        <item m="1" x="4213"/>
        <item m="1" x="4214"/>
        <item m="1" x="4215"/>
        <item m="1" x="4216"/>
        <item m="1" x="3999"/>
        <item m="1" x="4000"/>
        <item m="1" x="4001"/>
        <item m="1" x="4003"/>
        <item m="1" x="4004"/>
        <item m="1" x="4014"/>
        <item m="1" x="4016"/>
        <item m="1" x="3929"/>
        <item m="1" x="3766"/>
        <item m="1" x="3615"/>
        <item m="1" x="3616"/>
        <item m="1" x="3951"/>
        <item m="1" x="3952"/>
        <item m="1" x="2210"/>
        <item m="1" x="3953"/>
        <item m="1" x="3954"/>
        <item m="1" x="3955"/>
        <item m="1" x="3956"/>
        <item m="1" x="3612"/>
        <item m="1" x="3613"/>
        <item m="1" x="3792"/>
        <item m="1" x="3793"/>
        <item m="1" x="3794"/>
        <item m="1" x="3796"/>
        <item m="1" x="3797"/>
        <item m="1" x="3798"/>
        <item m="1" x="3799"/>
        <item m="1" x="3800"/>
        <item m="1" x="3795"/>
        <item m="1" x="3758"/>
        <item m="1" x="3957"/>
        <item m="1" x="3760"/>
        <item m="1" x="3958"/>
        <item m="1" x="3959"/>
        <item m="1" x="2631"/>
        <item m="1" x="3960"/>
        <item m="1" x="3961"/>
        <item m="1" x="3962"/>
        <item m="1" x="2836"/>
        <item m="1" x="3963"/>
        <item m="1" x="3964"/>
        <item m="1" x="3765"/>
        <item m="1" x="3614"/>
        <item m="1" x="3801"/>
        <item m="1" x="3803"/>
        <item m="1" x="1650"/>
        <item m="1" x="3850"/>
        <item m="1" x="3768"/>
        <item m="1" x="3769"/>
        <item m="1" x="3966"/>
        <item m="1" x="3967"/>
        <item m="1" x="3968"/>
        <item m="1" x="3969"/>
        <item m="1" x="3971"/>
        <item m="1" x="3972"/>
        <item m="1" x="3239"/>
        <item m="1" x="3973"/>
        <item m="1" x="3820"/>
        <item x="291"/>
        <item m="1" x="3415"/>
        <item m="1" x="3818"/>
        <item m="1" x="3243"/>
        <item m="1" x="3825"/>
        <item m="1" x="3620"/>
        <item m="1" x="1979"/>
        <item m="1" x="1819"/>
        <item m="1" x="3830"/>
        <item m="1" x="3770"/>
        <item m="1" x="3771"/>
        <item m="1" x="3549"/>
        <item m="1" x="3835"/>
        <item m="1" x="3840"/>
        <item m="1" x="3865"/>
        <item m="1" x="3089"/>
        <item m="1" x="3092"/>
        <item m="1" x="3974"/>
        <item m="1" x="3975"/>
        <item m="1" x="2542"/>
        <item m="1" x="2293"/>
        <item m="1" x="1652"/>
        <item m="1" x="3978"/>
        <item m="1" x="3981"/>
        <item m="1" x="3982"/>
        <item m="1" x="3983"/>
        <item m="1" x="3984"/>
        <item m="1" x="3832"/>
        <item m="1" x="3985"/>
        <item m="1" x="3986"/>
        <item m="1" x="3987"/>
        <item m="1" x="3988"/>
        <item m="1" x="3989"/>
        <item m="1" x="3991"/>
        <item m="1" x="1779"/>
        <item m="1" x="3992"/>
        <item m="1" x="3993"/>
        <item m="1" x="2564"/>
        <item m="1" x="2565"/>
        <item m="1" x="2300"/>
        <item m="1" x="3994"/>
        <item m="1" x="3267"/>
        <item m="1" x="3271"/>
        <item m="1" x="3276"/>
        <item m="1" x="3272"/>
        <item m="1" x="2164"/>
        <item m="1" x="3280"/>
        <item m="1" x="3782"/>
        <item m="1" x="3294"/>
        <item m="1" x="3295"/>
        <item m="1" x="3783"/>
        <item m="1" x="3784"/>
        <item m="1" x="3297"/>
        <item m="1" x="3788"/>
        <item m="1" x="3787"/>
        <item m="1" x="3995"/>
        <item m="1" x="3996"/>
        <item m="1" x="1944"/>
        <item m="1" x="3312"/>
        <item m="1" x="3317"/>
        <item m="1" x="3319"/>
        <item m="1" x="2498"/>
        <item m="1" x="3320"/>
        <item m="1" x="3324"/>
        <item m="1" x="1541"/>
        <item m="1" x="3334"/>
        <item m="1" x="3338"/>
        <item m="1" x="2801"/>
        <item m="1" x="2802"/>
        <item m="1" x="2807"/>
        <item m="1" x="3997"/>
        <item m="1" x="3629"/>
        <item m="1" x="3630"/>
        <item m="1" x="3631"/>
        <item m="1" x="3632"/>
        <item m="1" x="3791"/>
        <item m="1" x="3638"/>
        <item m="1" x="3802"/>
        <item m="1" x="3804"/>
        <item m="1" x="3617"/>
        <item m="1" x="3805"/>
        <item m="1" x="3806"/>
        <item m="1" x="3807"/>
        <item m="1" x="3140"/>
        <item m="1" x="2827"/>
        <item m="1" x="3808"/>
        <item m="1" x="3809"/>
        <item m="1" x="3810"/>
        <item m="1" x="3811"/>
        <item m="1" x="2085"/>
        <item m="1" x="2083"/>
        <item m="1" x="3812"/>
        <item m="1" x="3813"/>
        <item x="292"/>
        <item m="1" x="3621"/>
        <item m="1" x="3401"/>
        <item m="1" x="3814"/>
        <item m="1" x="3815"/>
        <item m="1" x="3816"/>
        <item m="1" x="3072"/>
        <item m="1" x="2375"/>
        <item m="1" x="3412"/>
        <item m="1" x="3410"/>
        <item m="1" x="3413"/>
        <item m="1" x="3408"/>
        <item m="1" x="3409"/>
        <item m="1" x="3817"/>
        <item m="1" x="3819"/>
        <item m="1" x="3821"/>
        <item m="1" x="3822"/>
        <item m="1" x="3823"/>
        <item m="1" x="3824"/>
        <item m="1" x="3622"/>
        <item m="1" x="3826"/>
        <item m="1" x="3827"/>
        <item m="1" x="3828"/>
        <item m="1" x="2866"/>
        <item m="1" x="3829"/>
        <item m="1" x="3831"/>
        <item m="1" x="3833"/>
        <item m="1" x="2762"/>
        <item m="1" x="3350"/>
        <item m="1" x="3552"/>
        <item m="1" x="3550"/>
        <item m="1" x="3551"/>
        <item m="1" x="3444"/>
        <item m="1" x="3442"/>
        <item m="1" x="3443"/>
        <item m="1" x="3162"/>
        <item m="1" x="3555"/>
        <item m="1" x="3163"/>
        <item m="1" x="3164"/>
        <item m="1" x="3554"/>
        <item m="1" x="3553"/>
        <item m="1" x="3445"/>
        <item m="1" x="3446"/>
        <item m="1" x="3834"/>
        <item m="1" x="3836"/>
        <item m="1" x="3837"/>
        <item m="1" x="3838"/>
        <item m="1" x="3839"/>
        <item m="1" x="3247"/>
        <item m="1" x="3841"/>
        <item m="1" x="3842"/>
        <item m="1" x="3457"/>
        <item m="1" x="3458"/>
        <item m="1" x="3843"/>
        <item m="1" x="3844"/>
        <item m="1" x="3845"/>
        <item m="1" x="3846"/>
        <item m="1" x="3256"/>
        <item m="1" x="3255"/>
        <item m="1" x="3847"/>
        <item m="1" x="3848"/>
        <item m="1" x="3624"/>
        <item m="1" x="1815"/>
        <item m="1" x="3103"/>
        <item m="1" x="3851"/>
        <item m="1" x="1720"/>
        <item m="1" x="3676"/>
        <item m="1" x="3677"/>
        <item m="1" x="3852"/>
        <item m="1" x="3273"/>
        <item m="1" x="3274"/>
        <item m="1" x="3282"/>
        <item m="1" x="3286"/>
        <item m="1" x="3289"/>
        <item m="1" x="3301"/>
        <item m="1" x="3853"/>
        <item m="1" x="2773"/>
        <item m="1" x="3703"/>
        <item m="1" x="3704"/>
        <item m="1" x="3854"/>
        <item m="1" x="3855"/>
        <item m="1" x="3856"/>
        <item m="1" x="3700"/>
        <item m="1" x="3701"/>
        <item m="1" x="3857"/>
        <item m="1" x="3858"/>
        <item m="1" x="3859"/>
        <item m="1" x="3860"/>
        <item m="1" x="3707"/>
        <item m="1" x="3861"/>
        <item m="1" x="3699"/>
        <item m="1" x="3862"/>
        <item m="1" x="3698"/>
        <item m="1" x="3411"/>
        <item m="1" x="3863"/>
        <item m="1" x="3316"/>
        <item m="1" x="3318"/>
        <item m="1" x="3328"/>
        <item m="1" x="3628"/>
        <item m="1" x="1783"/>
        <item m="1" x="3339"/>
        <item m="1" x="3347"/>
        <item m="1" x="2501"/>
        <item m="1" x="3864"/>
        <item m="1" x="3866"/>
        <item m="1" x="3867"/>
        <item m="1" x="3868"/>
        <item m="1" x="3869"/>
        <item m="1" x="3643"/>
        <item m="1" x="3641"/>
        <item m="1" x="3642"/>
        <item m="1" x="3646"/>
        <item m="1" x="3870"/>
        <item m="1" x="3871"/>
        <item m="1" x="3872"/>
        <item m="1" x="3873"/>
        <item m="1" x="3874"/>
        <item m="1" x="3655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510"/>
        <item m="1" x="3886"/>
        <item m="1" x="3887"/>
        <item m="1" x="3888"/>
        <item m="1" x="3889"/>
        <item m="1" x="1319"/>
        <item m="1" x="3890"/>
        <item m="1" x="3667"/>
        <item m="1" x="3891"/>
        <item m="1" x="3668"/>
        <item m="1" x="1974"/>
        <item m="1" x="3892"/>
        <item m="1" x="1937"/>
        <item m="1" x="3329"/>
        <item m="1" x="3893"/>
        <item m="1" x="3894"/>
        <item m="1" x="3895"/>
        <item m="1" x="3896"/>
        <item m="1" x="2024"/>
        <item m="1" x="3696"/>
        <item m="1" x="3897"/>
        <item m="1" x="3691"/>
        <item m="1" x="3690"/>
        <item m="1" x="3898"/>
        <item m="1" x="3692"/>
        <item m="1" x="3686"/>
        <item m="1" x="3899"/>
        <item m="1" x="3568"/>
        <item m="1" x="3735"/>
        <item m="1" x="3734"/>
        <item m="1" x="2731"/>
        <item m="1" x="3901"/>
        <item m="1" x="3902"/>
        <item m="1" x="3903"/>
        <item m="1" x="3904"/>
        <item m="1" x="3582"/>
        <item m="1" x="3905"/>
        <item m="1" x="2964"/>
        <item m="1" x="3266"/>
        <item m="1" x="1976"/>
        <item m="1" x="3290"/>
        <item m="1" x="3906"/>
        <item m="1" x="3907"/>
        <item m="1" x="2084"/>
        <item m="1" x="2086"/>
        <item m="1" x="3300"/>
        <item m="1" x="3908"/>
        <item m="1" x="3909"/>
        <item m="1" x="3910"/>
        <item m="1" x="3911"/>
        <item m="1" x="3912"/>
        <item m="1" x="3706"/>
        <item m="1" x="3913"/>
        <item m="1" x="3914"/>
        <item m="1" x="3598"/>
        <item m="1" x="3915"/>
        <item m="1" x="3916"/>
        <item m="1" x="3618"/>
        <item m="1" x="3623"/>
        <item m="1" x="1700"/>
        <item m="1" x="1699"/>
        <item m="1" x="2042"/>
        <item m="1" x="3633"/>
        <item m="1" x="3634"/>
        <item m="1" x="3635"/>
        <item m="1" x="3636"/>
        <item m="1" x="2813"/>
        <item m="1" x="3637"/>
        <item m="1" x="3511"/>
        <item m="1" x="3639"/>
        <item m="1" x="3640"/>
        <item m="1" x="3644"/>
        <item m="1" x="3645"/>
        <item m="1" x="1634"/>
        <item m="1" x="3218"/>
        <item m="1" x="3219"/>
        <item m="1" x="3647"/>
        <item m="1" x="3648"/>
        <item m="1" x="3649"/>
        <item m="1" x="3650"/>
        <item m="1" x="3651"/>
        <item m="1" x="3652"/>
        <item m="1" x="3516"/>
        <item m="1" x="2116"/>
        <item m="1" x="3653"/>
        <item m="1" x="3654"/>
        <item m="1" x="2843"/>
        <item m="1" x="2844"/>
        <item m="1" x="3031"/>
        <item m="1" x="2924"/>
        <item m="1" x="3656"/>
        <item m="1" x="3657"/>
        <item m="1" x="3658"/>
        <item m="1" x="3520"/>
        <item m="1" x="3659"/>
        <item m="1" x="3660"/>
        <item m="1" x="3393"/>
        <item m="1" x="3237"/>
        <item m="1" x="3517"/>
        <item m="1" x="3661"/>
        <item m="1" x="3662"/>
        <item m="1" x="3201"/>
        <item m="1" x="3663"/>
        <item m="1" x="3423"/>
        <item m="1" x="3664"/>
        <item m="1" x="3429"/>
        <item m="1" x="2328"/>
        <item m="1" x="3665"/>
        <item m="1" x="3666"/>
        <item m="1" x="3414"/>
        <item m="1" x="3559"/>
        <item m="1" x="3558"/>
        <item m="1" x="3441"/>
        <item m="1" x="3557"/>
        <item m="1" x="3556"/>
        <item m="1" x="3450"/>
        <item m="1" x="3447"/>
        <item m="1" x="3448"/>
        <item m="1" x="3449"/>
        <item m="1" x="2006"/>
        <item m="1" x="2717"/>
        <item m="1" x="3669"/>
        <item m="1" x="3670"/>
        <item m="1" x="3671"/>
        <item m="1" x="3672"/>
        <item m="1" x="3673"/>
        <item m="1" x="3486"/>
        <item m="1" x="3674"/>
        <item m="1" x="3675"/>
        <item m="1" x="3678"/>
        <item m="1" x="1865"/>
        <item m="1" x="3681"/>
        <item m="1" x="3682"/>
        <item m="1" x="3683"/>
        <item m="1" x="3684"/>
        <item m="1" x="3685"/>
        <item m="1" x="3687"/>
        <item m="1" x="3688"/>
        <item m="1" x="3569"/>
        <item m="1" x="3689"/>
        <item m="1" x="3693"/>
        <item m="1" x="3694"/>
        <item m="1" x="3695"/>
        <item m="1" x="2763"/>
        <item m="1" x="3697"/>
        <item m="1" x="3292"/>
        <item m="1" x="3702"/>
        <item m="1" x="3705"/>
        <item m="1" x="3708"/>
        <item m="1" x="3200"/>
        <item m="1" x="3709"/>
        <item m="1" x="3710"/>
        <item m="1" x="3711"/>
        <item m="1" x="3712"/>
        <item m="1" x="3713"/>
        <item m="1" x="3714"/>
        <item m="1" x="3327"/>
        <item m="1" x="3715"/>
        <item m="1" x="3127"/>
        <item m="1" x="3364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x="399"/>
        <item m="1" x="3729"/>
        <item m="1" x="3730"/>
        <item m="1" x="3731"/>
        <item m="1" x="3732"/>
        <item m="1" x="3733"/>
        <item m="1" x="3736"/>
        <item m="1" x="3737"/>
        <item m="1" x="3592"/>
        <item m="1" x="3738"/>
        <item m="1" x="3332"/>
        <item m="1" x="3356"/>
        <item m="1" x="3359"/>
        <item m="1" x="3357"/>
        <item m="1" x="3358"/>
        <item m="1" x="3210"/>
        <item m="1" x="3360"/>
        <item m="1" x="3129"/>
        <item m="1" x="3128"/>
        <item m="1" x="3365"/>
        <item m="1" x="3362"/>
        <item m="1" x="3363"/>
        <item m="1" x="3130"/>
        <item m="1" x="3425"/>
        <item m="1" x="3513"/>
        <item m="1" x="3514"/>
        <item m="1" x="3371"/>
        <item m="1" x="3372"/>
        <item m="1" x="3515"/>
        <item m="1" x="2823"/>
        <item m="1" x="3137"/>
        <item m="1" x="3141"/>
        <item m="1" x="3310"/>
        <item m="1" x="3376"/>
        <item m="1" x="3377"/>
        <item m="1" x="3221"/>
        <item m="1" x="3379"/>
        <item m="1" x="3386"/>
        <item m="1" x="3387"/>
        <item m="1" x="3385"/>
        <item m="1" x="3389"/>
        <item m="1" x="2842"/>
        <item m="1" x="3392"/>
        <item m="1" x="2634"/>
        <item m="1" x="2190"/>
        <item m="1" x="3207"/>
        <item m="1" x="2772"/>
        <item m="1" x="3518"/>
        <item m="1" x="3519"/>
        <item m="1" x="3238"/>
        <item m="1" x="3396"/>
        <item m="1" x="3397"/>
        <item m="1" x="1851"/>
        <item m="1" x="3402"/>
        <item m="1" x="3404"/>
        <item m="1" x="3521"/>
        <item m="1" x="3427"/>
        <item m="1" x="3422"/>
        <item m="1" x="3298"/>
        <item m="1" x="3420"/>
        <item m="1" x="3421"/>
        <item m="1" x="3419"/>
        <item m="1" x="1667"/>
        <item m="1" x="3418"/>
        <item m="1" x="3428"/>
        <item m="1" x="3432"/>
        <item m="1" x="3440"/>
        <item m="1" x="3439"/>
        <item m="1" x="3560"/>
        <item m="1" x="3455"/>
        <item m="1" x="3460"/>
        <item m="1" x="3463"/>
        <item m="1" x="3464"/>
        <item m="1" x="2708"/>
        <item m="1" x="2709"/>
        <item m="1" x="3562"/>
        <item m="1" x="3563"/>
        <item m="1" x="3564"/>
        <item m="1" x="3565"/>
        <item m="1" x="3566"/>
        <item m="1" x="2725"/>
        <item m="1" x="1869"/>
        <item m="1" x="1684"/>
        <item m="1" x="3260"/>
        <item m="1" x="1679"/>
        <item m="1" x="1685"/>
        <item m="1" x="1680"/>
        <item m="1" x="1681"/>
        <item m="1" x="1683"/>
        <item m="1" x="3570"/>
        <item m="1" x="3571"/>
        <item m="1" x="3572"/>
        <item m="1" x="3573"/>
        <item m="1" x="3574"/>
        <item m="1" x="3575"/>
        <item m="1" x="3576"/>
        <item m="1" x="2007"/>
        <item m="1" x="1996"/>
        <item m="1" x="3577"/>
        <item m="1" x="3578"/>
        <item m="1" x="3579"/>
        <item m="1" x="3580"/>
        <item m="1" x="3581"/>
        <item m="1" x="1958"/>
        <item m="1" x="1959"/>
        <item m="1" x="3264"/>
        <item m="1" x="3584"/>
        <item m="1" x="2946"/>
        <item m="1" x="1828"/>
        <item m="1" x="2942"/>
        <item m="1" x="2944"/>
        <item m="1" x="3589"/>
        <item m="1" x="3199"/>
        <item m="1" x="3285"/>
        <item m="1" x="3287"/>
        <item m="1" x="3308"/>
        <item m="1" x="1686"/>
        <item m="1" x="1682"/>
        <item m="1" x="3507"/>
        <item m="1" x="3112"/>
        <item m="1" x="3594"/>
        <item m="1" x="3595"/>
        <item m="1" x="3597"/>
        <item m="1" x="2574"/>
        <item m="1" x="3599"/>
        <item m="1" x="1784"/>
        <item m="1" x="3337"/>
        <item m="1" x="3344"/>
        <item m="1" x="3345"/>
        <item m="1" x="3205"/>
        <item m="1" x="3348"/>
        <item m="1" x="3349"/>
        <item m="1" x="3351"/>
        <item m="1" x="3208"/>
        <item m="1" x="3352"/>
        <item m="1" x="3353"/>
        <item m="1" x="3036"/>
        <item m="1" x="3354"/>
        <item m="1" x="3355"/>
        <item m="1" x="3361"/>
        <item m="1" x="3131"/>
        <item m="1" x="3366"/>
        <item m="1" x="3367"/>
        <item m="1" x="3368"/>
        <item m="1" x="3369"/>
        <item m="1" x="3370"/>
        <item m="1" x="3373"/>
        <item m="1" x="3133"/>
        <item m="1" x="3374"/>
        <item m="1" x="3375"/>
        <item m="1" x="3135"/>
        <item m="1" x="3138"/>
        <item m="1" x="3139"/>
        <item m="1" x="3142"/>
        <item m="1" x="3378"/>
        <item m="1" x="3380"/>
        <item m="1" x="3381"/>
        <item m="1" x="2356"/>
        <item m="1" x="3220"/>
        <item m="1" x="3223"/>
        <item m="1" x="3382"/>
        <item m="1" x="3383"/>
        <item m="1" x="3384"/>
        <item m="1" x="3147"/>
        <item m="1" x="1310"/>
        <item m="1" x="3388"/>
        <item m="1" x="2837"/>
        <item m="1" x="2838"/>
        <item m="1" x="2839"/>
        <item m="1" x="2845"/>
        <item m="1" x="3390"/>
        <item m="1" x="3391"/>
        <item m="1" x="2186"/>
        <item m="1" x="2295"/>
        <item m="1" x="3394"/>
        <item m="1" x="3234"/>
        <item m="1" x="3395"/>
        <item m="1" x="3398"/>
        <item m="1" x="3399"/>
        <item m="1" x="3400"/>
        <item m="1" x="3242"/>
        <item m="1" x="3405"/>
        <item m="1" x="3406"/>
        <item m="1" x="3407"/>
        <item m="1" x="3417"/>
        <item m="1" x="3424"/>
        <item m="1" x="3426"/>
        <item m="1" x="2865"/>
        <item m="1" x="3430"/>
        <item m="1" x="3431"/>
        <item m="1" x="3433"/>
        <item m="1" x="3434"/>
        <item m="1" x="3435"/>
        <item m="1" x="3451"/>
        <item m="1" x="3452"/>
        <item m="1" x="3453"/>
        <item m="1" x="3454"/>
        <item m="1" x="3459"/>
        <item m="1" x="2730"/>
        <item m="1" x="3461"/>
        <item m="1" x="3462"/>
        <item m="1" x="2991"/>
        <item m="1" x="3175"/>
        <item m="1" x="3251"/>
        <item m="1" x="3465"/>
        <item m="1" x="3466"/>
        <item m="1" x="3467"/>
        <item m="1" x="1886"/>
        <item m="1" x="3468"/>
        <item m="1" x="1678"/>
        <item m="1" x="3470"/>
        <item m="1" x="3471"/>
        <item m="1" x="3472"/>
        <item m="1" x="3474"/>
        <item m="1" x="1778"/>
        <item m="1" x="1718"/>
        <item m="1" x="1715"/>
        <item m="1" x="3475"/>
        <item m="1" x="1727"/>
        <item m="1" x="3476"/>
        <item m="1" x="3477"/>
        <item m="1" x="3478"/>
        <item m="1" x="2975"/>
        <item m="1" x="3479"/>
        <item m="1" x="3480"/>
        <item m="1" x="3481"/>
        <item m="1" x="3482"/>
        <item m="1" x="3483"/>
        <item m="1" x="3484"/>
        <item m="1" x="3485"/>
        <item m="1" x="348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2038"/>
        <item m="1" x="3500"/>
        <item m="1" x="3501"/>
        <item m="1" x="3270"/>
        <item m="1" x="3281"/>
        <item m="1" x="3502"/>
        <item m="1" x="3291"/>
        <item m="1" x="3307"/>
        <item m="1" x="2993"/>
        <item m="1" x="3504"/>
        <item m="1" x="3505"/>
        <item m="1" x="3506"/>
        <item m="1" x="3508"/>
        <item m="1" x="3003"/>
        <item m="1" x="3309"/>
        <item m="1" x="3509"/>
        <item m="1" x="3032"/>
        <item m="1" x="3034"/>
        <item m="1" x="3343"/>
        <item m="1" x="2580"/>
        <item m="1" x="3209"/>
        <item x="214"/>
        <item m="1" x="3118"/>
        <item m="1" x="3119"/>
        <item m="1" x="3125"/>
        <item m="1" x="3047"/>
        <item m="1" x="3211"/>
        <item m="1" x="3132"/>
        <item m="1" x="2818"/>
        <item m="1" x="3048"/>
        <item m="1" x="3212"/>
        <item m="1" x="3213"/>
        <item m="1" x="3214"/>
        <item m="1" x="3215"/>
        <item x="217"/>
        <item m="1" x="3136"/>
        <item m="1" x="2825"/>
        <item m="1" x="3054"/>
        <item m="1" x="3061"/>
        <item m="1" x="3062"/>
        <item m="1" x="2617"/>
        <item m="1" x="3222"/>
        <item m="1" x="2615"/>
        <item m="1" x="2616"/>
        <item m="1" x="2620"/>
        <item m="1" x="3224"/>
        <item m="1" x="3225"/>
        <item m="1" x="3226"/>
        <item m="1" x="3227"/>
        <item m="1" x="3228"/>
        <item m="1" x="2235"/>
        <item m="1" x="3144"/>
        <item m="1" x="3229"/>
        <item m="1" x="3230"/>
        <item m="1" x="3145"/>
        <item m="1" x="3231"/>
        <item m="1" x="3232"/>
        <item m="1" x="3233"/>
        <item m="1" x="3154"/>
        <item m="1" x="1044"/>
        <item m="1" x="3235"/>
        <item m="1" x="3236"/>
        <item m="1" x="3148"/>
        <item m="1" x="3149"/>
        <item m="1" x="2851"/>
        <item m="1" x="3069"/>
        <item m="1" x="3068"/>
        <item m="1" x="3240"/>
        <item m="1" x="3241"/>
        <item m="1" x="2642"/>
        <item m="1" x="2643"/>
        <item m="1" x="2383"/>
        <item m="1" x="2382"/>
        <item m="1" x="2646"/>
        <item x="303"/>
        <item m="1" x="2645"/>
        <item m="1" x="3157"/>
        <item m="1" x="2859"/>
        <item m="1" x="2870"/>
        <item m="1" x="2668"/>
        <item m="1" x="2669"/>
        <item m="1" x="2670"/>
        <item m="1" x="2242"/>
        <item m="1" x="3168"/>
        <item m="1" x="2675"/>
        <item m="1" x="3244"/>
        <item m="1" x="2875"/>
        <item m="1" x="3245"/>
        <item m="1" x="2874"/>
        <item m="1" x="3167"/>
        <item m="1" x="3246"/>
        <item m="1" x="3248"/>
        <item m="1" x="3171"/>
        <item m="1" x="3172"/>
        <item m="1" x="2881"/>
        <item m="1" x="2704"/>
        <item m="1" x="3084"/>
        <item m="1" x="2705"/>
        <item m="1" x="2715"/>
        <item m="1" x="2093"/>
        <item m="1" x="3250"/>
        <item m="1" x="2904"/>
        <item m="1" x="3252"/>
        <item m="1" x="3253"/>
        <item m="1" x="3254"/>
        <item m="1" x="1926"/>
        <item m="1" x="3258"/>
        <item m="1" x="3262"/>
        <item m="1" x="2754"/>
        <item m="1" x="3263"/>
        <item m="1" x="2920"/>
        <item m="1" x="3278"/>
        <item m="1" x="3283"/>
        <item m="1" x="3284"/>
        <item m="1" x="2989"/>
        <item m="1" x="3299"/>
        <item m="1" x="3303"/>
        <item m="1" x="3305"/>
        <item m="1" x="3306"/>
        <item m="1" x="3202"/>
        <item m="1" x="2973"/>
        <item m="1" x="3000"/>
        <item m="1" x="3001"/>
        <item m="1" x="1947"/>
        <item m="1" x="3037"/>
        <item m="1" x="3029"/>
        <item m="1" x="3315"/>
        <item m="1" x="1787"/>
        <item m="1" x="3325"/>
        <item m="1" x="3326"/>
        <item m="1" x="3330"/>
        <item m="1" x="3038"/>
        <item m="1" x="3039"/>
        <item x="218"/>
        <item m="1" x="2582"/>
        <item m="1" x="2197"/>
        <item m="1" x="3041"/>
        <item m="1" x="3042"/>
        <item x="238"/>
        <item x="259"/>
        <item m="1" x="3120"/>
        <item m="1" x="3121"/>
        <item m="1" x="3122"/>
        <item m="1" x="3123"/>
        <item m="1" x="3124"/>
        <item m="1" x="3126"/>
        <item m="1" x="2595"/>
        <item m="1" x="2977"/>
        <item m="1" x="2820"/>
        <item m="1" x="2819"/>
        <item m="1" x="3050"/>
        <item m="1" x="3134"/>
        <item m="1" x="3052"/>
        <item m="1" x="3055"/>
        <item m="1" x="3056"/>
        <item m="1" x="3057"/>
        <item m="1" x="3063"/>
        <item m="1" x="2829"/>
        <item m="1" x="2831"/>
        <item m="1" x="2832"/>
        <item m="1" x="2830"/>
        <item m="1" x="3143"/>
        <item m="1" x="2840"/>
        <item m="1" x="2841"/>
        <item x="172"/>
        <item m="1" x="3146"/>
        <item m="1" x="3150"/>
        <item x="111"/>
        <item m="1" x="3151"/>
        <item m="1" x="3152"/>
        <item m="1" x="2641"/>
        <item m="1" x="2384"/>
        <item m="1" x="3155"/>
        <item x="275"/>
        <item m="1" x="2855"/>
        <item m="1" x="3073"/>
        <item m="1" x="3156"/>
        <item m="1" x="2860"/>
        <item m="1" x="3158"/>
        <item m="1" x="2862"/>
        <item m="1" x="3159"/>
        <item m="1" x="2861"/>
        <item x="261"/>
        <item m="1" x="3075"/>
        <item m="1" x="3076"/>
        <item m="1" x="2868"/>
        <item m="1" x="3160"/>
        <item m="1" x="2674"/>
        <item m="1" x="2876"/>
        <item m="1" x="2877"/>
        <item m="1" x="2880"/>
        <item m="1" x="2688"/>
        <item m="1" x="2878"/>
        <item m="1" x="2879"/>
        <item m="1" x="3169"/>
        <item m="1" x="3170"/>
        <item m="1" x="3083"/>
        <item m="1" x="3173"/>
        <item m="1" x="3085"/>
        <item m="1" x="2887"/>
        <item m="1" x="2892"/>
        <item m="1" x="2712"/>
        <item m="1" x="3087"/>
        <item m="1" x="3176"/>
        <item m="1" x="3177"/>
        <item m="1" x="3178"/>
        <item m="1" x="2723"/>
        <item m="1" x="2726"/>
        <item m="1" x="1918"/>
        <item m="1" x="1407"/>
        <item m="1" x="3179"/>
        <item m="1" x="3094"/>
        <item m="1" x="2272"/>
        <item m="1" x="3180"/>
        <item m="1" x="3181"/>
        <item m="1" x="1777"/>
        <item m="1" x="3182"/>
        <item m="1" x="3183"/>
        <item m="1" x="3097"/>
        <item m="1" x="3184"/>
        <item m="1" x="3185"/>
        <item m="1" x="3186"/>
        <item m="1" x="3187"/>
        <item m="1" x="3188"/>
        <item m="1" x="547"/>
        <item m="1" x="1739"/>
        <item m="1" x="2296"/>
        <item m="1" x="3194"/>
        <item m="1" x="3195"/>
        <item m="1" x="1687"/>
        <item m="1" x="3197"/>
        <item m="1" x="3198"/>
        <item m="1" x="3203"/>
        <item m="1" x="3028"/>
        <item m="1" x="2499"/>
        <item m="1" x="3116"/>
        <item m="1" x="3206"/>
        <item m="1" x="3043"/>
        <item m="1" x="3044"/>
        <item m="1" x="3045"/>
        <item m="1" x="3046"/>
        <item m="1" x="2815"/>
        <item m="1" x="2821"/>
        <item m="1" x="3049"/>
        <item m="1" x="3051"/>
        <item m="1" x="1736"/>
        <item m="1" x="2603"/>
        <item m="1" x="2612"/>
        <item m="1" x="3053"/>
        <item m="1" x="3058"/>
        <item m="1" x="3059"/>
        <item m="1" x="3060"/>
        <item m="1" x="2627"/>
        <item m="1" x="2629"/>
        <item m="1" x="2512"/>
        <item m="1" x="2628"/>
        <item m="1" x="3064"/>
        <item m="1" x="2788"/>
        <item m="1" x="2787"/>
        <item m="1" x="2624"/>
        <item m="1" x="2625"/>
        <item m="1" x="2632"/>
        <item m="1" x="2365"/>
        <item m="1" x="3065"/>
        <item m="1" x="3066"/>
        <item m="1" x="3067"/>
        <item m="1" x="3070"/>
        <item m="1" x="3071"/>
        <item m="1" x="2852"/>
        <item m="1" x="2647"/>
        <item m="1" x="1031"/>
        <item m="1" x="1030"/>
        <item m="1" x="2648"/>
        <item m="1" x="2654"/>
        <item m="1" x="2655"/>
        <item m="1" x="2392"/>
        <item m="1" x="2394"/>
        <item m="1" x="3074"/>
        <item m="1" x="2864"/>
        <item m="1" x="2869"/>
        <item m="1" x="2867"/>
        <item m="1" x="2667"/>
        <item m="1" x="3077"/>
        <item m="1" x="3078"/>
        <item m="1" x="2673"/>
        <item m="1" x="2873"/>
        <item m="1" x="2882"/>
        <item m="1" x="3079"/>
        <item m="1" x="3080"/>
        <item m="1" x="3081"/>
        <item m="1" x="2883"/>
        <item m="1" x="2884"/>
        <item m="1" x="3082"/>
        <item m="1" x="2706"/>
        <item m="1" x="2714"/>
        <item m="1" x="2713"/>
        <item m="1" x="2902"/>
        <item m="1" x="2901"/>
        <item m="1" x="3088"/>
        <item m="1" x="2258"/>
        <item m="1" x="3090"/>
        <item m="1" x="3091"/>
        <item m="1" x="1917"/>
        <item m="1" x="3095"/>
        <item m="1" x="3096"/>
        <item m="1" x="3098"/>
        <item m="1" x="2280"/>
        <item m="1" x="1675"/>
        <item m="1" x="3099"/>
        <item m="1" x="3100"/>
        <item m="1" x="3101"/>
        <item m="1" x="3102"/>
        <item m="1" x="2970"/>
        <item m="1" x="1842"/>
        <item m="1" x="2578"/>
        <item m="1" x="3104"/>
        <item m="1" x="2910"/>
        <item m="1" x="1740"/>
        <item m="1" x="3105"/>
        <item m="1" x="2752"/>
        <item m="1" x="3106"/>
        <item m="1" x="3107"/>
        <item m="1" x="3109"/>
        <item m="1" x="3110"/>
        <item m="1" x="2988"/>
        <item m="1" x="3111"/>
        <item m="1" x="2308"/>
        <item m="1" x="2994"/>
        <item m="1" x="3002"/>
        <item m="1" x="1866"/>
        <item m="1" x="3113"/>
        <item m="1" x="3114"/>
        <item m="1" x="3025"/>
        <item m="1" x="3030"/>
        <item m="1" x="3033"/>
        <item x="270"/>
        <item m="1" x="2808"/>
        <item m="1" x="3117"/>
        <item m="1" x="2581"/>
        <item m="1" x="1120"/>
        <item m="1" x="1347"/>
        <item x="239"/>
        <item m="1" x="2812"/>
        <item m="1" x="2586"/>
        <item m="1" x="2587"/>
        <item m="1" x="2588"/>
        <item m="1" x="2589"/>
        <item m="1" x="2585"/>
        <item m="1" x="2591"/>
        <item m="1" x="1925"/>
        <item m="1" x="2212"/>
        <item m="1" x="2339"/>
        <item m="1" x="2592"/>
        <item m="1" x="2213"/>
        <item m="1" x="2214"/>
        <item m="1" x="2215"/>
        <item m="1" x="2211"/>
        <item m="1" x="2593"/>
        <item m="1" x="2814"/>
        <item m="1" x="2816"/>
        <item m="1" x="2822"/>
        <item m="1" x="2324"/>
        <item m="1" x="2824"/>
        <item m="1" x="2698"/>
        <item m="1" x="2608"/>
        <item m="1" x="2609"/>
        <item m="1" x="2610"/>
        <item m="1" x="2828"/>
        <item m="1" x="2613"/>
        <item m="1" x="2614"/>
        <item m="1" x="2833"/>
        <item m="1" x="2834"/>
        <item m="1" x="2835"/>
        <item m="1" x="2630"/>
        <item m="1" x="2623"/>
        <item m="1" x="2846"/>
        <item m="1" x="2847"/>
        <item m="1" x="2848"/>
        <item m="1" x="2849"/>
        <item m="1" x="2622"/>
        <item m="1" x="2633"/>
        <item m="1" x="2636"/>
        <item m="1" x="2638"/>
        <item x="276"/>
        <item x="277"/>
        <item x="278"/>
        <item x="279"/>
        <item x="280"/>
        <item x="281"/>
        <item x="282"/>
        <item m="1" x="2409"/>
        <item m="1" x="2853"/>
        <item m="1" x="2854"/>
        <item m="1" x="2856"/>
        <item m="1" x="2857"/>
        <item m="1" x="2393"/>
        <item m="1" x="2858"/>
        <item m="1" x="1971"/>
        <item m="1" x="2659"/>
        <item m="1" x="2660"/>
        <item m="1" x="2863"/>
        <item m="1" x="2666"/>
        <item m="1" x="2871"/>
        <item m="1" x="2872"/>
        <item m="1" x="2686"/>
        <item m="1" x="2245"/>
        <item m="1" x="2246"/>
        <item m="1" x="2885"/>
        <item m="1" x="2690"/>
        <item m="1" x="2523"/>
        <item m="1" x="2699"/>
        <item m="1" x="2695"/>
        <item x="398"/>
        <item m="1" x="2697"/>
        <item m="1" x="2696"/>
        <item m="1" x="2886"/>
        <item m="1" x="2888"/>
        <item m="1" x="2889"/>
        <item m="1" x="2890"/>
        <item m="1" x="2891"/>
        <item m="1" x="2893"/>
        <item m="1" x="2894"/>
        <item m="1" x="2895"/>
        <item m="1" x="2896"/>
        <item m="1" x="2897"/>
        <item m="1" x="2898"/>
        <item m="1" x="2899"/>
        <item m="1" x="2257"/>
        <item m="1" x="2264"/>
        <item m="1" x="2905"/>
        <item m="1" x="2724"/>
        <item m="1" x="2906"/>
        <item m="1" x="2907"/>
        <item m="1" x="2908"/>
        <item m="1" x="2536"/>
        <item m="1" x="2909"/>
        <item m="1" x="2466"/>
        <item m="1" x="2544"/>
        <item m="1" x="2733"/>
        <item m="1" x="1677"/>
        <item m="1" x="2547"/>
        <item m="1" x="1872"/>
        <item m="1" x="2734"/>
        <item m="1" x="2273"/>
        <item m="1" x="2911"/>
        <item m="1" x="2912"/>
        <item m="1" x="2913"/>
        <item m="1" x="2914"/>
        <item m="1" x="2915"/>
        <item m="1" x="2916"/>
        <item m="1" x="2918"/>
        <item m="1" x="2919"/>
        <item m="1" x="2921"/>
        <item m="1" x="2922"/>
        <item m="1" x="2923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3"/>
        <item m="1" x="2945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758"/>
        <item m="1" x="2965"/>
        <item m="1" x="2966"/>
        <item m="1" x="2967"/>
        <item m="1" x="2759"/>
        <item m="1" x="2760"/>
        <item m="1" x="2761"/>
        <item m="1" x="2968"/>
        <item m="1" x="2969"/>
        <item m="1" x="2971"/>
        <item m="1" x="2972"/>
        <item m="1" x="2974"/>
        <item m="1" x="2976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092"/>
        <item m="1" x="1893"/>
        <item m="1" x="2990"/>
        <item m="1" x="2992"/>
        <item m="1" x="2995"/>
        <item m="1" x="2996"/>
        <item m="1" x="2997"/>
        <item m="1" x="2998"/>
        <item m="1" x="2999"/>
        <item m="1" x="1676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6"/>
        <item m="1" x="3027"/>
        <item m="1" x="1698"/>
        <item m="1" x="1785"/>
        <item m="1" x="3035"/>
        <item m="1" x="1786"/>
        <item m="1" x="3040"/>
        <item m="1" x="1651"/>
        <item m="1" x="2583"/>
        <item m="1" x="1674"/>
        <item m="1" x="2095"/>
        <item m="1" x="2584"/>
        <item m="1" x="2502"/>
        <item m="1" x="2590"/>
        <item m="1" x="2594"/>
        <item m="1" x="2596"/>
        <item m="1" x="2597"/>
        <item m="1" x="2598"/>
        <item m="1" x="2599"/>
        <item m="1" x="2600"/>
        <item m="1" x="2601"/>
        <item m="1" x="2236"/>
        <item m="1" x="2602"/>
        <item m="1" x="2604"/>
        <item m="1" x="2605"/>
        <item m="1" x="2606"/>
        <item m="1" x="2607"/>
        <item m="1" x="2611"/>
        <item m="1" x="1278"/>
        <item m="1" x="2618"/>
        <item m="1" x="2508"/>
        <item m="1" x="2619"/>
        <item m="1" x="2621"/>
        <item m="1" x="2232"/>
        <item m="1" x="2626"/>
        <item m="1" x="1734"/>
        <item m="1" x="2635"/>
        <item m="1" x="2637"/>
        <item m="1" x="2373"/>
        <item m="1" x="2639"/>
        <item m="1" x="2640"/>
        <item m="1" x="2644"/>
        <item m="1" x="2388"/>
        <item m="1" x="2387"/>
        <item m="1" x="2649"/>
        <item m="1" x="2650"/>
        <item m="1" x="2651"/>
        <item m="1" x="2652"/>
        <item m="1" x="2653"/>
        <item m="1" x="2517"/>
        <item m="1" x="1111"/>
        <item m="1" x="2656"/>
        <item m="1" x="2657"/>
        <item m="1" x="2658"/>
        <item m="1" x="2661"/>
        <item m="1" x="2662"/>
        <item m="1" x="2663"/>
        <item m="1" x="2664"/>
        <item m="1" x="2665"/>
        <item m="1" x="2671"/>
        <item m="1" x="2672"/>
        <item m="1" x="1316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7"/>
        <item m="1" x="2098"/>
        <item m="1" x="2689"/>
        <item m="1" x="2691"/>
        <item m="1" x="2692"/>
        <item m="1" x="2693"/>
        <item m="1" x="2694"/>
        <item m="1" x="2700"/>
        <item m="1" x="2701"/>
        <item m="1" x="2522"/>
        <item m="1" x="2702"/>
        <item m="1" x="2703"/>
        <item m="1" x="1975"/>
        <item m="1" x="2716"/>
        <item m="1" x="2524"/>
        <item m="1" x="1712"/>
        <item m="1" x="1708"/>
        <item m="1" x="2718"/>
        <item m="1" x="2719"/>
        <item m="1" x="2720"/>
        <item m="1" x="2721"/>
        <item m="1" x="2722"/>
        <item m="1" x="2438"/>
        <item m="1" x="2436"/>
        <item m="1" x="2437"/>
        <item m="1" x="1919"/>
        <item m="1" x="2727"/>
        <item m="1" x="2728"/>
        <item m="1" x="2729"/>
        <item m="1" x="2732"/>
        <item m="1" x="1939"/>
        <item m="1" x="1713"/>
        <item m="1" x="2735"/>
        <item m="1" x="2736"/>
        <item m="1" x="2469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278"/>
        <item m="1" x="2279"/>
        <item m="1" x="2748"/>
        <item m="1" x="2749"/>
        <item m="1" x="2552"/>
        <item m="1" x="2553"/>
        <item m="1" x="2017"/>
        <item m="1" x="2750"/>
        <item m="1" x="2751"/>
        <item m="1" x="2753"/>
        <item m="1" x="1854"/>
        <item m="1" x="2755"/>
        <item m="1" x="2756"/>
        <item m="1" x="2458"/>
        <item m="1" x="2757"/>
        <item m="1" x="2114"/>
        <item m="1" x="2107"/>
        <item m="1" x="1953"/>
        <item m="1" x="2770"/>
        <item m="1" x="2082"/>
        <item m="1" x="2776"/>
        <item m="1" x="2777"/>
        <item m="1" x="2778"/>
        <item m="1" x="2779"/>
        <item m="1" x="2780"/>
        <item m="1" x="2781"/>
        <item m="1" x="2782"/>
        <item m="1" x="2081"/>
        <item m="1" x="2789"/>
        <item m="1" x="1721"/>
        <item m="1" x="2791"/>
        <item m="1" x="2793"/>
        <item m="1" x="1722"/>
        <item m="1" x="2798"/>
        <item m="1" x="2799"/>
        <item m="1" x="2804"/>
        <item m="1" x="2329"/>
        <item m="1" x="2333"/>
        <item m="1" x="2338"/>
        <item m="1" x="2503"/>
        <item m="1" x="2504"/>
        <item m="1" x="2340"/>
        <item m="1" x="1459"/>
        <item m="1" x="2505"/>
        <item m="1" x="2506"/>
        <item m="1" x="2507"/>
        <item m="1" x="1636"/>
        <item m="1" x="2343"/>
        <item m="1" x="2344"/>
        <item m="1" x="2345"/>
        <item m="1" x="2349"/>
        <item m="1" x="2350"/>
        <item m="1" x="2352"/>
        <item m="1" x="2353"/>
        <item m="1" x="2354"/>
        <item m="1" x="2355"/>
        <item m="1" x="2509"/>
        <item m="1" x="2510"/>
        <item m="1" x="2358"/>
        <item m="1" x="2357"/>
        <item m="1" x="2511"/>
        <item m="1" x="2360"/>
        <item m="1" x="1639"/>
        <item m="1" x="2361"/>
        <item m="1" x="2362"/>
        <item m="1" x="1737"/>
        <item m="1" x="2513"/>
        <item m="1" x="2514"/>
        <item m="1" x="2515"/>
        <item m="1" x="2516"/>
        <item m="1" x="2370"/>
        <item m="1" x="2371"/>
        <item m="1" x="2372"/>
        <item x="283"/>
        <item m="1" x="1653"/>
        <item x="284"/>
        <item x="285"/>
        <item m="1" x="2380"/>
        <item m="1" x="2381"/>
        <item m="1" x="2378"/>
        <item m="1" x="2379"/>
        <item m="1" x="2367"/>
        <item m="1" x="2385"/>
        <item m="1" x="2386"/>
        <item m="1" x="2389"/>
        <item m="1" x="2397"/>
        <item m="1" x="2402"/>
        <item m="1" x="2403"/>
        <item m="1" x="2518"/>
        <item m="1" x="2519"/>
        <item m="1" x="2412"/>
        <item m="1" x="2520"/>
        <item m="1" x="2097"/>
        <item m="1" x="2099"/>
        <item m="1" x="2100"/>
        <item m="1" x="1363"/>
        <item m="1" x="1362"/>
        <item m="1" x="2521"/>
        <item m="1" x="2419"/>
        <item m="1" x="2416"/>
        <item m="1" x="2421"/>
        <item m="1" x="2422"/>
        <item m="1" x="2423"/>
        <item m="1" x="2424"/>
        <item m="1" x="2428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1730"/>
        <item m="1" x="1941"/>
        <item m="1" x="2537"/>
        <item m="1" x="2538"/>
        <item m="1" x="2539"/>
        <item m="1" x="2540"/>
        <item m="1" x="2541"/>
        <item m="1" x="1733"/>
        <item m="1" x="2543"/>
        <item m="1" x="2016"/>
        <item m="1" x="2545"/>
        <item m="1" x="2546"/>
        <item m="1" x="1776"/>
        <item m="1" x="2548"/>
        <item m="1" x="2549"/>
        <item m="1" x="2550"/>
        <item m="1" x="2551"/>
        <item m="1" x="2554"/>
        <item m="1" x="2555"/>
        <item m="1" x="2556"/>
        <item m="1" x="2557"/>
        <item m="1" x="2558"/>
        <item m="1" x="2009"/>
        <item m="1" x="2559"/>
        <item m="1" x="2560"/>
        <item m="1" x="2561"/>
        <item m="1" x="2124"/>
        <item m="1" x="2056"/>
        <item m="1" x="2047"/>
        <item m="1" x="1816"/>
        <item m="1" x="1817"/>
        <item m="1" x="1818"/>
        <item m="1" x="2562"/>
        <item m="1" x="2563"/>
        <item m="1" x="1829"/>
        <item m="1" x="2566"/>
        <item m="1" x="1901"/>
        <item m="1" x="2486"/>
        <item m="1" x="1729"/>
        <item m="1" x="2568"/>
        <item m="1" x="2569"/>
        <item m="1" x="2570"/>
        <item m="1" x="2571"/>
        <item m="1" x="2572"/>
        <item m="1" x="2573"/>
        <item m="1" x="1887"/>
        <item m="1" x="2575"/>
        <item m="1" x="1942"/>
        <item m="1" x="2576"/>
        <item m="1" x="2577"/>
        <item m="1" x="2579"/>
        <item m="1" x="2330"/>
        <item m="1" x="2331"/>
        <item m="1" x="2332"/>
        <item m="1" x="2334"/>
        <item m="1" x="2335"/>
        <item m="1" x="2336"/>
        <item m="1" x="2243"/>
        <item m="1" x="2337"/>
        <item m="1" x="1646"/>
        <item m="1" x="2341"/>
        <item m="1" x="2342"/>
        <item m="1" x="1596"/>
        <item m="1" x="2221"/>
        <item m="1" x="2347"/>
        <item m="1" x="2348"/>
        <item m="1" x="2225"/>
        <item m="1" x="2351"/>
        <item x="129"/>
        <item m="1" x="1277"/>
        <item m="1" x="2013"/>
        <item m="1" x="2230"/>
        <item m="1" x="2231"/>
        <item m="1" x="2237"/>
        <item m="1" x="2359"/>
        <item m="1" x="1993"/>
        <item m="1" x="1314"/>
        <item m="1" x="2363"/>
        <item m="1" x="2364"/>
        <item m="1" x="2366"/>
        <item m="1" x="2368"/>
        <item m="1" x="2369"/>
        <item m="1" x="2374"/>
        <item x="286"/>
        <item m="1" x="2376"/>
        <item m="1" x="2377"/>
        <item m="1" x="1320"/>
        <item m="1" x="2193"/>
        <item m="1" x="1663"/>
        <item m="1" x="2036"/>
        <item m="1" x="2390"/>
        <item m="1" x="2391"/>
        <item m="1" x="2395"/>
        <item m="1" x="2396"/>
        <item m="1" x="2398"/>
        <item m="1" x="2399"/>
        <item m="1" x="2400"/>
        <item m="1" x="2401"/>
        <item m="1" x="2404"/>
        <item m="1" x="2405"/>
        <item m="1" x="2406"/>
        <item m="1" x="2407"/>
        <item m="1" x="2240"/>
        <item m="1" x="2408"/>
        <item m="1" x="2410"/>
        <item m="1" x="2411"/>
        <item m="1" x="2206"/>
        <item m="1" x="2207"/>
        <item m="1" x="2101"/>
        <item m="1" x="2244"/>
        <item m="1" x="2413"/>
        <item m="1" x="2414"/>
        <item m="1" x="2415"/>
        <item m="1" x="2417"/>
        <item m="1" x="2418"/>
        <item m="1" x="2420"/>
        <item m="1" x="2425"/>
        <item m="1" x="2426"/>
        <item m="1" x="2427"/>
        <item m="1" x="2061"/>
        <item m="1" x="2429"/>
        <item m="1" x="2430"/>
        <item m="1" x="2431"/>
        <item m="1" x="2432"/>
        <item m="1" x="2433"/>
        <item m="1" x="2434"/>
        <item m="1" x="2435"/>
        <item m="1" x="1723"/>
        <item m="1" x="1724"/>
        <item m="1" x="2439"/>
        <item m="1" x="2440"/>
        <item m="1" x="2441"/>
        <item m="1" x="2442"/>
        <item m="1" x="1373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1852"/>
        <item m="1" x="1853"/>
        <item m="1" x="2459"/>
        <item x="311"/>
        <item m="1" x="1999"/>
        <item m="1" x="2001"/>
        <item m="1" x="2002"/>
        <item m="1" x="2461"/>
        <item m="1" x="2462"/>
        <item m="1" x="2463"/>
        <item m="1" x="2195"/>
        <item m="1" x="2196"/>
        <item m="1" x="2464"/>
        <item m="1" x="1695"/>
        <item m="1" x="2467"/>
        <item m="1" x="2468"/>
        <item m="1" x="2470"/>
        <item m="1" x="2471"/>
        <item m="1" x="2472"/>
        <item m="1" x="2473"/>
        <item m="1" x="2474"/>
        <item m="1" x="2475"/>
        <item m="1" x="2476"/>
        <item m="1" x="2477"/>
        <item m="1" x="1882"/>
        <item m="1" x="2478"/>
        <item m="1" x="2479"/>
        <item m="1" x="2480"/>
        <item m="1" x="2481"/>
        <item m="1" x="2482"/>
        <item m="1" x="2483"/>
        <item m="1" x="2484"/>
        <item m="1" x="2485"/>
        <item m="1" x="2297"/>
        <item m="1" x="1862"/>
        <item m="1" x="2487"/>
        <item m="1" x="2488"/>
        <item m="1" x="2489"/>
        <item m="1" x="2490"/>
        <item m="1" x="2491"/>
        <item m="1" x="2492"/>
        <item m="1" x="2493"/>
        <item m="1" x="2319"/>
        <item m="1" x="2494"/>
        <item m="1" x="2495"/>
        <item m="1" x="1673"/>
        <item m="1" x="1706"/>
        <item m="1" x="1705"/>
        <item m="1" x="2496"/>
        <item m="1" x="2181"/>
        <item m="1" x="1470"/>
        <item m="1" x="2185"/>
        <item m="1" x="1900"/>
        <item m="1" x="1899"/>
        <item m="1" x="2216"/>
        <item m="1" x="2217"/>
        <item m="1" x="1672"/>
        <item m="1" x="2218"/>
        <item m="1" x="2219"/>
        <item m="1" x="2220"/>
        <item m="1" x="2222"/>
        <item m="1" x="2223"/>
        <item m="1" x="2224"/>
        <item x="145"/>
        <item x="146"/>
        <item m="1" x="1714"/>
        <item m="1" x="1635"/>
        <item m="1" x="2227"/>
        <item m="1" x="2228"/>
        <item m="1" x="1804"/>
        <item m="1" x="2166"/>
        <item m="1" x="1802"/>
        <item m="1" x="1803"/>
        <item m="1" x="2229"/>
        <item m="1" x="2233"/>
        <item m="1" x="2234"/>
        <item m="1" x="1028"/>
        <item x="265"/>
        <item m="1" x="1027"/>
        <item m="1" x="1966"/>
        <item x="110"/>
        <item x="309"/>
        <item m="1" x="1335"/>
        <item m="1" x="1337"/>
        <item m="1" x="2054"/>
        <item m="1" x="2055"/>
        <item m="1" x="2241"/>
        <item m="1" x="2075"/>
        <item m="1" x="2247"/>
        <item m="1" x="931"/>
        <item m="1" x="930"/>
        <item m="1" x="1029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113"/>
        <item m="1" x="2062"/>
        <item m="1" x="2063"/>
        <item m="1" x="2064"/>
        <item m="1" x="1190"/>
        <item m="1" x="2259"/>
        <item m="1" x="2260"/>
        <item m="1" x="2261"/>
        <item m="1" x="2262"/>
        <item m="1" x="2263"/>
        <item m="1" x="2265"/>
        <item m="1" x="2266"/>
        <item m="1" x="2267"/>
        <item m="1" x="1877"/>
        <item m="1" x="2268"/>
        <item m="1" x="2269"/>
        <item m="1" x="2271"/>
        <item m="1" x="1697"/>
        <item m="1" x="1094"/>
        <item m="1" x="2274"/>
        <item m="1" x="2275"/>
        <item m="1" x="2276"/>
        <item m="1" x="2277"/>
        <item m="1" x="2281"/>
        <item m="1" x="2282"/>
        <item m="1" x="2283"/>
        <item m="1" x="2285"/>
        <item m="1" x="2286"/>
        <item m="1" x="2287"/>
        <item m="1" x="2288"/>
        <item m="1" x="2289"/>
        <item m="1" x="1998"/>
        <item m="1" x="2290"/>
        <item m="1" x="2291"/>
        <item m="1" x="2292"/>
        <item m="1" x="1855"/>
        <item m="1" x="2298"/>
        <item m="1" x="1207"/>
        <item m="1" x="2301"/>
        <item m="1" x="2302"/>
        <item m="1" x="1892"/>
        <item m="1" x="2304"/>
        <item m="1" x="2305"/>
        <item m="1" x="2306"/>
        <item m="1" x="2307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20"/>
        <item m="1" x="2321"/>
        <item m="1" x="2326"/>
        <item m="1" x="2327"/>
        <item m="1" x="1466"/>
        <item m="1" x="2115"/>
        <item m="1" x="1670"/>
        <item m="1" x="2117"/>
        <item m="1" x="1693"/>
        <item m="1" x="1691"/>
        <item m="1" x="1692"/>
        <item m="1" x="1688"/>
        <item m="1" x="1689"/>
        <item m="1" x="1690"/>
        <item m="1" x="1671"/>
        <item m="1" x="2118"/>
        <item m="1" x="2119"/>
        <item m="1" x="1597"/>
        <item m="1" x="2120"/>
        <item m="1" x="2121"/>
        <item m="1" x="2122"/>
        <item m="1" x="1719"/>
        <item m="1" x="1731"/>
        <item m="1" x="2123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1774"/>
        <item m="1" x="2158"/>
        <item m="1" x="2159"/>
        <item m="1" x="2160"/>
        <item m="1" x="1633"/>
        <item m="1" x="2161"/>
        <item m="1" x="1631"/>
        <item m="1" x="2162"/>
        <item m="1" x="1629"/>
        <item m="1" x="1789"/>
        <item m="1" x="1025"/>
        <item m="1" x="1795"/>
        <item m="1" x="1773"/>
        <item m="1" x="1796"/>
        <item m="1" x="2165"/>
        <item m="1" x="2167"/>
        <item m="1" x="2168"/>
        <item m="1" x="1801"/>
        <item m="1" x="1809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1841"/>
        <item m="1" x="1840"/>
        <item m="1" x="2178"/>
        <item m="1" x="1283"/>
        <item m="1" x="1284"/>
        <item m="1" x="1285"/>
        <item m="1" x="2179"/>
        <item m="1" x="1875"/>
        <item m="1" x="1880"/>
        <item m="1" x="1883"/>
        <item m="1" x="1891"/>
        <item m="1" x="2182"/>
        <item m="1" x="2183"/>
        <item m="1" x="2184"/>
        <item m="1" x="1140"/>
        <item m="1" x="1294"/>
        <item m="1" x="1530"/>
        <item m="1" x="1150"/>
        <item m="1" x="2187"/>
        <item m="1" x="2188"/>
        <item m="1" x="1964"/>
        <item x="360"/>
        <item m="1" x="1965"/>
        <item m="1" x="1972"/>
        <item m="1" x="1969"/>
        <item m="1" x="2191"/>
        <item m="1" x="2192"/>
        <item x="310"/>
        <item m="1" x="1026"/>
        <item m="1" x="2194"/>
        <item m="1" x="1986"/>
        <item m="1" x="1024"/>
        <item m="1" x="2015"/>
        <item m="1" x="2020"/>
        <item m="1" x="2021"/>
        <item m="1" x="1994"/>
        <item m="1" x="2000"/>
        <item m="1" x="2012"/>
        <item m="1" x="1562"/>
        <item m="1" x="2198"/>
        <item m="1" x="2043"/>
        <item m="1" x="2199"/>
        <item m="1" x="2200"/>
        <item m="1" x="2201"/>
        <item m="1" x="2060"/>
        <item m="1" x="2059"/>
        <item m="1" x="2057"/>
        <item m="1" x="2058"/>
        <item m="1" x="2202"/>
        <item x="403"/>
        <item m="1" x="2203"/>
        <item m="1" x="2074"/>
        <item m="1" x="2068"/>
        <item m="1" x="2080"/>
        <item x="407"/>
        <item m="1" x="2204"/>
        <item m="1" x="2076"/>
        <item m="1" x="2205"/>
        <item m="1" x="2096"/>
        <item m="1" x="2103"/>
        <item m="1" x="2104"/>
        <item m="1" x="2105"/>
        <item m="1" x="929"/>
        <item m="1" x="2208"/>
        <item m="1" x="2111"/>
        <item m="1" x="2209"/>
        <item m="1" x="1458"/>
        <item m="1" x="2112"/>
        <item m="1" x="1461"/>
        <item m="1" x="1460"/>
        <item m="1" x="1213"/>
        <item m="1" x="1694"/>
        <item m="1" x="1696"/>
        <item m="1" x="1717"/>
        <item m="1" x="1056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034"/>
        <item m="1" x="1768"/>
        <item m="1" x="1769"/>
        <item m="1" x="1770"/>
        <item m="1" x="1771"/>
        <item m="1" x="1772"/>
        <item x="367"/>
        <item m="1" x="1115"/>
        <item m="1" x="1782"/>
        <item m="1" x="1090"/>
        <item m="1" x="1274"/>
        <item m="1" x="1638"/>
        <item m="1" x="1023"/>
        <item m="1" x="1542"/>
        <item m="1" x="1797"/>
        <item m="1" x="1661"/>
        <item m="1" x="1800"/>
        <item m="1" x="1805"/>
        <item m="1" x="1806"/>
        <item m="1" x="1820"/>
        <item m="1" x="1821"/>
        <item m="1" x="1457"/>
        <item x="149"/>
        <item m="1" x="1844"/>
        <item m="1" x="1845"/>
        <item m="1" x="1846"/>
        <item m="1" x="1847"/>
        <item m="1" x="1856"/>
        <item m="1" x="1857"/>
        <item m="1" x="1873"/>
        <item m="1" x="1874"/>
        <item m="1" x="1879"/>
        <item m="1" x="1881"/>
        <item m="1" x="1885"/>
        <item m="1" x="1896"/>
        <item m="1" x="1902"/>
        <item m="1" x="1903"/>
        <item m="1" x="1904"/>
        <item m="1" x="1905"/>
        <item m="1" x="1906"/>
        <item m="1" x="1934"/>
        <item m="1" x="1144"/>
        <item m="1" x="1145"/>
        <item m="1" x="1945"/>
        <item m="1" x="1956"/>
        <item m="1" x="1302"/>
        <item m="1" x="1303"/>
        <item m="1" x="1304"/>
        <item m="1" x="1963"/>
        <item m="1" x="1535"/>
        <item m="1" x="1967"/>
        <item m="1" x="1968"/>
        <item m="1" x="1970"/>
        <item m="1" x="1973"/>
        <item x="269"/>
        <item x="271"/>
        <item x="272"/>
        <item x="273"/>
        <item x="266"/>
        <item x="267"/>
        <item x="268"/>
        <item m="1" x="1985"/>
        <item m="1" x="1547"/>
        <item m="1" x="1987"/>
        <item m="1" x="1988"/>
        <item m="1" x="1989"/>
        <item m="1" x="1654"/>
        <item m="1" x="1990"/>
        <item m="1" x="1991"/>
        <item m="1" x="2004"/>
        <item m="1" x="2008"/>
        <item m="1" x="2011"/>
        <item m="1" x="2014"/>
        <item m="1" x="2018"/>
        <item m="1" x="2019"/>
        <item m="1" x="2023"/>
        <item m="1" x="1456"/>
        <item m="1" x="1035"/>
        <item m="1" x="2037"/>
        <item m="1" x="2039"/>
        <item m="1" x="2041"/>
        <item m="1" x="2045"/>
        <item m="1" x="2065"/>
        <item m="1" x="2066"/>
        <item m="1" x="2069"/>
        <item m="1" x="2070"/>
        <item m="1" x="2071"/>
        <item m="1" x="2072"/>
        <item m="1" x="2073"/>
        <item m="1" x="1198"/>
        <item m="1" x="2077"/>
        <item m="1" x="2078"/>
        <item m="1" x="2079"/>
        <item m="1" x="2087"/>
        <item m="1" x="2106"/>
        <item m="1" x="2108"/>
        <item m="1" x="2109"/>
        <item m="1" x="2110"/>
        <item m="1" x="1590"/>
        <item m="1" x="1591"/>
        <item m="1" x="1592"/>
        <item m="1" x="1593"/>
        <item m="1" x="1594"/>
        <item m="1" x="1022"/>
        <item m="1" x="1595"/>
        <item m="1" x="1467"/>
        <item m="1" x="742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494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30"/>
        <item m="1" x="1632"/>
        <item m="1" x="974"/>
        <item m="1" x="1637"/>
        <item m="1" x="771"/>
        <item m="1" x="1640"/>
        <item m="1" x="1641"/>
        <item m="1" x="1642"/>
        <item m="1" x="1643"/>
        <item m="1" x="1644"/>
        <item m="1" x="1512"/>
        <item m="1" x="1516"/>
        <item m="1" x="1522"/>
        <item x="402"/>
        <item m="1" x="1519"/>
        <item m="1" x="1520"/>
        <item m="1" x="1518"/>
        <item m="1" x="1645"/>
        <item m="1" x="1647"/>
        <item m="1" x="1648"/>
        <item m="1" x="1649"/>
        <item m="1" x="1528"/>
        <item m="1" x="1529"/>
        <item m="1" x="1527"/>
        <item m="1" x="1526"/>
        <item m="1" x="1143"/>
        <item m="1" x="1532"/>
        <item m="1" x="1298"/>
        <item m="1" x="1305"/>
        <item m="1" x="1306"/>
        <item m="1" x="1536"/>
        <item m="1" x="1537"/>
        <item m="1" x="1538"/>
        <item x="255"/>
        <item x="256"/>
        <item x="257"/>
        <item m="1" x="1544"/>
        <item m="1" x="1543"/>
        <item m="1" x="1545"/>
        <item m="1" x="1655"/>
        <item m="1" x="1656"/>
        <item m="1" x="1657"/>
        <item m="1" x="1658"/>
        <item m="1" x="1659"/>
        <item m="1" x="1660"/>
        <item m="1" x="1662"/>
        <item m="1" x="1557"/>
        <item m="1" x="1556"/>
        <item m="1" x="1664"/>
        <item m="1" x="1558"/>
        <item m="1" x="1665"/>
        <item m="1" x="1666"/>
        <item x="373"/>
        <item x="374"/>
        <item m="1" x="1563"/>
        <item m="1" x="1564"/>
        <item m="1" x="1339"/>
        <item m="1" x="1338"/>
        <item m="1" x="1566"/>
        <item m="1" x="1569"/>
        <item m="1" x="1346"/>
        <item m="1" x="1573"/>
        <item m="1" x="1572"/>
        <item m="1" x="1575"/>
        <item m="1" x="1579"/>
        <item m="1" x="1455"/>
        <item m="1" x="1668"/>
        <item m="1" x="928"/>
        <item x="420"/>
        <item m="1" x="1021"/>
        <item m="1" x="1020"/>
        <item m="1" x="1669"/>
        <item m="1" x="1584"/>
        <item m="1" x="1454"/>
        <item m="1" x="1453"/>
        <item m="1" x="1462"/>
        <item m="1" x="1463"/>
        <item m="1" x="1464"/>
        <item m="1" x="1043"/>
        <item m="1" x="1049"/>
        <item m="1" x="1465"/>
        <item m="1" x="1468"/>
        <item x="109"/>
        <item m="1" x="1469"/>
        <item m="1" x="1471"/>
        <item m="1" x="1472"/>
        <item m="1" x="1473"/>
        <item m="1" x="1474"/>
        <item m="1" x="1475"/>
        <item m="1" x="1447"/>
        <item m="1" x="1476"/>
        <item m="1" x="1446"/>
        <item m="1" x="1477"/>
        <item m="1" x="1478"/>
        <item m="1" x="1479"/>
        <item m="1" x="1480"/>
        <item m="1" x="1481"/>
        <item m="1" x="1482"/>
        <item m="1" x="1415"/>
        <item m="1" x="1483"/>
        <item m="1" x="1484"/>
        <item m="1" x="1452"/>
        <item x="38"/>
        <item m="1" x="1485"/>
        <item m="1" x="1486"/>
        <item m="1" x="1487"/>
        <item m="1" x="1488"/>
        <item m="1" x="1445"/>
        <item m="1" x="1489"/>
        <item m="1" x="1490"/>
        <item m="1" x="1491"/>
        <item m="1" x="1492"/>
        <item m="1" x="1493"/>
        <item x="264"/>
        <item m="1" x="1495"/>
        <item m="1" x="1496"/>
        <item m="1" x="1497"/>
        <item m="1" x="1498"/>
        <item m="1" x="1066"/>
        <item m="1" x="1499"/>
        <item m="1" x="1500"/>
        <item m="1" x="1501"/>
        <item m="1" x="1502"/>
        <item m="1" x="1503"/>
        <item m="1" x="1449"/>
        <item m="1" x="1448"/>
        <item m="1" x="1504"/>
        <item m="1" x="1505"/>
        <item m="1" x="1506"/>
        <item m="1" x="1507"/>
        <item m="1" x="1508"/>
        <item m="1" x="1509"/>
        <item m="1" x="1273"/>
        <item m="1" x="1510"/>
        <item m="1" x="1411"/>
        <item m="1" x="1511"/>
        <item m="1" x="1451"/>
        <item m="1" x="1450"/>
        <item x="136"/>
        <item m="1" x="1281"/>
        <item m="1" x="1513"/>
        <item m="1" x="1514"/>
        <item m="1" x="1515"/>
        <item m="1" x="1517"/>
        <item m="1" x="1521"/>
        <item m="1" x="1523"/>
        <item m="1" x="1117"/>
        <item m="1" x="1525"/>
        <item m="1" x="1295"/>
        <item m="1" x="1296"/>
        <item m="1" x="1531"/>
        <item x="419"/>
        <item m="1" x="1148"/>
        <item m="1" x="1533"/>
        <item m="1" x="1307"/>
        <item m="1" x="1152"/>
        <item m="1" x="1534"/>
        <item m="1" x="1539"/>
        <item m="1" x="1540"/>
        <item x="254"/>
        <item m="1" x="1158"/>
        <item m="1" x="1546"/>
        <item m="1" x="1015"/>
        <item m="1" x="1548"/>
        <item m="1" x="1549"/>
        <item m="1" x="1550"/>
        <item m="1" x="1551"/>
        <item m="1" x="1552"/>
        <item m="1" x="1553"/>
        <item m="1" x="1554"/>
        <item m="1" x="1164"/>
        <item m="1" x="1559"/>
        <item m="1" x="1560"/>
        <item m="1" x="1561"/>
        <item m="1" x="1185"/>
        <item m="1" x="1186"/>
        <item m="1" x="1187"/>
        <item m="1" x="1336"/>
        <item m="1" x="1565"/>
        <item m="1" x="1567"/>
        <item m="1" x="1568"/>
        <item m="1" x="1570"/>
        <item m="1" x="1571"/>
        <item m="1" x="1574"/>
        <item x="401"/>
        <item m="1" x="1019"/>
        <item m="1" x="1576"/>
        <item m="1" x="1577"/>
        <item m="1" x="1578"/>
        <item m="1" x="1580"/>
        <item m="1" x="1199"/>
        <item m="1" x="1581"/>
        <item m="1" x="1582"/>
        <item m="1" x="1583"/>
        <item m="1" x="925"/>
        <item m="1" x="1016"/>
        <item m="1" x="926"/>
        <item m="1" x="1585"/>
        <item m="1" x="1586"/>
        <item m="1" x="1587"/>
        <item m="1" x="1588"/>
        <item m="1" x="1589"/>
        <item m="1" x="1422"/>
        <item m="1" x="1443"/>
        <item m="1" x="1398"/>
        <item m="1" x="1247"/>
        <item m="1" x="973"/>
        <item m="1" x="1397"/>
        <item m="1" x="1054"/>
        <item m="1" x="1251"/>
        <item x="290"/>
        <item m="1" x="1370"/>
        <item m="1" x="1375"/>
        <item m="1" x="1436"/>
        <item m="1" x="1430"/>
        <item m="1" x="1421"/>
        <item m="1" x="1429"/>
        <item m="1" x="1428"/>
        <item m="1" x="1427"/>
        <item m="1" x="1343"/>
        <item m="1" x="1426"/>
        <item m="1" x="1425"/>
        <item m="1" x="1442"/>
        <item m="1" x="1441"/>
        <item m="1" x="1440"/>
        <item m="1" x="1395"/>
        <item m="1" x="1408"/>
        <item m="1" x="1437"/>
        <item m="1" x="1396"/>
        <item m="1" x="1252"/>
        <item m="1" x="1402"/>
        <item m="1" x="1414"/>
        <item m="1" x="1413"/>
        <item m="1" x="1412"/>
        <item m="1" x="1065"/>
        <item m="1" x="1410"/>
        <item m="1" x="1409"/>
        <item m="1" x="1264"/>
        <item m="1" x="1420"/>
        <item m="1" x="1419"/>
        <item m="1" x="1418"/>
        <item m="1" x="1417"/>
        <item m="1" x="1416"/>
        <item m="1" x="1394"/>
        <item m="1" x="1393"/>
        <item m="1" x="1376"/>
        <item m="1" x="1379"/>
        <item m="1" x="1270"/>
        <item m="1" x="1080"/>
        <item x="75"/>
        <item m="1" x="1388"/>
        <item m="1" x="1082"/>
        <item m="1" x="1087"/>
        <item m="1" x="1271"/>
        <item m="1" x="1384"/>
        <item m="1" x="1383"/>
        <item m="1" x="1382"/>
        <item m="1" x="1392"/>
        <item m="1" x="1391"/>
        <item m="1" x="1401"/>
        <item m="1" x="1400"/>
        <item m="1" x="1399"/>
        <item m="1" x="1390"/>
        <item m="1" x="1282"/>
        <item m="1" x="1431"/>
        <item m="1" x="1276"/>
        <item m="1" x="1280"/>
        <item x="150"/>
        <item m="1" x="1286"/>
        <item m="1" x="1287"/>
        <item m="1" x="1113"/>
        <item m="1" x="1372"/>
        <item m="1" x="1371"/>
        <item m="1" x="1290"/>
        <item m="1" x="1291"/>
        <item m="1" x="1369"/>
        <item m="1" x="1293"/>
        <item m="1" x="1378"/>
        <item m="1" x="1377"/>
        <item m="1" x="1297"/>
        <item m="1" x="1301"/>
        <item m="1" x="1374"/>
        <item m="1" x="1151"/>
        <item m="1" x="1387"/>
        <item m="1" x="1386"/>
        <item m="1" x="1385"/>
        <item x="32"/>
        <item m="1" x="1435"/>
        <item m="1" x="1434"/>
        <item m="1" x="1315"/>
        <item x="262"/>
        <item x="263"/>
        <item x="260"/>
        <item x="258"/>
        <item m="1" x="1439"/>
        <item m="1" x="1433"/>
        <item m="1" x="1404"/>
        <item m="1" x="1403"/>
        <item m="1" x="1406"/>
        <item m="1" x="1405"/>
        <item m="1" x="1178"/>
        <item m="1" x="1342"/>
        <item m="1" x="1438"/>
        <item m="1" x="1329"/>
        <item m="1" x="1189"/>
        <item m="1" x="1014"/>
        <item m="1" x="1423"/>
        <item m="1" x="1381"/>
        <item m="1" x="1341"/>
        <item m="1" x="1380"/>
        <item m="1" x="1367"/>
        <item m="1" x="1348"/>
        <item m="1" x="1013"/>
        <item m="1" x="1351"/>
        <item m="1" x="1358"/>
        <item m="1" x="1350"/>
        <item m="1" x="1368"/>
        <item m="1" x="1201"/>
        <item m="1" x="1202"/>
        <item m="1" x="927"/>
        <item m="1" x="1424"/>
        <item m="1" x="1432"/>
        <item m="1" x="1444"/>
        <item m="1" x="1389"/>
        <item m="1" x="1214"/>
        <item m="1" x="1215"/>
        <item m="1" x="1038"/>
        <item m="1" x="1041"/>
        <item m="1" x="1042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8"/>
        <item x="24"/>
        <item m="1" x="1057"/>
        <item m="1" x="975"/>
        <item m="1" x="1249"/>
        <item m="1" x="985"/>
        <item m="1" x="1116"/>
        <item m="1" x="1250"/>
        <item m="1" x="1253"/>
        <item m="1" x="1064"/>
        <item m="1" x="1063"/>
        <item m="1" x="1254"/>
        <item m="1" x="1255"/>
        <item m="1" x="1256"/>
        <item m="1" x="1257"/>
        <item m="1" x="1258"/>
        <item m="1" x="1259"/>
        <item m="1" x="1260"/>
        <item m="1" x="1261"/>
        <item m="1" x="1062"/>
        <item m="1" x="1262"/>
        <item m="1" x="1058"/>
        <item m="1" x="1263"/>
        <item m="1" x="1059"/>
        <item m="1" x="1265"/>
        <item m="1" x="1266"/>
        <item m="1" x="1267"/>
        <item m="1" x="1268"/>
        <item m="1" x="1060"/>
        <item m="1" x="1061"/>
        <item m="1" x="1269"/>
        <item x="77"/>
        <item x="82"/>
        <item x="80"/>
        <item m="1" x="976"/>
        <item x="86"/>
        <item m="1" x="1272"/>
        <item m="1" x="1096"/>
        <item m="1" x="1097"/>
        <item m="1" x="1093"/>
        <item m="1" x="1098"/>
        <item m="1" x="1275"/>
        <item m="1" x="1011"/>
        <item m="1" x="1010"/>
        <item m="1" x="1279"/>
        <item m="1" x="1100"/>
        <item x="128"/>
        <item m="1" x="1101"/>
        <item m="1" x="1099"/>
        <item m="1" x="1107"/>
        <item m="1" x="1108"/>
        <item m="1" x="1109"/>
        <item x="168"/>
        <item m="1" x="1288"/>
        <item m="1" x="1289"/>
        <item m="1" x="1118"/>
        <item m="1" x="1119"/>
        <item m="1" x="1292"/>
        <item m="1" x="1122"/>
        <item m="1" x="1123"/>
        <item m="1" x="1124"/>
        <item m="1" x="1125"/>
        <item m="1" x="1130"/>
        <item m="1" x="1133"/>
        <item m="1" x="1134"/>
        <item m="1" x="1135"/>
        <item m="1" x="1136"/>
        <item m="1" x="1131"/>
        <item m="1" x="1137"/>
        <item m="1" x="1138"/>
        <item m="1" x="1142"/>
        <item m="1" x="788"/>
        <item m="1" x="1299"/>
        <item m="1" x="1300"/>
        <item m="1" x="1308"/>
        <item m="1" x="1309"/>
        <item m="1" x="1311"/>
        <item m="1" x="1312"/>
        <item m="1" x="1154"/>
        <item x="215"/>
        <item m="1" x="1317"/>
        <item m="1" x="1318"/>
        <item m="1" x="1321"/>
        <item m="1" x="1322"/>
        <item m="1" x="1323"/>
        <item m="1" x="1324"/>
        <item m="1" x="1325"/>
        <item m="1" x="1169"/>
        <item x="340"/>
        <item x="359"/>
        <item x="370"/>
        <item m="1" x="1326"/>
        <item x="371"/>
        <item m="1" x="1327"/>
        <item m="1" x="1328"/>
        <item m="1" x="1330"/>
        <item m="1" x="1188"/>
        <item m="1" x="1331"/>
        <item m="1" x="1332"/>
        <item m="1" x="1333"/>
        <item m="1" x="1334"/>
        <item m="1" x="1340"/>
        <item m="1" x="1007"/>
        <item m="1" x="1344"/>
        <item m="1" x="1191"/>
        <item m="1" x="1345"/>
        <item m="1" x="1349"/>
        <item m="1" x="1197"/>
        <item m="1" x="1196"/>
        <item m="1" x="1352"/>
        <item m="1" x="811"/>
        <item m="1" x="1353"/>
        <item m="1" x="1354"/>
        <item m="1" x="1355"/>
        <item m="1" x="1356"/>
        <item m="1" x="1357"/>
        <item m="1" x="1359"/>
        <item m="1" x="1200"/>
        <item m="1" x="1360"/>
        <item m="1" x="1361"/>
        <item m="1" x="1364"/>
        <item m="1" x="1365"/>
        <item m="1" x="1366"/>
        <item m="1" x="1212"/>
        <item m="1" x="1211"/>
        <item m="1" x="996"/>
        <item m="1" x="1036"/>
        <item m="1" x="1037"/>
        <item x="6"/>
        <item m="1" x="450"/>
        <item m="1" x="1039"/>
        <item m="1" x="1040"/>
        <item m="1" x="617"/>
        <item m="1" x="1018"/>
        <item m="1" x="1045"/>
        <item m="1" x="1046"/>
        <item m="1" x="1047"/>
        <item m="1" x="823"/>
        <item m="1" x="1048"/>
        <item x="289"/>
        <item x="338"/>
        <item m="1" x="1050"/>
        <item m="1" x="994"/>
        <item m="1" x="1051"/>
        <item m="1" x="1052"/>
        <item m="1" x="1053"/>
        <item m="1" x="993"/>
        <item m="1" x="1055"/>
        <item x="304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735"/>
        <item m="1" x="1079"/>
        <item m="1" x="514"/>
        <item m="1" x="1081"/>
        <item m="1" x="1083"/>
        <item m="1" x="1032"/>
        <item m="1" x="1084"/>
        <item m="1" x="1085"/>
        <item m="1" x="1009"/>
        <item m="1" x="1008"/>
        <item m="1" x="1088"/>
        <item m="1" x="1089"/>
        <item m="1" x="1091"/>
        <item m="1" x="1092"/>
        <item m="1" x="987"/>
        <item m="1" x="1095"/>
        <item m="1" x="1006"/>
        <item m="1" x="1003"/>
        <item m="1" x="1102"/>
        <item m="1" x="1103"/>
        <item m="1" x="1104"/>
        <item m="1" x="991"/>
        <item m="1" x="1105"/>
        <item m="1" x="1106"/>
        <item x="115"/>
        <item m="1" x="1110"/>
        <item m="1" x="992"/>
        <item x="113"/>
        <item m="1" x="1112"/>
        <item x="148"/>
        <item m="1" x="1114"/>
        <item x="174"/>
        <item x="188"/>
        <item m="1" x="1002"/>
        <item m="1" x="1017"/>
        <item x="216"/>
        <item m="1" x="1121"/>
        <item m="1" x="1126"/>
        <item m="1" x="1127"/>
        <item m="1" x="785"/>
        <item m="1" x="1128"/>
        <item m="1" x="1129"/>
        <item x="376"/>
        <item m="1" x="601"/>
        <item m="1" x="1139"/>
        <item m="1" x="1141"/>
        <item m="1" x="1146"/>
        <item x="241"/>
        <item m="1" x="1149"/>
        <item m="1" x="792"/>
        <item m="1" x="1153"/>
        <item m="1" x="1155"/>
        <item m="1" x="1156"/>
        <item m="1" x="556"/>
        <item m="1" x="1157"/>
        <item m="1" x="805"/>
        <item m="1" x="1159"/>
        <item m="1" x="1160"/>
        <item m="1" x="1161"/>
        <item m="1" x="1162"/>
        <item m="1" x="1012"/>
        <item m="1" x="905"/>
        <item m="1" x="1163"/>
        <item x="345"/>
        <item m="1" x="1165"/>
        <item m="1" x="1166"/>
        <item m="1" x="1167"/>
        <item m="1" x="1168"/>
        <item m="1" x="1170"/>
        <item m="1" x="1171"/>
        <item m="1" x="1172"/>
        <item m="1" x="1173"/>
        <item m="1" x="1174"/>
        <item m="1" x="1175"/>
        <item m="1" x="1176"/>
        <item m="1" x="1177"/>
        <item x="364"/>
        <item m="1" x="900"/>
        <item m="1" x="1179"/>
        <item m="1" x="1180"/>
        <item m="1" x="1181"/>
        <item x="363"/>
        <item m="1" x="1182"/>
        <item m="1" x="1183"/>
        <item m="1" x="1184"/>
        <item m="1" x="806"/>
        <item m="1" x="807"/>
        <item m="1" x="736"/>
        <item m="1" x="995"/>
        <item x="392"/>
        <item m="1" x="1192"/>
        <item m="1" x="1193"/>
        <item m="1" x="1194"/>
        <item m="1" x="587"/>
        <item m="1" x="1195"/>
        <item m="1" x="1203"/>
        <item m="1" x="924"/>
        <item m="1" x="1001"/>
        <item m="1" x="1000"/>
        <item m="1" x="1204"/>
        <item m="1" x="1205"/>
        <item m="1" x="1206"/>
        <item x="435"/>
        <item m="1" x="738"/>
        <item m="1" x="737"/>
        <item m="1" x="1208"/>
        <item m="1" x="1209"/>
        <item m="1" x="1210"/>
        <item m="1" x="448"/>
        <item m="1" x="960"/>
        <item m="1" x="963"/>
        <item m="1" x="962"/>
        <item m="1" x="942"/>
        <item m="1" x="943"/>
        <item x="14"/>
        <item x="23"/>
        <item m="1" x="972"/>
        <item m="1" x="1005"/>
        <item m="1" x="959"/>
        <item m="1" x="965"/>
        <item m="1" x="955"/>
        <item m="1" x="986"/>
        <item m="1" x="957"/>
        <item m="1" x="956"/>
        <item m="1" x="958"/>
        <item m="1" x="947"/>
        <item m="1" x="949"/>
        <item m="1" x="990"/>
        <item x="39"/>
        <item m="1" x="970"/>
        <item m="1" x="846"/>
        <item m="1" x="847"/>
        <item m="1" x="966"/>
        <item m="1" x="945"/>
        <item m="1" x="843"/>
        <item m="1" x="948"/>
        <item m="1" x="952"/>
        <item m="1" x="951"/>
        <item x="84"/>
        <item m="1" x="1004"/>
        <item x="295"/>
        <item m="1" x="860"/>
        <item m="1" x="989"/>
        <item m="1" x="864"/>
        <item m="1" x="869"/>
        <item m="1" x="870"/>
        <item x="140"/>
        <item x="130"/>
        <item x="131"/>
        <item x="135"/>
        <item m="1" x="953"/>
        <item m="1" x="865"/>
        <item m="1" x="866"/>
        <item x="119"/>
        <item m="1" x="984"/>
        <item m="1" x="874"/>
        <item x="164"/>
        <item m="1" x="982"/>
        <item m="1" x="971"/>
        <item m="1" x="954"/>
        <item m="1" x="978"/>
        <item m="1" x="946"/>
        <item x="210"/>
        <item m="1" x="980"/>
        <item m="1" x="979"/>
        <item m="1" x="969"/>
        <item x="317"/>
        <item m="1" x="988"/>
        <item m="1" x="733"/>
        <item x="219"/>
        <item x="220"/>
        <item x="221"/>
        <item x="222"/>
        <item m="1" x="950"/>
        <item m="1" x="883"/>
        <item m="1" x="881"/>
        <item m="1" x="882"/>
        <item m="1" x="880"/>
        <item m="1" x="887"/>
        <item m="1" x="888"/>
        <item x="242"/>
        <item m="1" x="731"/>
        <item m="1" x="977"/>
        <item m="1" x="1033"/>
        <item m="1" x="940"/>
        <item m="1" x="894"/>
        <item m="1" x="896"/>
        <item x="296"/>
        <item m="1" x="983"/>
        <item m="1" x="961"/>
        <item x="354"/>
        <item m="1" x="964"/>
        <item m="1" x="798"/>
        <item m="1" x="907"/>
        <item m="1" x="906"/>
        <item m="1" x="997"/>
        <item x="344"/>
        <item m="1" x="944"/>
        <item m="1" x="732"/>
        <item x="383"/>
        <item x="387"/>
        <item m="1" x="872"/>
        <item x="393"/>
        <item m="1" x="914"/>
        <item m="1" x="916"/>
        <item m="1" x="917"/>
        <item m="1" x="920"/>
        <item m="1" x="921"/>
        <item m="1" x="922"/>
        <item x="406"/>
        <item m="1" x="734"/>
        <item m="1" x="602"/>
        <item m="1" x="603"/>
        <item m="1" x="941"/>
        <item m="1" x="999"/>
        <item m="1" x="998"/>
        <item m="1" x="932"/>
        <item m="1" x="933"/>
        <item m="1" x="968"/>
        <item m="1" x="967"/>
        <item m="1" x="981"/>
        <item m="1" x="935"/>
        <item m="1" x="937"/>
        <item m="1" x="938"/>
        <item m="1" x="813"/>
        <item m="1" x="936"/>
        <item m="1" x="447"/>
        <item m="1" x="814"/>
        <item m="1" x="741"/>
        <item m="1" x="815"/>
        <item m="1" x="816"/>
        <item m="1" x="817"/>
        <item m="1" x="818"/>
        <item m="1" x="819"/>
        <item m="1" x="820"/>
        <item x="25"/>
        <item m="1" x="821"/>
        <item m="1" x="822"/>
        <item m="1" x="824"/>
        <item m="1" x="825"/>
        <item m="1" x="826"/>
        <item m="1" x="827"/>
        <item m="1" x="828"/>
        <item m="1" x="758"/>
        <item m="1" x="829"/>
        <item m="1" x="759"/>
        <item m="1" x="830"/>
        <item m="1" x="831"/>
        <item m="1" x="832"/>
        <item m="1" x="833"/>
        <item m="1" x="464"/>
        <item x="41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x="40"/>
        <item m="1" x="844"/>
        <item m="1" x="845"/>
        <item m="1" x="848"/>
        <item m="1" x="849"/>
        <item m="1" x="755"/>
        <item m="1" x="850"/>
        <item m="1" x="851"/>
        <item x="42"/>
        <item m="1" x="852"/>
        <item m="1" x="853"/>
        <item m="1" x="854"/>
        <item m="1" x="855"/>
        <item m="1" x="856"/>
        <item m="1" x="857"/>
        <item m="1" x="858"/>
        <item x="87"/>
        <item m="1" x="859"/>
        <item m="1" x="861"/>
        <item m="1" x="862"/>
        <item m="1" x="863"/>
        <item x="141"/>
        <item x="139"/>
        <item m="1" x="778"/>
        <item m="1" x="779"/>
        <item m="1" x="867"/>
        <item m="1" x="868"/>
        <item m="1" x="781"/>
        <item m="1" x="871"/>
        <item m="1" x="873"/>
        <item x="160"/>
        <item x="161"/>
        <item x="159"/>
        <item m="1" x="533"/>
        <item m="1" x="875"/>
        <item m="1" x="727"/>
        <item m="1" x="876"/>
        <item x="186"/>
        <item x="190"/>
        <item m="1" x="728"/>
        <item x="184"/>
        <item m="1" x="878"/>
        <item m="1" x="879"/>
        <item m="1" x="784"/>
        <item m="1" x="884"/>
        <item m="1" x="787"/>
        <item m="1" x="885"/>
        <item m="1" x="886"/>
        <item m="1" x="539"/>
        <item m="1" x="889"/>
        <item m="1" x="890"/>
        <item m="1" x="891"/>
        <item m="1" x="791"/>
        <item m="1" x="892"/>
        <item m="1" x="893"/>
        <item m="1" x="895"/>
        <item m="1" x="794"/>
        <item x="297"/>
        <item m="1" x="897"/>
        <item m="1" x="898"/>
        <item m="1" x="899"/>
        <item m="1" x="901"/>
        <item x="316"/>
        <item m="1" x="730"/>
        <item x="313"/>
        <item x="314"/>
        <item x="315"/>
        <item m="1" x="902"/>
        <item x="312"/>
        <item m="1" x="903"/>
        <item m="1" x="904"/>
        <item x="343"/>
        <item x="341"/>
        <item x="342"/>
        <item m="1" x="908"/>
        <item m="1" x="909"/>
        <item m="1" x="910"/>
        <item x="361"/>
        <item m="1" x="911"/>
        <item m="1" x="802"/>
        <item m="1" x="912"/>
        <item m="1" x="729"/>
        <item x="381"/>
        <item m="1" x="913"/>
        <item x="394"/>
        <item m="1" x="915"/>
        <item m="1" x="809"/>
        <item m="1" x="918"/>
        <item m="1" x="810"/>
        <item x="200"/>
        <item m="1" x="919"/>
        <item x="203"/>
        <item m="1" x="923"/>
        <item x="418"/>
        <item m="1" x="934"/>
        <item m="1" x="726"/>
        <item x="436"/>
        <item x="442"/>
        <item x="443"/>
        <item m="1" x="939"/>
        <item m="1" x="739"/>
        <item m="1" x="740"/>
        <item m="1" x="743"/>
        <item x="382"/>
        <item m="1" x="453"/>
        <item x="29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x="45"/>
        <item x="44"/>
        <item m="1" x="753"/>
        <item m="1" x="754"/>
        <item m="1" x="756"/>
        <item m="1" x="757"/>
        <item x="43"/>
        <item m="1" x="760"/>
        <item m="1" x="761"/>
        <item m="1" x="762"/>
        <item m="1" x="763"/>
        <item m="1" x="764"/>
        <item m="1" x="765"/>
        <item m="1" x="766"/>
        <item m="1" x="463"/>
        <item m="1" x="767"/>
        <item m="1" x="768"/>
        <item m="1" x="769"/>
        <item x="331"/>
        <item m="1" x="770"/>
        <item x="74"/>
        <item m="1" x="499"/>
        <item x="83"/>
        <item m="1" x="508"/>
        <item x="199"/>
        <item m="1" x="772"/>
        <item m="1" x="773"/>
        <item m="1" x="774"/>
        <item x="167"/>
        <item m="1" x="775"/>
        <item m="1" x="776"/>
        <item m="1" x="777"/>
        <item x="137"/>
        <item x="138"/>
        <item m="1" x="780"/>
        <item x="125"/>
        <item x="126"/>
        <item m="1" x="515"/>
        <item x="415"/>
        <item m="1" x="522"/>
        <item m="1" x="520"/>
        <item m="1" x="523"/>
        <item m="1" x="524"/>
        <item m="1" x="525"/>
        <item x="166"/>
        <item m="1" x="782"/>
        <item x="191"/>
        <item x="192"/>
        <item m="1" x="783"/>
        <item m="1" x="711"/>
        <item m="1" x="786"/>
        <item x="229"/>
        <item x="230"/>
        <item x="237"/>
        <item m="1" x="719"/>
        <item m="1" x="789"/>
        <item m="1" x="790"/>
        <item m="1" x="716"/>
        <item m="1" x="714"/>
        <item m="1" x="713"/>
        <item m="1" x="723"/>
        <item m="1" x="715"/>
        <item m="1" x="718"/>
        <item m="1" x="717"/>
        <item m="1" x="722"/>
        <item m="1" x="721"/>
        <item m="1" x="550"/>
        <item m="1" x="551"/>
        <item m="1" x="793"/>
        <item m="1" x="557"/>
        <item m="1" x="559"/>
        <item m="1" x="795"/>
        <item m="1" x="796"/>
        <item m="1" x="710"/>
        <item x="321"/>
        <item m="1" x="797"/>
        <item m="1" x="724"/>
        <item x="353"/>
        <item m="1" x="570"/>
        <item m="1" x="799"/>
        <item m="1" x="800"/>
        <item m="1" x="801"/>
        <item x="369"/>
        <item x="368"/>
        <item m="1" x="803"/>
        <item m="1" x="804"/>
        <item x="378"/>
        <item x="377"/>
        <item m="1" x="808"/>
        <item m="1" x="589"/>
        <item m="1" x="590"/>
        <item m="1" x="591"/>
        <item m="1" x="594"/>
        <item m="1" x="595"/>
        <item m="1" x="712"/>
        <item m="1" x="725"/>
        <item x="417"/>
        <item x="416"/>
        <item m="1" x="812"/>
        <item m="1" x="606"/>
        <item x="434"/>
        <item m="1" x="616"/>
        <item m="1" x="615"/>
        <item m="1" x="609"/>
        <item m="1" x="610"/>
        <item x="194"/>
        <item m="1" x="611"/>
        <item x="445"/>
        <item m="1" x="647"/>
        <item m="1" x="636"/>
        <item m="1" x="690"/>
        <item m="1" x="458"/>
        <item m="1" x="457"/>
        <item m="1" x="621"/>
        <item m="1" x="454"/>
        <item m="1" x="455"/>
        <item m="1" x="456"/>
        <item m="1" x="452"/>
        <item m="1" x="703"/>
        <item m="1" x="630"/>
        <item m="1" x="698"/>
        <item m="1" x="635"/>
        <item m="1" x="461"/>
        <item m="1" x="648"/>
        <item x="20"/>
        <item m="1" x="709"/>
        <item m="1" x="473"/>
        <item m="1" x="634"/>
        <item m="1" x="633"/>
        <item m="1" x="632"/>
        <item m="1" x="631"/>
        <item m="1" x="624"/>
        <item m="1" x="474"/>
        <item m="1" x="620"/>
        <item m="1" x="619"/>
        <item m="1" x="618"/>
        <item m="1" x="475"/>
        <item m="1" x="472"/>
        <item m="1" x="471"/>
        <item m="1" x="641"/>
        <item m="1" x="659"/>
        <item m="1" x="662"/>
        <item m="1" x="671"/>
        <item m="1" x="468"/>
        <item m="1" x="668"/>
        <item m="1" x="470"/>
        <item m="1" x="469"/>
        <item m="1" x="681"/>
        <item m="1" x="680"/>
        <item m="1" x="679"/>
        <item m="1" x="678"/>
        <item m="1" x="677"/>
        <item m="1" x="676"/>
        <item m="1" x="702"/>
        <item m="1" x="704"/>
        <item m="1" x="465"/>
        <item m="1" x="708"/>
        <item m="1" x="707"/>
        <item m="1" x="706"/>
        <item m="1" x="466"/>
        <item m="1" x="691"/>
        <item m="1" x="688"/>
        <item m="1" x="687"/>
        <item m="1" x="467"/>
        <item m="1" x="686"/>
        <item m="1" x="669"/>
        <item m="1" x="670"/>
        <item m="1" x="661"/>
        <item m="1" x="660"/>
        <item m="1" x="664"/>
        <item m="1" x="510"/>
        <item m="1" x="500"/>
        <item m="1" x="505"/>
        <item x="88"/>
        <item m="1" x="509"/>
        <item m="1" x="640"/>
        <item x="107"/>
        <item x="108"/>
        <item m="1" x="675"/>
        <item x="209"/>
        <item m="1" x="697"/>
        <item m="1" x="516"/>
        <item m="1" x="628"/>
        <item m="1" x="518"/>
        <item x="132"/>
        <item x="142"/>
        <item m="1" x="656"/>
        <item m="1" x="532"/>
        <item m="1" x="530"/>
        <item m="1" x="531"/>
        <item m="1" x="637"/>
        <item x="187"/>
        <item m="1" x="639"/>
        <item m="1" x="693"/>
        <item m="1" x="692"/>
        <item m="1" x="626"/>
        <item m="1" x="625"/>
        <item m="1" x="701"/>
        <item m="1" x="695"/>
        <item m="1" x="651"/>
        <item m="1" x="684"/>
        <item x="224"/>
        <item m="1" x="696"/>
        <item m="1" x="537"/>
        <item m="1" x="538"/>
        <item m="1" x="644"/>
        <item m="1" x="540"/>
        <item m="1" x="542"/>
        <item x="235"/>
        <item m="1" x="643"/>
        <item m="1" x="642"/>
        <item m="1" x="560"/>
        <item m="1" x="645"/>
        <item m="1" x="649"/>
        <item m="1" x="650"/>
        <item m="1" x="689"/>
        <item m="1" x="657"/>
        <item m="1" x="548"/>
        <item m="1" x="699"/>
        <item m="1" x="658"/>
        <item x="251"/>
        <item m="1" x="552"/>
        <item m="1" x="553"/>
        <item m="1" x="555"/>
        <item m="1" x="558"/>
        <item x="306"/>
        <item x="305"/>
        <item m="1" x="563"/>
        <item m="1" x="629"/>
        <item x="334"/>
        <item m="1" x="673"/>
        <item m="1" x="667"/>
        <item m="1" x="694"/>
        <item x="335"/>
        <item x="325"/>
        <item x="326"/>
        <item x="328"/>
        <item x="329"/>
        <item x="330"/>
        <item m="1" x="568"/>
        <item x="352"/>
        <item m="1" x="705"/>
        <item x="351"/>
        <item x="356"/>
        <item m="1" x="682"/>
        <item x="355"/>
        <item m="1" x="655"/>
        <item x="384"/>
        <item m="1" x="672"/>
        <item m="1" x="576"/>
        <item m="1" x="638"/>
        <item x="362"/>
        <item x="366"/>
        <item m="1" x="580"/>
        <item m="1" x="545"/>
        <item m="1" x="581"/>
        <item m="1" x="674"/>
        <item m="1" x="582"/>
        <item m="1" x="583"/>
        <item m="1" x="627"/>
        <item m="1" x="666"/>
        <item m="1" x="665"/>
        <item m="1" x="652"/>
        <item m="1" x="622"/>
        <item m="1" x="593"/>
        <item m="1" x="586"/>
        <item m="1" x="588"/>
        <item m="1" x="683"/>
        <item x="405"/>
        <item m="1" x="599"/>
        <item m="1" x="596"/>
        <item m="1" x="685"/>
        <item m="1" x="623"/>
        <item x="411"/>
        <item m="1" x="654"/>
        <item m="1" x="653"/>
        <item m="1" x="613"/>
        <item m="1" x="607"/>
        <item m="1" x="614"/>
        <item m="1" x="700"/>
        <item m="1" x="608"/>
        <item m="1" x="663"/>
        <item m="1" x="449"/>
        <item x="1"/>
        <item x="7"/>
        <item m="1" x="451"/>
        <item m="1" x="459"/>
        <item x="26"/>
        <item x="27"/>
        <item x="28"/>
        <item m="1" x="460"/>
        <item x="21"/>
        <item x="327"/>
        <item m="1" x="462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501"/>
        <item m="1" x="502"/>
        <item x="78"/>
        <item x="85"/>
        <item m="1" x="503"/>
        <item m="1" x="504"/>
        <item x="98"/>
        <item x="89"/>
        <item m="1" x="506"/>
        <item x="408"/>
        <item m="1" x="507"/>
        <item m="1" x="511"/>
        <item m="1" x="512"/>
        <item m="1" x="513"/>
        <item x="123"/>
        <item x="133"/>
        <item m="1" x="517"/>
        <item m="1" x="519"/>
        <item x="121"/>
        <item x="127"/>
        <item x="124"/>
        <item x="116"/>
        <item m="1" x="521"/>
        <item x="112"/>
        <item x="156"/>
        <item x="157"/>
        <item x="158"/>
        <item x="96"/>
        <item m="1" x="526"/>
        <item m="1" x="527"/>
        <item x="162"/>
        <item x="163"/>
        <item m="1" x="528"/>
        <item m="1" x="529"/>
        <item x="165"/>
        <item x="173"/>
        <item x="177"/>
        <item x="176"/>
        <item x="175"/>
        <item x="178"/>
        <item x="179"/>
        <item x="180"/>
        <item x="185"/>
        <item x="183"/>
        <item x="182"/>
        <item x="181"/>
        <item x="189"/>
        <item x="197"/>
        <item x="198"/>
        <item x="201"/>
        <item x="202"/>
        <item x="193"/>
        <item x="195"/>
        <item x="196"/>
        <item x="208"/>
        <item m="1" x="534"/>
        <item m="1" x="535"/>
        <item m="1" x="536"/>
        <item m="1" x="541"/>
        <item x="236"/>
        <item m="1" x="543"/>
        <item m="1" x="544"/>
        <item m="1" x="546"/>
        <item m="1" x="549"/>
        <item x="252"/>
        <item x="253"/>
        <item x="250"/>
        <item x="287"/>
        <item x="288"/>
        <item m="1" x="554"/>
        <item x="300"/>
        <item m="1" x="561"/>
        <item m="1" x="562"/>
        <item x="308"/>
        <item x="307"/>
        <item m="1" x="564"/>
        <item m="1" x="565"/>
        <item m="1" x="566"/>
        <item m="1" x="567"/>
        <item m="1" x="569"/>
        <item m="1" x="571"/>
        <item x="339"/>
        <item m="1" x="572"/>
        <item m="1" x="573"/>
        <item m="1" x="574"/>
        <item m="1" x="575"/>
        <item x="320"/>
        <item x="318"/>
        <item x="319"/>
        <item m="1" x="577"/>
        <item m="1" x="578"/>
        <item x="358"/>
        <item x="357"/>
        <item m="1" x="579"/>
        <item x="380"/>
        <item x="379"/>
        <item x="389"/>
        <item x="390"/>
        <item x="391"/>
        <item m="1" x="584"/>
        <item m="1" x="585"/>
        <item x="395"/>
        <item m="1" x="592"/>
        <item m="1" x="597"/>
        <item m="1" x="598"/>
        <item m="1" x="600"/>
        <item x="409"/>
        <item x="413"/>
        <item x="412"/>
        <item x="410"/>
        <item x="414"/>
        <item m="1" x="604"/>
        <item x="431"/>
        <item m="1" x="605"/>
        <item m="1" x="612"/>
        <item x="0"/>
        <item x="2"/>
        <item x="3"/>
        <item x="4"/>
        <item x="5"/>
        <item x="8"/>
        <item x="9"/>
        <item x="10"/>
        <item x="11"/>
        <item x="12"/>
        <item x="16"/>
        <item x="17"/>
        <item x="18"/>
        <item x="19"/>
        <item x="22"/>
        <item x="30"/>
        <item x="31"/>
        <item x="33"/>
        <item x="34"/>
        <item x="35"/>
        <item x="36"/>
        <item x="37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6"/>
        <item x="81"/>
        <item x="90"/>
        <item x="91"/>
        <item x="92"/>
        <item x="93"/>
        <item x="94"/>
        <item x="95"/>
        <item x="97"/>
        <item x="99"/>
        <item x="100"/>
        <item x="101"/>
        <item x="102"/>
        <item x="103"/>
        <item x="104"/>
        <item x="105"/>
        <item x="106"/>
        <item x="114"/>
        <item x="117"/>
        <item x="118"/>
        <item x="120"/>
        <item x="122"/>
        <item x="134"/>
        <item x="143"/>
        <item x="144"/>
        <item x="147"/>
        <item x="151"/>
        <item x="152"/>
        <item x="153"/>
        <item x="154"/>
        <item x="155"/>
        <item x="169"/>
        <item x="170"/>
        <item x="171"/>
        <item x="204"/>
        <item x="205"/>
        <item x="206"/>
        <item x="207"/>
        <item x="211"/>
        <item x="212"/>
        <item x="213"/>
        <item x="223"/>
        <item x="225"/>
        <item x="226"/>
        <item x="227"/>
        <item x="228"/>
        <item x="231"/>
        <item x="232"/>
        <item x="233"/>
        <item x="234"/>
        <item x="240"/>
        <item x="243"/>
        <item x="244"/>
        <item x="245"/>
        <item x="246"/>
        <item x="247"/>
        <item x="248"/>
        <item x="249"/>
        <item x="293"/>
        <item x="294"/>
        <item x="298"/>
        <item x="299"/>
        <item x="301"/>
        <item x="302"/>
        <item x="322"/>
        <item x="323"/>
        <item x="324"/>
        <item x="332"/>
        <item x="333"/>
        <item x="336"/>
        <item x="337"/>
        <item x="346"/>
        <item x="347"/>
        <item x="348"/>
        <item x="349"/>
        <item x="350"/>
        <item x="365"/>
        <item x="372"/>
        <item x="375"/>
        <item x="385"/>
        <item x="386"/>
        <item x="388"/>
        <item x="396"/>
        <item x="397"/>
        <item x="400"/>
        <item x="404"/>
        <item x="421"/>
        <item x="422"/>
        <item x="423"/>
        <item x="424"/>
        <item x="425"/>
        <item x="426"/>
        <item x="427"/>
        <item x="428"/>
        <item x="429"/>
        <item x="430"/>
        <item x="432"/>
        <item x="433"/>
        <item x="437"/>
        <item x="438"/>
        <item x="439"/>
        <item x="440"/>
        <item x="441"/>
        <item x="4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9"/>
        <item x="40"/>
        <item m="1" x="910"/>
        <item m="1" x="2772"/>
        <item m="1" x="767"/>
        <item m="1" x="619"/>
        <item m="1" x="420"/>
        <item x="248"/>
        <item x="383"/>
        <item x="380"/>
        <item m="1" x="3156"/>
        <item x="251"/>
        <item x="75"/>
        <item m="1" x="2934"/>
        <item m="1" x="954"/>
        <item x="266"/>
        <item x="138"/>
        <item m="1" x="4016"/>
        <item x="77"/>
        <item m="1" x="1833"/>
        <item m="1" x="962"/>
        <item m="1" x="1552"/>
        <item m="1" x="1907"/>
        <item m="1" x="5771"/>
        <item m="1" x="1761"/>
        <item m="1" x="684"/>
        <item x="319"/>
        <item m="1" x="530"/>
        <item m="1" x="535"/>
        <item m="1" x="501"/>
        <item x="386"/>
        <item m="1" x="2037"/>
        <item m="1" x="1440"/>
        <item m="1" x="5989"/>
        <item x="374"/>
        <item m="1" x="2517"/>
        <item x="88"/>
        <item m="1" x="2491"/>
        <item x="418"/>
        <item x="260"/>
        <item m="1" x="4552"/>
        <item m="1" x="1233"/>
        <item m="1" x="3520"/>
        <item h="1" m="1" x="5408"/>
        <item m="1" x="534"/>
        <item m="1" x="575"/>
        <item m="1" x="1550"/>
        <item x="263"/>
        <item x="131"/>
        <item m="1" x="875"/>
        <item m="1" x="3798"/>
        <item m="1" x="2910"/>
        <item m="1" x="5756"/>
        <item m="1" x="2718"/>
        <item m="1" x="3038"/>
        <item m="1" x="1525"/>
        <item m="1" x="1530"/>
        <item m="1" x="1059"/>
        <item m="1" x="3184"/>
        <item m="1" x="3249"/>
        <item m="1" x="1338"/>
        <item m="1" x="4797"/>
        <item x="326"/>
        <item m="1" x="1537"/>
        <item x="358"/>
        <item x="384"/>
        <item m="1" x="7903"/>
        <item x="398"/>
        <item m="1" x="1674"/>
        <item x="212"/>
        <item x="20"/>
        <item m="1" x="596"/>
        <item x="21"/>
        <item m="1" x="2676"/>
        <item x="140"/>
        <item m="1" x="2937"/>
        <item x="376"/>
        <item m="1" x="3720"/>
        <item m="1" x="6576"/>
        <item m="1" x="7668"/>
        <item m="1" x="2542"/>
        <item m="1" x="1422"/>
        <item m="1" x="2796"/>
        <item x="96"/>
        <item m="1" x="2060"/>
        <item m="1" x="6598"/>
        <item h="1" m="1" x="3239"/>
        <item h="1" x="273"/>
        <item m="1" x="2288"/>
        <item h="1" m="1" x="925"/>
        <item h="1" x="109"/>
        <item h="1" m="1" x="845"/>
        <item h="1" x="239"/>
        <item h="1" m="1" x="2907"/>
        <item h="1" x="401"/>
        <item h="1" m="1" x="764"/>
        <item h="1" x="13"/>
        <item h="1" x="145"/>
        <item h="1" x="271"/>
        <item h="1" m="1" x="854"/>
        <item h="1" x="390"/>
        <item h="1" m="1" x="2566"/>
        <item h="1" m="1" x="2426"/>
        <item h="1" m="1" x="1555"/>
        <item h="1" m="1" x="3039"/>
        <item h="1" m="1" x="7155"/>
        <item h="1" m="1" x="2921"/>
        <item h="1" x="22"/>
        <item h="1" m="1" x="2164"/>
        <item h="1" x="265"/>
        <item h="1" m="1" x="4130"/>
        <item h="1" m="1" x="507"/>
        <item h="1" m="1" x="921"/>
        <item h="1" m="1" x="2049"/>
        <item h="1" x="73"/>
        <item h="1" m="1" x="1948"/>
        <item h="1" m="1" x="2773"/>
        <item h="1" m="1" x="2795"/>
        <item h="1" x="128"/>
        <item h="1" m="1" x="1678"/>
        <item h="1" x="349"/>
        <item h="1" m="1" x="3878"/>
        <item h="1" m="1" x="508"/>
        <item h="1" x="224"/>
        <item h="1" m="1" x="3099"/>
        <item h="1" m="1" x="1349"/>
        <item h="1" x="222"/>
        <item h="1" x="142"/>
        <item h="1" m="1" x="1598"/>
        <item h="1" m="1" x="2429"/>
        <item h="1" m="1" x="2806"/>
        <item h="1" m="1" x="7104"/>
        <item h="1" m="1" x="3306"/>
        <item h="1" m="1" x="2941"/>
        <item h="1" x="348"/>
        <item h="1" x="328"/>
        <item h="1" m="1" x="6126"/>
        <item h="1" x="200"/>
        <item h="1" m="1" x="755"/>
        <item h="1" x="45"/>
        <item h="1" m="1" x="5926"/>
        <item h="1" m="1" x="2960"/>
        <item h="1" m="1" x="2872"/>
        <item h="1" m="1" x="5490"/>
        <item h="1" m="1" x="945"/>
        <item h="1" m="1" x="793"/>
        <item h="1" m="1" x="983"/>
        <item h="1" m="1" x="2208"/>
        <item h="1" m="1" x="2034"/>
        <item h="1" m="1" x="3012"/>
        <item h="1" m="1" x="2046"/>
        <item h="1" x="136"/>
        <item h="1" m="1" x="613"/>
        <item h="1" m="1" x="7547"/>
        <item h="1" m="1" x="4512"/>
        <item h="1" m="1" x="3167"/>
        <item h="1" x="396"/>
        <item h="1" m="1" x="2540"/>
        <item h="1" m="1" x="2379"/>
        <item h="1" m="1" x="6329"/>
        <item h="1" m="1" x="5866"/>
        <item h="1" m="1" x="4180"/>
        <item h="1" m="1" x="2579"/>
        <item h="1" m="1" x="6991"/>
        <item h="1" x="220"/>
        <item h="1" m="1" x="1662"/>
        <item h="1" m="1" x="1234"/>
        <item h="1" m="1" x="2799"/>
        <item h="1" m="1" x="1536"/>
        <item h="1" m="1" x="6561"/>
        <item h="1" m="1" x="3797"/>
        <item h="1" m="1" x="7102"/>
        <item h="1" m="1" x="2453"/>
        <item h="1" x="247"/>
        <item h="1" m="1" x="5384"/>
        <item h="1" m="1" x="7467"/>
        <item h="1" x="257"/>
        <item h="1" x="82"/>
        <item h="1" x="344"/>
        <item h="1" m="1" x="2865"/>
        <item h="1" m="1" x="6822"/>
        <item h="1" x="269"/>
        <item h="1" m="1" x="4497"/>
        <item h="1" m="1" x="3160"/>
        <item h="1" m="1" x="1346"/>
        <item h="1" m="1" x="2578"/>
        <item h="1" m="1" x="6057"/>
        <item h="1" x="392"/>
        <item h="1" m="1" x="3474"/>
        <item h="1" m="1" x="5356"/>
        <item h="1" m="1" x="700"/>
        <item h="1" m="1" x="2431"/>
        <item h="1" m="1" x="7046"/>
        <item h="1" m="1" x="5695"/>
        <item h="1" m="1" x="6982"/>
        <item h="1" m="1" x="2492"/>
        <item h="1" m="1" x="5219"/>
        <item h="1" m="1" x="751"/>
        <item h="1" m="1" x="4481"/>
        <item h="1" x="7"/>
        <item h="1" m="1" x="5336"/>
        <item h="1" m="1" x="1193"/>
        <item h="1" m="1" x="475"/>
        <item h="1" m="1" x="4309"/>
        <item h="1" m="1" x="5189"/>
        <item h="1" x="333"/>
        <item h="1" m="1" x="7679"/>
        <item h="1" m="1" x="2388"/>
        <item h="1" m="1" x="574"/>
        <item h="1" m="1" x="1463"/>
        <item h="1" m="1" x="629"/>
        <item h="1" m="1" x="1162"/>
        <item h="1" m="1" x="4940"/>
        <item h="1" m="1" x="2012"/>
        <item h="1" m="1" x="2586"/>
        <item h="1" m="1" x="7798"/>
        <item h="1" m="1" x="3014"/>
        <item h="1" m="1" x="6567"/>
        <item h="1" x="298"/>
        <item h="1" m="1" x="3100"/>
        <item h="1" m="1" x="532"/>
        <item h="1" m="1" x="3470"/>
        <item h="1" m="1" x="5850"/>
        <item h="1" m="1" x="2762"/>
        <item h="1" m="1" x="5983"/>
        <item h="1" m="1" x="7028"/>
        <item h="1" m="1" x="4358"/>
        <item h="1" m="1" x="2881"/>
        <item h="1" m="1" x="2243"/>
        <item h="1" m="1" x="5282"/>
        <item h="1" m="1" x="7260"/>
        <item h="1" m="1" x="5460"/>
        <item h="1" m="1" x="1665"/>
        <item h="1" m="1" x="956"/>
        <item h="1" m="1" x="5951"/>
        <item h="1" m="1" x="5995"/>
        <item h="1" m="1" x="2575"/>
        <item h="1" m="1" x="5670"/>
        <item h="1" m="1" x="939"/>
        <item h="1" m="1" x="4895"/>
        <item h="1" m="1" x="2506"/>
        <item h="1" m="1" x="1748"/>
        <item h="1" m="1" x="5459"/>
        <item h="1" m="1" x="733"/>
        <item h="1" m="1" x="7671"/>
        <item h="1" m="1" x="5138"/>
        <item h="1" m="1" x="2923"/>
        <item h="1" x="394"/>
        <item h="1" m="1" x="2377"/>
        <item h="1" m="1" x="3847"/>
        <item h="1" m="1" x="4176"/>
        <item h="1" m="1" x="2931"/>
        <item h="1" x="299"/>
        <item h="1" m="1" x="6381"/>
        <item h="1" m="1" x="2753"/>
        <item h="1" m="1" x="5875"/>
        <item h="1" x="373"/>
        <item h="1" m="1" x="3415"/>
        <item h="1" m="1" x="2136"/>
        <item h="1" m="1" x="5525"/>
        <item h="1" x="225"/>
        <item h="1" m="1" x="5932"/>
        <item h="1" x="274"/>
        <item h="1" m="1" x="1201"/>
        <item h="1" m="1" x="3488"/>
        <item h="1" m="1" x="7564"/>
        <item h="1" m="1" x="4491"/>
        <item h="1" m="1" x="4793"/>
        <item h="1" m="1" x="3273"/>
        <item h="1" m="1" x="4964"/>
        <item h="1" x="175"/>
        <item h="1" m="1" x="6395"/>
        <item h="1" m="1" x="6168"/>
        <item h="1" m="1" x="5657"/>
        <item h="1" m="1" x="6557"/>
        <item h="1" x="354"/>
        <item h="1" m="1" x="7334"/>
        <item h="1" m="1" x="6796"/>
        <item h="1" m="1" x="4239"/>
        <item h="1" m="1" x="3110"/>
        <item h="1" m="1" x="959"/>
        <item h="1" m="1" x="3533"/>
        <item h="1" m="1" x="1517"/>
        <item h="1" x="237"/>
        <item h="1" m="1" x="7814"/>
        <item h="1" m="1" x="7813"/>
        <item h="1" m="1" x="6892"/>
        <item h="1" m="1" x="5696"/>
        <item h="1" m="1" x="2766"/>
        <item h="1" m="1" x="6107"/>
        <item h="1" m="1" x="3471"/>
        <item h="1" m="1" x="7292"/>
        <item h="1" m="1" x="2859"/>
        <item h="1" m="1" x="5635"/>
        <item h="1" m="1" x="2228"/>
        <item h="1" m="1" x="2985"/>
        <item h="1" m="1" x="7004"/>
        <item h="1" m="1" x="6569"/>
        <item h="1" m="1" x="3010"/>
        <item h="1" m="1" x="2557"/>
        <item h="1" m="1" x="5688"/>
        <item h="1" m="1" x="2918"/>
        <item h="1" m="1" x="6291"/>
        <item h="1" m="1" x="4751"/>
        <item h="1" m="1" x="5393"/>
        <item h="1" m="1" x="3399"/>
        <item h="1" m="1" x="807"/>
        <item h="1" m="1" x="3016"/>
        <item h="1" m="1" x="2707"/>
        <item h="1" m="1" x="5128"/>
        <item h="1" m="1" x="694"/>
        <item h="1" m="1" x="2954"/>
        <item h="1" m="1" x="5743"/>
        <item h="1" m="1" x="2287"/>
        <item h="1" x="303"/>
        <item h="1" m="1" x="7817"/>
        <item h="1" m="1" x="7818"/>
        <item h="1" m="1" x="7816"/>
        <item h="1" m="1" x="7815"/>
        <item h="1" m="1" x="7825"/>
        <item h="1" m="1" x="7822"/>
        <item h="1" m="1" x="1065"/>
        <item h="1" m="1" x="4902"/>
        <item h="1" x="289"/>
        <item h="1" m="1" x="936"/>
        <item h="1" m="1" x="2950"/>
        <item h="1" m="1" x="5829"/>
        <item h="1" m="1" x="4244"/>
        <item h="1" x="370"/>
        <item h="1" m="1" x="7823"/>
        <item h="1" m="1" x="7819"/>
        <item h="1" m="1" x="7820"/>
        <item h="1" m="1" x="7821"/>
        <item h="1" m="1" x="4181"/>
        <item h="1" m="1" x="5137"/>
        <item h="1" m="1" x="6326"/>
        <item h="1" m="1" x="1098"/>
        <item h="1" m="1" x="2513"/>
        <item h="1" m="1" x="7566"/>
        <item h="1" m="1" x="6998"/>
        <item h="1" m="1" x="5259"/>
        <item h="1" m="1" x="7824"/>
        <item h="1" m="1" x="7836"/>
        <item h="1" m="1" x="7832"/>
        <item h="1" m="1" x="7834"/>
        <item h="1" m="1" x="7833"/>
        <item h="1" m="1" x="7835"/>
        <item h="1" m="1" x="7829"/>
        <item h="1" m="1" x="7838"/>
        <item h="1" m="1" x="7830"/>
        <item h="1" m="1" x="7831"/>
        <item h="1" m="1" x="7799"/>
        <item h="1" m="1" x="7841"/>
        <item h="1" m="1" x="7837"/>
        <item h="1" m="1" x="7827"/>
        <item h="1" m="1" x="7826"/>
        <item h="1" m="1" x="7828"/>
        <item h="1" m="1" x="7839"/>
        <item h="1" m="1" x="7840"/>
        <item h="1" m="1" x="7842"/>
        <item h="1" m="1" x="5266"/>
        <item h="1" m="1" x="7692"/>
        <item h="1" m="1" x="7255"/>
        <item h="1" m="1" x="7178"/>
        <item h="1" m="1" x="2756"/>
        <item h="1" m="1" x="4845"/>
        <item h="1" m="1" x="5999"/>
        <item h="1" m="1" x="2767"/>
        <item h="1" m="1" x="7523"/>
        <item h="1" m="1" x="7332"/>
        <item h="1" m="1" x="7378"/>
        <item h="1" m="1" x="1403"/>
        <item h="1" m="1" x="7567"/>
        <item h="1" m="1" x="7339"/>
        <item h="1" m="1" x="6139"/>
        <item h="1" m="1" x="6054"/>
        <item h="1" m="1" x="5563"/>
        <item h="1" m="1" x="7938"/>
        <item h="1" m="1" x="6636"/>
        <item h="1" m="1" x="7906"/>
        <item h="1" m="1" x="7657"/>
        <item h="1" m="1" x="6781"/>
        <item h="1" m="1" x="7017"/>
        <item h="1" m="1" x="7340"/>
        <item h="1" m="1" x="6584"/>
        <item h="1" m="1" x="5927"/>
        <item h="1" m="1" x="7958"/>
        <item h="1" m="1" x="7843"/>
        <item h="1" m="1" x="7336"/>
        <item h="1" m="1" x="6173"/>
        <item h="1" m="1" x="2732"/>
        <item h="1" m="1" x="3300"/>
        <item h="1" m="1" x="7241"/>
        <item h="1" m="1" x="6030"/>
        <item h="1" m="1" x="5744"/>
        <item h="1" m="1" x="1265"/>
        <item h="1" m="1" x="837"/>
        <item h="1" m="1" x="1056"/>
        <item h="1" m="1" x="5449"/>
        <item h="1" m="1" x="2939"/>
        <item h="1" m="1" x="2362"/>
        <item h="1" m="1" x="1270"/>
        <item h="1" m="1" x="2382"/>
        <item h="1" m="1" x="4669"/>
        <item h="1" m="1" x="7569"/>
        <item h="1" m="1" x="3065"/>
        <item h="1" m="1" x="2151"/>
        <item h="1" m="1" x="3177"/>
        <item h="1" m="1" x="2565"/>
        <item h="1" m="1" x="7997"/>
        <item h="1" m="1" x="4268"/>
        <item h="1" x="359"/>
        <item h="1" x="93"/>
        <item h="1" x="134"/>
        <item h="1" m="1" x="820"/>
        <item h="1" m="1" x="482"/>
        <item h="1" m="1" x="6515"/>
        <item h="1" m="1" x="2145"/>
        <item h="1" m="1" x="1060"/>
        <item h="1" m="1" x="7740"/>
        <item h="1" m="1" x="5015"/>
        <item h="1" m="1" x="7305"/>
        <item h="1" m="1" x="510"/>
        <item h="1" m="1" x="5131"/>
        <item h="1" m="1" x="7644"/>
        <item h="1" m="1" x="520"/>
        <item h="1" m="1" x="7796"/>
        <item h="1" m="1" x="7576"/>
        <item h="1" m="1" x="7373"/>
        <item h="1" m="1" x="963"/>
        <item h="1" m="1" x="471"/>
        <item h="1" m="1" x="3182"/>
        <item h="1" m="1" x="1187"/>
        <item h="1" m="1" x="7571"/>
        <item h="1" m="1" x="5129"/>
        <item h="1" m="1" x="5998"/>
        <item h="1" m="1" x="6114"/>
        <item h="1" m="1" x="6120"/>
        <item h="1" m="1" x="744"/>
        <item h="1" m="1" x="2913"/>
        <item h="1" m="1" x="5124"/>
        <item h="1" m="1" x="509"/>
        <item h="1" m="1" x="4789"/>
        <item h="1" m="1" x="4397"/>
        <item h="1" m="1" x="5837"/>
        <item h="1" m="1" x="3301"/>
        <item h="1" m="1" x="6553"/>
        <item h="1" m="1" x="1396"/>
        <item h="1" m="1" x="4265"/>
        <item h="1" m="1" x="4173"/>
        <item h="1" m="1" x="473"/>
        <item h="1" m="1" x="481"/>
        <item h="1" m="1" x="7012"/>
        <item h="1" m="1" x="4078"/>
        <item h="1" m="1" x="3190"/>
        <item h="1" m="1" x="2026"/>
        <item h="1" m="1" x="7475"/>
        <item h="1" m="1" x="7313"/>
        <item h="1" m="1" x="4975"/>
        <item h="1" m="1" x="5426"/>
        <item h="1" m="1" x="3078"/>
        <item h="1" m="1" x="4823"/>
        <item h="1" m="1" x="7464"/>
        <item h="1" m="1" x="5265"/>
        <item h="1" m="1" x="4422"/>
        <item h="1" m="1" x="6276"/>
        <item h="1" m="1" x="7187"/>
        <item h="1" m="1" x="7565"/>
        <item h="1" m="1" x="5272"/>
        <item h="1" m="1" x="6337"/>
        <item h="1" m="1" x="2027"/>
        <item h="1" m="1" x="2374"/>
        <item h="1" m="1" x="1063"/>
        <item h="1" m="1" x="5669"/>
        <item h="1" m="1" x="7885"/>
        <item h="1" m="1" x="3003"/>
        <item h="1" m="1" x="5360"/>
        <item h="1" m="1" x="6058"/>
        <item h="1" m="1" x="3108"/>
        <item h="1" m="1" x="5700"/>
        <item h="1" x="87"/>
        <item h="1" m="1" x="7573"/>
        <item h="1" x="91"/>
        <item h="1" m="1" x="4556"/>
        <item h="1" m="1" x="7157"/>
        <item h="1" m="1" x="5628"/>
        <item h="1" m="1" x="812"/>
        <item h="1" m="1" x="7511"/>
        <item h="1" m="1" x="4953"/>
        <item h="1" m="1" x="4862"/>
        <item h="1" m="1" x="5065"/>
        <item h="1" m="1" x="7561"/>
        <item h="1" m="1" x="6318"/>
        <item h="1" m="1" x="4710"/>
        <item h="1" m="1" x="7960"/>
        <item h="1" m="1" x="2870"/>
        <item h="1" x="137"/>
        <item h="1" m="1" x="4104"/>
        <item h="1" m="1" x="7897"/>
        <item h="1" m="1" x="6303"/>
        <item h="1" m="1" x="4545"/>
        <item h="1" x="92"/>
        <item h="1" m="1" x="3849"/>
        <item h="1" m="1" x="5939"/>
        <item h="1" m="1" x="3994"/>
        <item h="1" m="1" x="2152"/>
        <item h="1" m="1" x="4189"/>
        <item h="1" m="1" x="7513"/>
        <item h="1" x="342"/>
        <item h="1" m="1" x="4461"/>
        <item h="1" m="1" x="4456"/>
        <item h="1" m="1" x="2524"/>
        <item h="1" m="1" x="7794"/>
        <item h="1" m="1" x="1607"/>
        <item h="1" m="1" x="1534"/>
        <item h="1" m="1" x="5795"/>
        <item h="1" m="1" x="7316"/>
        <item h="1" x="108"/>
        <item h="1" m="1" x="5804"/>
        <item h="1" m="1" x="3927"/>
        <item h="1" m="1" x="7372"/>
        <item h="1" m="1" x="2916"/>
        <item h="1" m="1" x="1400"/>
        <item h="1" m="1" x="3324"/>
        <item h="1" m="1" x="5765"/>
        <item h="1" m="1" x="2956"/>
        <item h="1" m="1" x="3929"/>
        <item h="1" m="1" x="1773"/>
        <item h="1" m="1" x="775"/>
        <item h="1" m="1" x="4367"/>
        <item h="1" m="1" x="6104"/>
        <item h="1" m="1" x="5258"/>
        <item h="1" m="1" x="4603"/>
        <item h="1" m="1" x="7650"/>
        <item h="1" m="1" x="4399"/>
        <item h="1" m="1" x="1062"/>
        <item h="1" m="1" x="4068"/>
        <item h="1" m="1" x="1121"/>
        <item h="1" m="1" x="7092"/>
        <item h="1" m="1" x="7427"/>
        <item h="1" m="1" x="7856"/>
        <item h="1" m="1" x="7409"/>
        <item h="1" m="1" x="5366"/>
        <item h="1" m="1" x="5086"/>
        <item h="1" m="1" x="4812"/>
        <item h="1" m="1" x="7860"/>
        <item h="1" m="1" x="6864"/>
        <item h="1" m="1" x="7849"/>
        <item h="1" m="1" x="3824"/>
        <item h="1" m="1" x="7399"/>
        <item h="1" m="1" x="7448"/>
        <item h="1" m="1" x="2882"/>
        <item h="1" m="1" x="1532"/>
        <item h="1" m="1" x="1225"/>
        <item h="1" m="1" x="7470"/>
        <item h="1" m="1" x="7937"/>
        <item h="1" m="1" x="5533"/>
        <item h="1" m="1" x="2493"/>
        <item h="1" m="1" x="5241"/>
        <item h="1" m="1" x="7848"/>
        <item h="1" m="1" x="7412"/>
        <item h="1" m="1" x="7413"/>
        <item h="1" m="1" x="7414"/>
        <item h="1" m="1" x="7847"/>
        <item h="1" m="1" x="7812"/>
        <item h="1" m="1" x="7417"/>
        <item h="1" m="1" x="7932"/>
        <item h="1" m="1" x="4440"/>
        <item h="1" m="1" x="4441"/>
        <item h="1" m="1" x="3855"/>
        <item h="1" m="1" x="5589"/>
        <item h="1" m="1" x="3398"/>
        <item h="1" m="1" x="4538"/>
        <item h="1" m="1" x="966"/>
        <item h="1" m="1" x="6174"/>
        <item h="1" m="1" x="2721"/>
        <item h="1" m="1" x="7278"/>
        <item h="1" m="1" x="4018"/>
        <item h="1" m="1" x="7743"/>
        <item h="1" m="1" x="4400"/>
        <item h="1" m="1" x="7927"/>
        <item h="1" m="1" x="1585"/>
        <item h="1" m="1" x="7768"/>
        <item h="1" m="1" x="6913"/>
        <item h="1" m="1" x="2947"/>
        <item h="1" m="1" x="5365"/>
        <item h="1" m="1" x="2381"/>
        <item h="1" m="1" x="3803"/>
        <item h="1" m="1" x="5156"/>
        <item h="1" m="1" x="5277"/>
        <item h="1" m="1" x="5055"/>
        <item h="1" m="1" x="6206"/>
        <item h="1" m="1" x="5302"/>
        <item h="1" m="1" x="5054"/>
        <item h="1" m="1" x="2869"/>
        <item h="1" m="1" x="5262"/>
        <item h="1" m="1" x="6175"/>
        <item h="1" m="1" x="6858"/>
        <item h="1" m="1" x="5436"/>
        <item h="1" m="1" x="7532"/>
        <item h="1" m="1" x="4827"/>
        <item h="1" m="1" x="4178"/>
        <item h="1" m="1" x="5312"/>
        <item h="1" m="1" x="3487"/>
        <item h="1" m="1" x="2691"/>
        <item h="1" m="1" x="2559"/>
        <item h="1" m="1" x="6459"/>
        <item h="1" m="1" x="4950"/>
        <item h="1" m="1" x="2523"/>
        <item h="1" m="1" x="7338"/>
        <item h="1" m="1" x="3159"/>
        <item h="1" m="1" x="1029"/>
        <item h="1" m="1" x="3376"/>
        <item h="1" m="1" x="604"/>
        <item h="1" m="1" x="5814"/>
        <item h="1" m="1" x="5222"/>
        <item h="1" m="1" x="3210"/>
        <item h="1" m="1" x="3223"/>
        <item h="1" m="1" x="7439"/>
        <item h="1" m="1" x="3212"/>
        <item h="1" m="1" x="5774"/>
        <item h="1" m="1" x="6112"/>
        <item h="1" m="1" x="2981"/>
        <item h="1" m="1" x="4119"/>
        <item h="1" x="165"/>
        <item h="1" m="1" x="5289"/>
        <item h="1" m="1" x="7945"/>
        <item h="1" m="1" x="3764"/>
        <item h="1" m="1" x="4772"/>
        <item h="1" m="1" x="3307"/>
        <item h="1" m="1" x="6380"/>
        <item h="1" m="1" x="3666"/>
        <item h="1" m="1" x="5510"/>
        <item h="1" m="1" x="7124"/>
        <item h="1" m="1" x="7845"/>
        <item h="1" m="1" x="4977"/>
        <item h="1" m="1" x="5478"/>
        <item h="1" m="1" x="6738"/>
        <item h="1" m="1" x="7855"/>
        <item h="1" m="1" x="3832"/>
        <item h="1" m="1" x="3827"/>
        <item h="1" m="1" x="7520"/>
        <item h="1" m="1" x="5047"/>
        <item h="1" m="1" x="2768"/>
        <item h="1" m="1" x="7401"/>
        <item h="1" m="1" x="7402"/>
        <item h="1" m="1" x="1587"/>
        <item h="1" m="1" x="7939"/>
        <item h="1" m="1" x="7572"/>
        <item h="1" m="1" x="1933"/>
        <item h="1" m="1" x="5760"/>
        <item h="1" m="1" x="6207"/>
        <item h="1" m="1" x="2654"/>
        <item h="1" m="1" x="7308"/>
        <item h="1" m="1" x="7307"/>
        <item h="1" m="1" x="6296"/>
        <item h="1" m="1" x="533"/>
        <item h="1" m="1" x="7482"/>
        <item h="1" m="1" x="4391"/>
        <item h="1" m="1" x="4388"/>
        <item h="1" m="1" x="3762"/>
        <item h="1" m="1" x="5834"/>
        <item h="1" m="1" x="5860"/>
        <item h="1" m="1" x="1663"/>
        <item h="1" m="1" x="2044"/>
        <item h="1" m="1" x="7141"/>
        <item h="1" m="1" x="7751"/>
        <item h="1" m="1" x="1249"/>
        <item h="1" m="1" x="7026"/>
        <item h="1" m="1" x="1027"/>
        <item h="1" m="1" x="6186"/>
        <item h="1" m="1" x="6654"/>
        <item h="1" m="1" x="4822"/>
        <item h="1" m="1" x="7422"/>
        <item h="1" m="1" x="3339"/>
        <item h="1" m="1" x="5925"/>
        <item h="1" m="1" x="2712"/>
        <item h="1" m="1" x="7887"/>
        <item h="1" m="1" x="4885"/>
        <item h="1" m="1" x="7664"/>
        <item h="1" m="1" x="6304"/>
        <item h="1" m="1" x="1399"/>
        <item h="1" m="1" x="5276"/>
        <item h="1" m="1" x="7563"/>
        <item h="1" m="1" x="6647"/>
        <item h="1" m="1" x="3114"/>
        <item h="1" m="1" x="5232"/>
        <item h="1" m="1" x="6201"/>
        <item h="1" m="1" x="3178"/>
        <item h="1" m="1" x="7237"/>
        <item h="1" m="1" x="1028"/>
        <item h="1" m="1" x="7766"/>
        <item h="1" m="1" x="6941"/>
        <item h="1" m="1" x="4708"/>
        <item h="1" m="1" x="3469"/>
        <item h="1" m="1" x="7103"/>
        <item h="1" m="1" x="5870"/>
        <item h="1" m="1" x="3179"/>
        <item h="1" m="1" x="7850"/>
        <item h="1" m="1" x="7811"/>
        <item h="1" m="1" x="4828"/>
        <item h="1" m="1" x="1031"/>
        <item h="1" m="1" x="5270"/>
        <item h="1" m="1" x="7940"/>
        <item h="1" m="1" x="7949"/>
        <item h="1" m="1" x="7941"/>
        <item h="1" m="1" x="6309"/>
        <item h="1" m="1" x="5852"/>
        <item h="1" m="1" x="7008"/>
        <item h="1" m="1" x="5487"/>
        <item h="1" m="1" x="7942"/>
        <item h="1" m="1" x="3653"/>
        <item h="1" x="26"/>
        <item h="1" m="1" x="2302"/>
        <item h="1" m="1" x="7508"/>
        <item h="1" m="1" x="7574"/>
        <item h="1" m="1" x="6433"/>
        <item h="1" m="1" x="7947"/>
        <item h="1" m="1" x="7179"/>
        <item h="1" m="1" x="7630"/>
        <item h="1" m="1" x="4670"/>
        <item h="1" m="1" x="6125"/>
        <item h="1" m="1" x="4260"/>
        <item h="1" x="25"/>
        <item h="1" m="1" x="2101"/>
        <item h="1" m="1" x="3953"/>
        <item h="1" m="1" x="7854"/>
        <item h="1" m="1" x="7853"/>
        <item h="1" m="1" x="7859"/>
        <item h="1" m="1" x="7857"/>
        <item h="1" m="1" x="7846"/>
        <item h="1" m="1" x="7662"/>
        <item h="1" m="1" x="7749"/>
        <item h="1" m="1" x="7629"/>
        <item h="1" m="1" x="7950"/>
        <item h="1" m="1" x="7944"/>
        <item h="1" m="1" x="7063"/>
        <item h="1" m="1" x="7851"/>
        <item h="1" m="1" x="7948"/>
        <item h="1" m="1" x="7943"/>
        <item h="1" m="1" x="7963"/>
        <item h="1" m="1" x="967"/>
        <item h="1" m="1" x="7590"/>
        <item h="1" m="1" x="7146"/>
        <item h="1" m="1" x="7752"/>
        <item h="1" m="1" x="6563"/>
        <item h="1" m="1" x="4883"/>
        <item h="1" m="1" x="4212"/>
        <item h="1" m="1" x="7239"/>
        <item h="1" m="1" x="7867"/>
        <item h="1" m="1" x="6693"/>
        <item h="1" m="1" x="7844"/>
        <item h="1" m="1" x="6749"/>
        <item h="1" m="1" x="6624"/>
        <item h="1" m="1" x="7583"/>
        <item h="1" m="1" x="7584"/>
        <item h="1" m="1" x="6331"/>
        <item h="1" m="1" x="6635"/>
        <item h="1" m="1" x="4859"/>
        <item h="1" m="1" x="7954"/>
        <item h="1" m="1" x="7678"/>
        <item h="1" m="1" x="7871"/>
        <item h="1" m="1" x="7872"/>
        <item h="1" m="1" x="7852"/>
        <item h="1" m="1" x="1080"/>
        <item h="1" m="1" x="7750"/>
        <item h="1" m="1" x="6732"/>
        <item h="1" m="1" x="7093"/>
        <item h="1" m="1" x="7537"/>
        <item h="1" m="1" x="7959"/>
        <item h="1" m="1" x="7869"/>
        <item h="1" m="1" x="2028"/>
        <item h="1" m="1" x="7386"/>
        <item h="1" m="1" x="7152"/>
        <item h="1" m="1" x="7387"/>
        <item h="1" m="1" x="6727"/>
        <item h="1" m="1" x="5859"/>
        <item h="1" m="1" x="6865"/>
        <item h="1" m="1" x="7659"/>
        <item h="1" m="1" x="7660"/>
        <item h="1" m="1" x="7661"/>
        <item h="1" m="1" x="7432"/>
        <item h="1" m="1" x="7666"/>
        <item h="1" m="1" x="7663"/>
        <item h="1" m="1" x="7446"/>
        <item h="1" m="1" x="7447"/>
        <item h="1" m="1" x="7449"/>
        <item h="1" m="1" x="7440"/>
        <item h="1" m="1" x="7480"/>
        <item h="1" m="1" x="7863"/>
        <item h="1" m="1" x="5134"/>
        <item h="1" m="1" x="7497"/>
        <item h="1" x="143"/>
        <item h="1" m="1" x="6966"/>
        <item h="1" m="1" x="7753"/>
        <item h="1" m="1" x="7623"/>
        <item h="1" m="1" x="7521"/>
        <item h="1" m="1" x="7624"/>
        <item h="1" m="1" x="7742"/>
        <item h="1" m="1" x="7625"/>
        <item h="1" m="1" x="7693"/>
        <item h="1" m="1" x="7694"/>
        <item h="1" m="1" x="6745"/>
        <item h="1" m="1" x="7744"/>
        <item h="1" m="1" x="7581"/>
        <item h="1" m="1" x="6632"/>
        <item h="1" m="1" x="7193"/>
        <item h="1" m="1" x="5096"/>
        <item h="1" m="1" x="6703"/>
        <item h="1" m="1" x="6731"/>
        <item h="1" m="1" x="7858"/>
        <item h="1" m="1" x="6099"/>
        <item h="1" m="1" x="6628"/>
        <item h="1" m="1" x="7665"/>
        <item h="1" m="1" x="7870"/>
        <item h="1" m="1" x="7864"/>
        <item h="1" m="1" x="7542"/>
        <item h="1" m="1" x="7952"/>
        <item h="1" m="1" x="7613"/>
        <item h="1" m="1" x="6750"/>
        <item h="1" m="1" x="7450"/>
        <item h="1" m="1" x="7221"/>
        <item h="1" m="1" x="7962"/>
        <item h="1" m="1" x="7754"/>
        <item h="1" m="1" x="7755"/>
        <item h="1" m="1" x="7436"/>
        <item h="1" m="1" x="7437"/>
        <item h="1" m="1" x="7957"/>
        <item h="1" m="1" x="7865"/>
        <item h="1" m="1" x="7953"/>
        <item h="1" m="1" x="5649"/>
        <item h="1" m="1" x="7956"/>
        <item h="1" m="1" x="7866"/>
        <item h="1" m="1" x="7961"/>
        <item h="1" m="1" x="7868"/>
        <item h="1" m="1" x="7861"/>
        <item h="1" m="1" x="7951"/>
        <item h="1" m="1" x="7757"/>
        <item h="1" m="1" x="7536"/>
        <item h="1" m="1" x="7756"/>
        <item h="1" m="1" x="7612"/>
        <item h="1" x="368"/>
        <item h="1" m="1" x="7461"/>
        <item h="1" m="1" x="7955"/>
        <item h="1" m="1" x="7462"/>
        <item h="1" m="1" x="7463"/>
        <item h="1" m="1" x="7389"/>
        <item h="1" m="1" x="7477"/>
        <item h="1" m="1" x="7862"/>
        <item h="1" m="1" x="7764"/>
        <item h="1" m="1" x="7499"/>
        <item h="1" m="1" x="7391"/>
        <item h="1" m="1" x="479"/>
        <item h="1" m="1" x="2364"/>
        <item h="1" m="1" x="5035"/>
        <item h="1" m="1" x="1717"/>
        <item h="1" m="1" x="7509"/>
        <item h="1" m="1" x="7510"/>
        <item h="1" m="1" x="7611"/>
        <item h="1" m="1" x="6681"/>
        <item h="1" m="1" x="7479"/>
        <item h="1" m="1" x="7238"/>
        <item h="1" m="1" x="7667"/>
        <item h="1" m="1" x="7394"/>
        <item h="1" m="1" x="7303"/>
        <item h="1" m="1" x="7700"/>
        <item h="1" m="1" x="7701"/>
        <item h="1" m="1" x="7747"/>
        <item h="1" m="1" x="7748"/>
        <item h="1" m="1" x="7745"/>
        <item h="1" m="1" x="7746"/>
        <item h="1" m="1" x="7946"/>
        <item h="1" m="1" x="7735"/>
        <item h="1" m="1" x="6683"/>
        <item h="1" m="1" x="7710"/>
        <item h="1" m="1" x="7964"/>
        <item h="1" m="1" x="7965"/>
        <item h="1" m="1" x="7873"/>
        <item h="1" m="1" x="7874"/>
        <item h="1" m="1" x="7429"/>
        <item h="1" x="169"/>
        <item h="1" m="1" x="7498"/>
        <item h="1" m="1" x="7158"/>
        <item h="1" m="1" x="7159"/>
        <item h="1" m="1" x="7160"/>
        <item h="1" m="1" x="826"/>
        <item h="1" m="1" x="7966"/>
        <item h="1" m="1" x="7967"/>
        <item h="1" m="1" x="7968"/>
        <item h="1" m="1" x="7758"/>
        <item h="1" m="1" x="7969"/>
        <item h="1" m="1" x="7970"/>
        <item h="1" m="1" x="7971"/>
        <item h="1" m="1" x="7972"/>
        <item h="1" m="1" x="7973"/>
        <item h="1" m="1" x="7974"/>
        <item h="1" m="1" x="7975"/>
        <item h="1" m="1" x="7976"/>
        <item h="1" m="1" x="7977"/>
        <item h="1" m="1" x="7978"/>
        <item h="1" m="1" x="7979"/>
        <item h="1" m="1" x="7980"/>
        <item h="1" m="1" x="7981"/>
        <item h="1" m="1" x="7982"/>
        <item h="1" m="1" x="7983"/>
        <item h="1" m="1" x="7984"/>
        <item h="1" m="1" x="7985"/>
        <item h="1" m="1" x="7880"/>
        <item h="1" m="1" x="7882"/>
        <item h="1" m="1" x="7883"/>
        <item h="1" m="1" x="7881"/>
        <item h="1" m="1" x="7896"/>
        <item h="1" m="1" x="7899"/>
        <item h="1" m="1" x="7900"/>
        <item h="1" m="1" x="7472"/>
        <item h="1" m="1" x="7898"/>
        <item h="1" m="1" x="7893"/>
        <item h="1" m="1" x="7476"/>
        <item h="1" m="1" x="7220"/>
        <item h="1" m="1" x="7986"/>
        <item h="1" m="1" x="7987"/>
        <item h="1" m="1" x="7988"/>
        <item h="1" m="1" x="7989"/>
        <item h="1" m="1" x="5469"/>
        <item h="1" m="1" x="7990"/>
        <item h="1" m="1" x="7610"/>
        <item h="1" m="1" x="7608"/>
        <item h="1" m="1" x="7614"/>
        <item h="1" m="1" x="7609"/>
        <item h="1" m="1" x="7633"/>
        <item h="1" m="1" x="7991"/>
        <item h="1" m="1" x="7992"/>
        <item h="1" m="1" x="7993"/>
        <item h="1" m="1" x="7994"/>
        <item h="1" m="1" x="4976"/>
        <item h="1" m="1" x="7995"/>
        <item h="1" m="1" x="7996"/>
        <item h="1" m="1" x="7907"/>
        <item h="1" m="1" x="7909"/>
        <item h="1" m="1" x="7998"/>
        <item h="1" m="1" x="7999"/>
        <item h="1" x="366"/>
        <item h="1" m="1" x="7913"/>
        <item h="1" m="1" x="7759"/>
        <item h="1" m="1" x="6651"/>
        <item h="1" m="1" x="4952"/>
        <item h="1" m="1" x="7914"/>
        <item h="1" m="1" x="7763"/>
        <item h="1" m="1" x="1120"/>
        <item h="1" m="1" x="6774"/>
        <item h="1" m="1" x="6589"/>
        <item h="1" m="1" x="3294"/>
        <item h="1" m="1" x="484"/>
        <item h="1" m="1" x="7218"/>
        <item h="1" m="1" x="6663"/>
        <item h="1" m="1" x="7216"/>
        <item h="1" m="1" x="7217"/>
        <item h="1" m="1" x="7296"/>
        <item h="1" m="1" x="7138"/>
        <item h="1" m="1" x="7765"/>
        <item h="1" m="1" x="7767"/>
        <item h="1" m="1" x="7875"/>
        <item h="1" m="1" x="7419"/>
        <item h="1" m="1" x="7420"/>
        <item h="1" m="1" x="7876"/>
        <item h="1" m="1" x="7877"/>
        <item h="1" m="1" x="7878"/>
        <item h="1" m="1" x="7879"/>
        <item h="1" m="1" x="7774"/>
        <item h="1" m="1" x="7884"/>
        <item h="1" m="1" x="7886"/>
        <item h="1" m="1" x="7888"/>
        <item h="1" m="1" x="7889"/>
        <item h="1" m="1" x="7890"/>
        <item h="1" m="1" x="7891"/>
        <item h="1" m="1" x="5685"/>
        <item h="1" m="1" x="7892"/>
        <item h="1" m="1" x="7894"/>
        <item h="1" m="1" x="7895"/>
        <item h="1" m="1" x="7901"/>
        <item h="1" m="1" x="7902"/>
        <item h="1" m="1" x="620"/>
        <item h="1" m="1" x="2834"/>
        <item h="1" m="1" x="7904"/>
        <item h="1" m="1" x="7514"/>
        <item h="1" m="1" x="7384"/>
        <item h="1" m="1" x="7626"/>
        <item h="1" m="1" x="7280"/>
        <item h="1" m="1" x="7905"/>
        <item h="1" m="1" x="1072"/>
        <item h="1" m="1" x="7908"/>
        <item h="1" m="1" x="3434"/>
        <item h="1" m="1" x="7910"/>
        <item h="1" m="1" x="7113"/>
        <item h="1" m="1" x="6658"/>
        <item h="1" m="1" x="639"/>
        <item h="1" m="1" x="7728"/>
        <item h="1" m="1" x="7760"/>
        <item h="1" m="1" x="7761"/>
        <item h="1" m="1" x="7911"/>
        <item h="1" m="1" x="7912"/>
        <item h="1" m="1" x="6807"/>
        <item h="1" m="1" x="446"/>
        <item h="1" m="1" x="6671"/>
        <item h="1" m="1" x="7762"/>
        <item h="1" m="1" x="6670"/>
        <item h="1" m="1" x="6675"/>
        <item h="1" m="1" x="6679"/>
        <item h="1" m="1" x="7915"/>
        <item h="1" m="1" x="7916"/>
        <item h="1" m="1" x="976"/>
        <item h="1" m="1" x="7917"/>
        <item h="1" m="1" x="7918"/>
        <item h="1" m="1" x="7919"/>
        <item h="1" m="1" x="7920"/>
        <item h="1" m="1" x="7921"/>
        <item h="1" m="1" x="5803"/>
        <item h="1" m="1" x="7922"/>
        <item h="1" m="1" x="5942"/>
        <item h="1" m="1" x="3868"/>
        <item h="1" m="1" x="7923"/>
        <item h="1" m="1" x="7491"/>
        <item h="1" m="1" x="7492"/>
        <item h="1" m="1" x="7769"/>
        <item h="1" m="1" x="7924"/>
        <item h="1" m="1" x="7444"/>
        <item h="1" m="1" x="7925"/>
        <item h="1" m="1" x="7926"/>
        <item h="1" m="1" x="7627"/>
        <item h="1" m="1" x="7741"/>
        <item h="1" m="1" x="7688"/>
        <item h="1" m="1" x="7928"/>
        <item h="1" m="1" x="7929"/>
        <item h="1" m="1" x="1889"/>
        <item h="1" m="1" x="6643"/>
        <item h="1" m="1" x="2695"/>
        <item h="1" m="1" x="7930"/>
        <item h="1" m="1" x="6673"/>
        <item h="1" m="1" x="6676"/>
        <item h="1" m="1" x="6677"/>
        <item h="1" m="1" x="6707"/>
        <item h="1" m="1" x="7931"/>
        <item h="1" m="1" x="4385"/>
        <item h="1" m="1" x="6694"/>
        <item h="1" m="1" x="7789"/>
        <item h="1" m="1" x="6726"/>
        <item h="1" m="1" x="7792"/>
        <item h="1" m="1" x="7933"/>
        <item h="1" m="1" x="7934"/>
        <item h="1" m="1" x="7935"/>
        <item h="1" m="1" x="6748"/>
        <item h="1" m="1" x="7936"/>
        <item h="1" m="1" x="7349"/>
        <item h="1" m="1" x="7428"/>
        <item h="1" m="1" x="6900"/>
        <item h="1" m="1" x="7398"/>
        <item h="1" m="1" x="6574"/>
        <item h="1" m="1" x="7494"/>
        <item h="1" m="1" x="7495"/>
        <item h="1" m="1" x="7770"/>
        <item h="1" m="1" x="7771"/>
        <item h="1" m="1" x="7032"/>
        <item h="1" m="1" x="7772"/>
        <item h="1" m="1" x="7773"/>
        <item h="1" m="1" x="7194"/>
        <item h="1" m="1" x="7775"/>
        <item h="1" m="1" x="7776"/>
        <item h="1" m="1" x="7458"/>
        <item h="1" m="1" x="7459"/>
        <item h="1" m="1" x="7460"/>
        <item h="1" m="1" x="7453"/>
        <item h="1" m="1" x="7454"/>
        <item h="1" m="1" x="7455"/>
        <item h="1" m="1" x="7456"/>
        <item h="1" m="1" x="7457"/>
        <item h="1" m="1" x="7587"/>
        <item h="1" m="1" x="7056"/>
        <item h="1" m="1" x="7040"/>
        <item h="1" m="1" x="7469"/>
        <item h="1" m="1" x="7311"/>
        <item h="1" m="1" x="7312"/>
        <item h="1" m="1" x="7588"/>
        <item h="1" m="1" x="6818"/>
        <item h="1" m="1" x="7310"/>
        <item h="1" m="1" x="7481"/>
        <item h="1" m="1" x="7478"/>
        <item h="1" m="1" x="7777"/>
        <item h="1" x="118"/>
        <item h="1" m="1" x="7375"/>
        <item h="1" m="1" x="7778"/>
        <item h="1" m="1" x="7149"/>
        <item h="1" m="1" x="7383"/>
        <item h="1" m="1" x="7150"/>
        <item h="1" m="1" x="7385"/>
        <item h="1" m="1" x="7522"/>
        <item h="1" m="1" x="7512"/>
        <item h="1" m="1" x="7631"/>
        <item h="1" m="1" x="7628"/>
        <item h="1" m="1" x="7779"/>
        <item h="1" m="1" x="7690"/>
        <item h="1" m="1" x="7689"/>
        <item h="1" m="1" x="7535"/>
        <item h="1" m="1" x="7780"/>
        <item h="1" m="1" x="7672"/>
        <item h="1" m="1" x="6644"/>
        <item h="1" m="1" x="7726"/>
        <item h="1" m="1" x="6646"/>
        <item h="1" m="1" x="6649"/>
        <item h="1" m="1" x="6682"/>
        <item h="1" m="1" x="7019"/>
        <item h="1" m="1" x="7781"/>
        <item h="1" m="1" x="3706"/>
        <item h="1" m="1" x="7782"/>
        <item h="1" m="1" x="7783"/>
        <item h="1" m="1" x="7784"/>
        <item h="1" m="1" x="7785"/>
        <item h="1" m="1" x="6710"/>
        <item h="1" m="1" x="6819"/>
        <item h="1" m="1" x="7675"/>
        <item h="1" m="1" x="7579"/>
        <item h="1" m="1" x="6714"/>
        <item h="1" m="1" x="6664"/>
        <item h="1" m="1" x="7786"/>
        <item h="1" m="1" x="7787"/>
        <item h="1" m="1" x="7788"/>
        <item h="1" m="1" x="7790"/>
        <item h="1" m="1" x="7791"/>
        <item h="1" m="1" x="6721"/>
        <item h="1" m="1" x="6734"/>
        <item h="1" m="1" x="6740"/>
        <item h="1" m="1" x="6742"/>
        <item h="1" m="1" x="7793"/>
        <item h="1" m="1" x="7645"/>
        <item h="1" m="1" x="7795"/>
        <item h="1" m="1" x="7647"/>
        <item h="1" m="1" x="7719"/>
        <item h="1" m="1" x="7722"/>
        <item h="1" m="1" x="7720"/>
        <item h="1" m="1" x="7718"/>
        <item h="1" m="1" x="7717"/>
        <item h="1" m="1" x="7359"/>
        <item h="1" m="1" x="7024"/>
        <item h="1" m="1" x="7797"/>
        <item h="1" m="1" x="7496"/>
        <item h="1" m="1" x="3869"/>
        <item h="1" m="1" x="477"/>
        <item h="1" m="1" x="7452"/>
        <item h="1" m="1" x="7087"/>
        <item h="1" m="1" x="7683"/>
        <item h="1" m="1" x="6633"/>
        <item h="1" m="1" x="7800"/>
        <item h="1" m="1" x="7641"/>
        <item h="1" m="1" x="7705"/>
        <item h="1" m="1" x="790"/>
        <item h="1" m="1" x="7699"/>
        <item h="1" m="1" x="7801"/>
        <item h="1" m="1" x="7802"/>
        <item h="1" m="1" x="7803"/>
        <item h="1" m="1" x="7804"/>
        <item h="1" m="1" x="7805"/>
        <item h="1" m="1" x="7806"/>
        <item h="1" m="1" x="7697"/>
        <item h="1" m="1" x="7698"/>
        <item h="1" m="1" x="7807"/>
        <item h="1" m="1" x="7808"/>
        <item h="1" m="1" x="7721"/>
        <item h="1" m="1" x="7809"/>
        <item h="1" m="1" x="7810"/>
        <item h="1" m="1" x="7337"/>
        <item h="1" m="1" x="4344"/>
        <item h="1" m="1" x="7702"/>
        <item h="1" m="1" x="7703"/>
        <item h="1" m="1" x="7704"/>
        <item h="1" m="1" x="7539"/>
        <item h="1" m="1" x="7706"/>
        <item h="1" m="1" x="7707"/>
        <item h="1" m="1" x="7106"/>
        <item h="1" m="1" x="6963"/>
        <item h="1" m="1" x="6655"/>
        <item h="1" m="1" x="7543"/>
        <item h="1" m="1" x="7708"/>
        <item h="1" m="1" x="6972"/>
        <item h="1" m="1" x="7709"/>
        <item h="1" m="1" x="7711"/>
        <item h="1" m="1" x="7712"/>
        <item h="1" m="1" x="7713"/>
        <item h="1" m="1" x="7714"/>
        <item h="1" m="1" x="7715"/>
        <item h="1" m="1" x="7716"/>
        <item h="1" m="1" x="7723"/>
        <item h="1" m="1" x="7724"/>
        <item h="1" m="1" x="7557"/>
        <item h="1" m="1" x="7725"/>
        <item h="1" m="1" x="6984"/>
        <item h="1" m="1" x="6981"/>
        <item h="1" m="1" x="7137"/>
        <item h="1" m="1" x="6985"/>
        <item h="1" m="1" x="7560"/>
        <item h="1" m="1" x="7374"/>
        <item h="1" m="1" x="7156"/>
        <item h="1" m="1" x="7376"/>
        <item h="1" m="1" x="6744"/>
        <item h="1" m="1" x="7388"/>
        <item h="1" m="1" x="7562"/>
        <item h="1" m="1" x="7727"/>
        <item h="1" m="1" x="7397"/>
        <item h="1" m="1" x="7568"/>
        <item h="1" m="1" x="7393"/>
        <item h="1" m="1" x="7570"/>
        <item h="1" m="1" x="1402"/>
        <item h="1" m="1" x="7575"/>
        <item h="1" m="1" x="7580"/>
        <item h="1" m="1" x="7411"/>
        <item h="1" m="1" x="7403"/>
        <item h="1" m="1" x="7404"/>
        <item h="1" m="1" x="7418"/>
        <item h="1" m="1" x="7729"/>
        <item h="1" m="1" x="7730"/>
        <item h="1" m="1" x="7731"/>
        <item h="1" m="1" x="7288"/>
        <item h="1" m="1" x="7732"/>
        <item h="1" m="1" x="7733"/>
        <item h="1" m="1" x="7734"/>
        <item h="1" m="1" x="7287"/>
        <item h="1" m="1" x="7291"/>
        <item h="1" m="1" x="7658"/>
        <item h="1" m="1" x="7423"/>
        <item h="1" m="1" x="5429"/>
        <item h="1" m="1" x="7434"/>
        <item h="1" m="1" x="7585"/>
        <item h="1" m="1" x="6454"/>
        <item h="1" m="1" x="7736"/>
        <item h="1" m="1" x="7737"/>
        <item h="1" m="1" x="7198"/>
        <item h="1" m="1" x="7203"/>
        <item h="1" m="1" x="7451"/>
        <item h="1" m="1" x="7442"/>
        <item h="1" m="1" x="4592"/>
        <item h="1" m="1" x="7474"/>
        <item h="1" m="1" x="7062"/>
        <item h="1" m="1" x="6605"/>
        <item h="1" m="1" x="7483"/>
        <item h="1" m="1" x="6737"/>
        <item h="1" m="1" x="7738"/>
        <item h="1" m="1" x="7486"/>
        <item h="1" m="1" x="7739"/>
        <item h="1" m="1" x="7605"/>
        <item h="1" m="1" x="6672"/>
        <item h="1" m="1" x="7489"/>
        <item h="1" m="1" x="6955"/>
        <item h="1" m="1" x="6854"/>
        <item h="1" m="1" x="7500"/>
        <item h="1" m="1" x="7515"/>
        <item h="1" m="1" x="7616"/>
        <item h="1" m="1" x="7615"/>
        <item h="1" m="1" x="7086"/>
        <item h="1" m="1" x="7528"/>
        <item h="1" m="1" x="7684"/>
        <item h="1" m="1" x="7685"/>
        <item h="1" m="1" x="7686"/>
        <item h="1" m="1" x="7687"/>
        <item h="1" m="1" x="7534"/>
        <item h="1" m="1" x="2889"/>
        <item h="1" m="1" x="6829"/>
        <item h="1" m="1" x="7263"/>
        <item h="1" m="1" x="7094"/>
        <item h="1" m="1" x="7345"/>
        <item h="1" m="1" x="7346"/>
        <item h="1" m="1" x="4433"/>
        <item h="1" m="1" x="7642"/>
        <item h="1" m="1" x="6695"/>
        <item h="1" m="1" x="7351"/>
        <item h="1" m="1" x="7352"/>
        <item h="1" m="1" x="7353"/>
        <item h="1" m="1" x="7115"/>
        <item h="1" m="1" x="7550"/>
        <item h="1" m="1" x="7643"/>
        <item h="1" m="1" x="7350"/>
        <item h="1" m="1" x="7354"/>
        <item h="1" m="1" x="6665"/>
        <item h="1" m="1" x="6666"/>
        <item h="1" m="1" x="6639"/>
        <item h="1" m="1" x="6657"/>
        <item h="1" m="1" x="6967"/>
        <item h="1" m="1" x="7552"/>
        <item h="1" m="1" x="7646"/>
        <item h="1" m="1" x="7648"/>
        <item h="1" m="1" x="7649"/>
        <item h="1" m="1" x="7651"/>
        <item h="1" m="1" x="5914"/>
        <item h="1" m="1" x="6926"/>
        <item h="1" m="1" x="6927"/>
        <item h="1" m="1" x="7140"/>
        <item h="1" m="1" x="7652"/>
        <item h="1" m="1" x="7368"/>
        <item h="1" m="1" x="7283"/>
        <item h="1" m="1" x="7153"/>
        <item h="1" m="1" x="7381"/>
        <item h="1" m="1" x="7382"/>
        <item h="1" m="1" x="7001"/>
        <item h="1" m="1" x="1681"/>
        <item h="1" m="1" x="2480"/>
        <item h="1" m="1" x="7162"/>
        <item h="1" m="1" x="7174"/>
        <item h="1" m="1" x="7653"/>
        <item h="1" m="1" x="7654"/>
        <item h="1" m="1" x="7655"/>
        <item h="1" m="1" x="7656"/>
        <item h="1" m="1" x="1267"/>
        <item h="1" m="1" x="7582"/>
        <item h="1" m="1" x="6652"/>
        <item h="1" m="1" x="6653"/>
        <item h="1" m="1" x="5826"/>
        <item h="1" x="350"/>
        <item h="1" m="1" x="5945"/>
        <item h="1" m="1" x="7669"/>
        <item h="1" m="1" x="7670"/>
        <item h="1" m="1" x="7299"/>
        <item h="1" m="1" x="7435"/>
        <item h="1" m="1" x="6711"/>
        <item h="1" m="1" x="6715"/>
        <item h="1" m="1" x="6716"/>
        <item h="1" m="1" x="6717"/>
        <item h="1" m="1" x="7197"/>
        <item h="1" m="1" x="7443"/>
        <item h="1" m="1" x="7445"/>
        <item h="1" m="1" x="4044"/>
        <item h="1" m="1" x="7206"/>
        <item h="1" m="1" x="5613"/>
        <item h="1" m="1" x="7315"/>
        <item h="1" m="1" x="7041"/>
        <item h="1" m="1" x="7042"/>
        <item h="1" m="1" x="7314"/>
        <item h="1" m="1" x="6954"/>
        <item h="1" m="1" x="7219"/>
        <item h="1" m="1" x="7072"/>
        <item h="1" m="1" x="7601"/>
        <item h="1" m="1" x="7071"/>
        <item h="1" m="1" x="7602"/>
        <item h="1" m="1" x="6669"/>
        <item h="1" m="1" x="6713"/>
        <item h="1" m="1" x="7591"/>
        <item h="1" m="1" x="6678"/>
        <item h="1" m="1" x="7673"/>
        <item h="1" m="1" x="7674"/>
        <item h="1" m="1" x="7594"/>
        <item h="1" m="1" x="7595"/>
        <item h="1" m="1" x="5103"/>
        <item h="1" m="1" x="7676"/>
        <item h="1" m="1" x="7677"/>
        <item h="1" m="1" x="7680"/>
        <item h="1" m="1" x="7681"/>
        <item h="1" m="1" x="7682"/>
        <item h="1" m="1" x="7606"/>
        <item h="1" m="1" x="7507"/>
        <item h="1" m="1" x="7607"/>
        <item h="1" m="1" x="7632"/>
        <item h="1" m="1" x="7619"/>
        <item h="1" m="1" x="7524"/>
        <item h="1" m="1" x="7620"/>
        <item h="1" m="1" x="7621"/>
        <item h="1" m="1" x="7622"/>
        <item h="1" m="1" x="6914"/>
        <item h="1" m="1" x="7691"/>
        <item h="1" m="1" x="7695"/>
        <item h="1" m="1" x="7696"/>
        <item h="1" m="1" x="7095"/>
        <item h="1" m="1" x="7538"/>
        <item h="1" m="1" x="7540"/>
        <item h="1" m="1" x="7344"/>
        <item h="1" m="1" x="7541"/>
        <item h="1" m="1" x="7544"/>
        <item h="1" m="1" x="7545"/>
        <item h="1" m="1" x="7546"/>
        <item h="1" m="1" x="1991"/>
        <item h="1" m="1" x="7548"/>
        <item h="1" m="1" x="7549"/>
        <item h="1" m="1" x="7348"/>
        <item h="1" m="1" x="7551"/>
        <item h="1" m="1" x="6965"/>
        <item h="1" x="54"/>
        <item h="1" m="1" x="7553"/>
        <item h="1" m="1" x="7554"/>
        <item h="1" m="1" x="7555"/>
        <item h="1" m="1" x="7556"/>
        <item h="1" m="1" x="6925"/>
        <item h="1" m="1" x="7181"/>
        <item h="1" m="1" x="6986"/>
        <item h="1" m="1" x="5323"/>
        <item h="1" m="1" x="6027"/>
        <item h="1" m="1" x="7558"/>
        <item h="1" m="1" x="7559"/>
        <item h="1" m="1" x="6776"/>
        <item h="1" m="1" x="3763"/>
        <item h="1" m="1" x="7380"/>
        <item h="1" m="1" x="7154"/>
        <item h="1" m="1" x="7377"/>
        <item h="1" m="1" x="7379"/>
        <item h="1" m="1" x="5722"/>
        <item h="1" m="1" x="7168"/>
        <item h="1" m="1" x="7577"/>
        <item h="1" m="1" x="7578"/>
        <item h="1" m="1" x="7018"/>
        <item h="1" m="1" x="7415"/>
        <item h="1" m="1" x="7416"/>
        <item h="1" m="1" x="7405"/>
        <item h="1" m="1" x="7406"/>
        <item h="1" m="1" x="7407"/>
        <item h="1" m="1" x="7408"/>
        <item h="1" m="1" x="7421"/>
        <item h="1" m="1" x="7293"/>
        <item h="1" m="1" x="7302"/>
        <item h="1" m="1" x="7033"/>
        <item h="1" m="1" x="6708"/>
        <item h="1" m="1" x="6641"/>
        <item h="1" m="1" x="6953"/>
        <item h="1" m="1" x="5573"/>
        <item h="1" m="1" x="6952"/>
        <item h="1" m="1" x="7586"/>
        <item h="1" m="1" x="7441"/>
        <item h="1" m="1" x="7036"/>
        <item h="1" m="1" x="7037"/>
        <item h="1" m="1" x="7471"/>
        <item h="1" m="1" x="7473"/>
        <item h="1" m="1" x="7589"/>
        <item h="1" m="1" x="7592"/>
        <item h="1" m="1" x="7593"/>
        <item h="1" m="1" x="7596"/>
        <item h="1" m="1" x="7597"/>
        <item h="1" m="1" x="7598"/>
        <item h="1" m="1" x="7599"/>
        <item h="1" m="1" x="7328"/>
        <item h="1" m="1" x="7600"/>
        <item h="1" m="1" x="7603"/>
        <item h="1" m="1" x="6153"/>
        <item h="1" m="1" x="6208"/>
        <item h="1" m="1" x="7070"/>
        <item h="1" m="1" x="6668"/>
        <item h="1" m="1" x="7604"/>
        <item h="1" m="1" x="6720"/>
        <item h="1" m="1" x="7493"/>
        <item h="1" m="1" x="7501"/>
        <item h="1" m="1" x="7502"/>
        <item h="1" m="1" x="7240"/>
        <item h="1" m="1" x="7505"/>
        <item h="1" m="1" x="7503"/>
        <item h="1" m="1" x="7504"/>
        <item h="1" m="1" x="7244"/>
        <item h="1" m="1" x="2023"/>
        <item h="1" m="1" x="7506"/>
        <item h="1" m="1" x="7617"/>
        <item h="1" m="1" x="7618"/>
        <item h="1" m="1" x="7634"/>
        <item h="1" m="1" x="7529"/>
        <item h="1" m="1" x="7635"/>
        <item h="1" m="1" x="7636"/>
        <item h="1" m="1" x="7637"/>
        <item h="1" m="1" x="7638"/>
        <item h="1" m="1" x="7639"/>
        <item h="1" m="1" x="7640"/>
        <item h="1" m="1" x="7101"/>
        <item h="1" m="1" x="7100"/>
        <item h="1" m="1" x="7097"/>
        <item h="1" m="1" x="7098"/>
        <item h="1" m="1" x="7099"/>
        <item h="1" m="1" x="7096"/>
        <item h="1" m="1" x="7265"/>
        <item h="1" m="1" x="616"/>
        <item h="1" m="1" x="7341"/>
        <item h="1" m="1" x="5042"/>
        <item h="1" m="1" x="876"/>
        <item h="1" m="1" x="7342"/>
        <item h="1" m="1" x="6637"/>
        <item h="1" m="1" x="7343"/>
        <item h="1" m="1" x="7347"/>
        <item h="1" m="1" x="7355"/>
        <item h="1" m="1" x="6790"/>
        <item h="1" m="1" x="7112"/>
        <item h="1" m="1" x="5359"/>
        <item h="1" m="1" x="7356"/>
        <item h="1" m="1" x="5288"/>
        <item h="1" m="1" x="7269"/>
        <item h="1" m="1" x="7271"/>
        <item h="1" m="1" x="7272"/>
        <item h="1" m="1" x="7270"/>
        <item h="1" m="1" x="7357"/>
        <item h="1" m="1" x="7358"/>
        <item h="1" m="1" x="7360"/>
        <item h="1" m="1" x="7361"/>
        <item h="1" m="1" x="7362"/>
        <item h="1" m="1" x="7363"/>
        <item h="1" m="1" x="7364"/>
        <item h="1" m="1" x="7365"/>
        <item h="1" m="1" x="6980"/>
        <item h="1" m="1" x="7366"/>
        <item h="1" m="1" x="7367"/>
        <item h="1" m="1" x="6928"/>
        <item h="1" m="1" x="6779"/>
        <item h="1" m="1" x="7369"/>
        <item h="1" m="1" x="7370"/>
        <item h="1" m="1" x="7371"/>
        <item h="1" m="1" x="7390"/>
        <item h="1" m="1" x="7392"/>
        <item h="1" m="1" x="7161"/>
        <item h="1" m="1" x="7165"/>
        <item h="1" m="1" x="7395"/>
        <item h="1" m="1" x="7396"/>
        <item h="1" m="1" x="7400"/>
        <item h="1" m="1" x="7180"/>
        <item h="1" m="1" x="7410"/>
        <item h="1" m="1" x="6685"/>
        <item h="1" m="1" x="7424"/>
        <item h="1" m="1" x="7425"/>
        <item h="1" m="1" x="7426"/>
        <item h="1" m="1" x="7430"/>
        <item h="1" m="1" x="7431"/>
        <item h="1" m="1" x="7433"/>
        <item h="1" m="1" x="7301"/>
        <item h="1" m="1" x="7294"/>
        <item h="1" m="1" x="7438"/>
        <item h="1" m="1" x="6718"/>
        <item h="1" m="1" x="6951"/>
        <item h="1" m="1" x="7465"/>
        <item h="1" m="1" x="7466"/>
        <item h="1" m="1" x="7309"/>
        <item h="1" m="1" x="7058"/>
        <item h="1" m="1" x="7468"/>
        <item h="1" m="1" x="7059"/>
        <item h="1" m="1" x="7060"/>
        <item h="1" m="1" x="7061"/>
        <item h="1" m="1" x="6570"/>
        <item h="1" m="1" x="7057"/>
        <item h="1" m="1" x="7208"/>
        <item h="1" m="1" x="7054"/>
        <item h="1" m="1" x="7053"/>
        <item h="1" m="1" x="7064"/>
        <item h="1" m="1" x="7484"/>
        <item h="1" m="1" x="3723"/>
        <item h="1" m="1" x="7485"/>
        <item h="1" m="1" x="7209"/>
        <item h="1" m="1" x="4340"/>
        <item h="1" m="1" x="7487"/>
        <item h="1" m="1" x="7488"/>
        <item h="1" m="1" x="7323"/>
        <item h="1" m="1" x="7232"/>
        <item h="1" m="1" x="7074"/>
        <item h="1" m="1" x="6827"/>
        <item h="1" m="1" x="7490"/>
        <item h="1" m="1" x="7516"/>
        <item h="1" m="1" x="7517"/>
        <item h="1" m="1" x="7518"/>
        <item h="1" m="1" x="7519"/>
        <item h="1" m="1" x="7525"/>
        <item h="1" m="1" x="7526"/>
        <item h="1" m="1" x="7527"/>
        <item h="1" m="1" x="7530"/>
        <item h="1" m="1" x="7531"/>
        <item h="1" m="1" x="7533"/>
        <item h="1" m="1" x="7243"/>
        <item h="1" m="1" x="7266"/>
        <item h="1" m="1" x="7267"/>
        <item h="1" m="1" x="6769"/>
        <item h="1" m="1" x="6697"/>
        <item h="1" m="1" x="6770"/>
        <item h="1" m="1" x="6771"/>
        <item h="1" m="1" x="7114"/>
        <item h="1" m="1" x="7268"/>
        <item h="1" x="106"/>
        <item h="1" m="1" x="7119"/>
        <item h="1" m="1" x="7120"/>
        <item h="1" m="1" x="7273"/>
        <item h="1" m="1" x="7274"/>
        <item h="1" m="1" x="7107"/>
        <item h="1" m="1" x="7275"/>
        <item h="1" m="1" x="7111"/>
        <item h="1" m="1" x="6964"/>
        <item h="1" m="1" x="7123"/>
        <item h="1" m="1" x="7276"/>
        <item h="1" m="1" x="7277"/>
        <item h="1" m="1" x="7279"/>
        <item h="1" m="1" x="7129"/>
        <item h="1" m="1" x="6983"/>
        <item h="1" m="1" x="6029"/>
        <item h="1" m="1" x="7281"/>
        <item h="1" m="1" x="7145"/>
        <item h="1" m="1" x="7282"/>
        <item h="1" m="1" x="6572"/>
        <item h="1" m="1" x="6995"/>
        <item h="1" m="1" x="6996"/>
        <item h="1" m="1" x="6851"/>
        <item h="1" m="1" x="7151"/>
        <item h="1" m="1" x="7147"/>
        <item h="1" m="1" x="5913"/>
        <item h="1" m="1" x="7284"/>
        <item h="1" m="1" x="6311"/>
        <item h="1" m="1" x="7177"/>
        <item h="1" m="1" x="7285"/>
        <item h="1" m="1" x="7304"/>
        <item h="1" m="1" x="6724"/>
        <item h="1" m="1" x="7286"/>
        <item h="1" m="1" x="4436"/>
        <item h="1" m="1" x="6687"/>
        <item h="1" m="1" x="6686"/>
        <item h="1" m="1" x="6947"/>
        <item h="1" m="1" x="7289"/>
        <item h="1" m="1" x="7290"/>
        <item h="1" m="1" x="6948"/>
        <item h="1" m="1" x="2423"/>
        <item h="1" m="1" x="6618"/>
        <item h="1" m="1" x="7295"/>
        <item h="1" m="1" x="7297"/>
        <item h="1" m="1" x="7298"/>
        <item h="1" m="1" x="7300"/>
        <item h="1" m="1" x="7021"/>
        <item h="1" m="1" x="6733"/>
        <item h="1" m="1" x="7321"/>
        <item h="1" m="1" x="6759"/>
        <item h="1" m="1" x="6640"/>
        <item h="1" m="1" x="7031"/>
        <item h="1" m="1" x="7306"/>
        <item h="1" m="1" x="7199"/>
        <item h="1" m="1" x="7200"/>
        <item h="1" m="1" x="7201"/>
        <item h="1" m="1" x="7039"/>
        <item h="1" m="1" x="7052"/>
        <item h="1" m="1" x="6728"/>
        <item h="1" m="1" x="7317"/>
        <item h="1" m="1" x="7318"/>
        <item h="1" m="1" x="7212"/>
        <item h="1" m="1" x="7319"/>
        <item h="1" m="1" x="7211"/>
        <item h="1" m="1" x="7210"/>
        <item h="1" m="1" x="7320"/>
        <item h="1" m="1" x="7322"/>
        <item h="1" m="1" x="5358"/>
        <item h="1" m="1" x="7324"/>
        <item h="1" m="1" x="6124"/>
        <item h="1" m="1" x="5916"/>
        <item h="1" m="1" x="7223"/>
        <item h="1" m="1" x="7325"/>
        <item h="1" m="1" x="7326"/>
        <item h="1" m="1" x="2141"/>
        <item h="1" m="1" x="7331"/>
        <item h="1" m="1" x="7225"/>
        <item h="1" m="1" x="7234"/>
        <item h="1" m="1" x="7236"/>
        <item h="1" m="1" x="5387"/>
        <item h="1" m="1" x="7327"/>
        <item h="1" m="1" x="7248"/>
        <item h="1" m="1" x="7247"/>
        <item h="1" m="1" x="7329"/>
        <item h="1" m="1" x="7330"/>
        <item h="1" m="1" x="6602"/>
        <item h="1" m="1" x="7333"/>
        <item h="1" m="1" x="6606"/>
        <item h="1" m="1" x="7335"/>
        <item h="1" m="1" x="7264"/>
        <item h="1" m="1" x="3872"/>
        <item h="1" m="1" x="6772"/>
        <item h="1" m="1" x="7105"/>
        <item h="1" m="1" x="5213"/>
        <item h="1" m="1" x="7108"/>
        <item h="1" m="1" x="7109"/>
        <item h="1" m="1" x="7110"/>
        <item h="1" m="1" x="7116"/>
        <item h="1" m="1" x="6971"/>
        <item h="1" m="1" x="6970"/>
        <item h="1" m="1" x="7117"/>
        <item h="1" m="1" x="7118"/>
        <item h="1" m="1" x="7121"/>
        <item h="1" m="1" x="7122"/>
        <item h="1" m="1" x="6794"/>
        <item h="1" m="1" x="7125"/>
        <item h="1" m="1" x="7258"/>
        <item h="1" m="1" x="7126"/>
        <item h="1" m="1" x="7127"/>
        <item h="1" m="1" x="7128"/>
        <item h="1" m="1" x="7130"/>
        <item h="1" m="1" x="7131"/>
        <item h="1" m="1" x="7132"/>
        <item h="1" m="1" x="7133"/>
        <item h="1" m="1" x="7134"/>
        <item h="1" m="1" x="6345"/>
        <item h="1" m="1" x="7135"/>
        <item h="1" m="1" x="7136"/>
        <item h="1" m="1" x="7139"/>
        <item h="1" m="1" x="6990"/>
        <item h="1" m="1" x="7142"/>
        <item h="1" m="1" x="7143"/>
        <item h="1" m="1" x="7144"/>
        <item h="1" m="1" x="6999"/>
        <item h="1" m="1" x="7000"/>
        <item h="1" m="1" x="6992"/>
        <item h="1" m="1" x="6994"/>
        <item h="1" m="1" x="7148"/>
        <item h="1" m="1" x="7259"/>
        <item h="1" m="1" x="7163"/>
        <item h="1" m="1" x="7164"/>
        <item h="1" m="1" x="7166"/>
        <item h="1" m="1" x="7167"/>
        <item h="1" m="1" x="7169"/>
        <item h="1" m="1" x="7170"/>
        <item h="1" m="1" x="7171"/>
        <item h="1" m="1" x="7172"/>
        <item h="1" m="1" x="7173"/>
        <item h="1" m="1" x="7175"/>
        <item h="1" m="1" x="7176"/>
        <item h="1" m="1" x="6195"/>
        <item h="1" m="1" x="7182"/>
        <item h="1" m="1" x="7183"/>
        <item h="1" m="1" x="7184"/>
        <item h="1" m="1" x="7185"/>
        <item h="1" m="1" x="7186"/>
        <item h="1" m="1" x="7188"/>
        <item h="1" m="1" x="7189"/>
        <item h="1" m="1" x="6642"/>
        <item h="1" m="1" x="6766"/>
        <item h="1" m="1" x="6756"/>
        <item h="1" m="1" x="6754"/>
        <item h="1" m="1" x="7190"/>
        <item h="1" m="1" x="2961"/>
        <item h="1" m="1" x="7191"/>
        <item h="1" m="1" x="7192"/>
        <item h="1" m="1" x="7023"/>
        <item h="1" m="1" x="6700"/>
        <item h="1" m="1" x="7027"/>
        <item h="1" m="1" x="7262"/>
        <item h="1" m="1" x="7195"/>
        <item h="1" m="1" x="7196"/>
        <item h="1" m="1" x="7202"/>
        <item h="1" m="1" x="429"/>
        <item h="1" m="1" x="7204"/>
        <item h="1" m="1" x="7205"/>
        <item h="1" m="1" x="7038"/>
        <item h="1" m="1" x="5723"/>
        <item h="1" m="1" x="3007"/>
        <item h="1" m="1" x="7207"/>
        <item h="1" m="1" x="7213"/>
        <item h="1" m="1" x="7214"/>
        <item h="1" m="1" x="7215"/>
        <item h="1" m="1" x="7222"/>
        <item h="1" m="1" x="7224"/>
        <item h="1" m="1" x="7069"/>
        <item h="1" m="1" x="7226"/>
        <item h="1" m="1" x="7227"/>
        <item h="1" m="1" x="7228"/>
        <item h="1" m="1" x="7229"/>
        <item h="1" m="1" x="7230"/>
        <item h="1" m="1" x="7231"/>
        <item h="1" m="1" x="7235"/>
        <item h="1" m="1" x="6723"/>
        <item h="1" m="1" x="7233"/>
        <item h="1" m="1" x="2955"/>
        <item h="1" m="1" x="7242"/>
        <item h="1" m="1" x="7245"/>
        <item h="1" m="1" x="7246"/>
        <item h="1" m="1" x="7249"/>
        <item h="1" m="1" x="7250"/>
        <item h="1" m="1" x="7251"/>
        <item h="1" m="1" x="7252"/>
        <item h="1" m="1" x="7253"/>
        <item h="1" m="1" x="7254"/>
        <item h="1" m="1" x="7256"/>
        <item h="1" m="1" x="7257"/>
        <item h="1" m="1" x="6593"/>
        <item h="1" m="1" x="6443"/>
        <item h="1" m="1" x="6594"/>
        <item h="1" m="1" x="7261"/>
        <item h="1" m="1" x="6775"/>
        <item h="1" m="1" x="4177"/>
        <item h="1" m="1" x="6956"/>
        <item h="1" m="1" x="4918"/>
        <item h="1" m="1" x="3401"/>
        <item h="1" m="1" x="1206"/>
        <item h="1" m="1" x="6919"/>
        <item h="1" m="1" x="6957"/>
        <item h="1" m="1" x="6958"/>
        <item h="1" m="1" x="6959"/>
        <item h="1" m="1" x="6960"/>
        <item h="1" m="1" x="5915"/>
        <item h="1" m="1" x="6961"/>
        <item h="1" m="1" x="6962"/>
        <item h="1" m="1" x="4373"/>
        <item h="1" m="1" x="6968"/>
        <item h="1" m="1" x="6969"/>
        <item h="1" m="1" x="1543"/>
        <item h="1" m="1" x="654"/>
        <item h="1" x="218"/>
        <item h="1" m="1" x="4597"/>
        <item h="1" m="1" x="6973"/>
        <item h="1" m="1" x="6924"/>
        <item h="1" m="1" x="6974"/>
        <item h="1" m="1" x="6975"/>
        <item h="1" m="1" x="6976"/>
        <item h="1" m="1" x="6977"/>
        <item h="1" m="1" x="6838"/>
        <item h="1" m="1" x="6978"/>
        <item h="1" m="1" x="6979"/>
        <item h="1" m="1" x="6843"/>
        <item h="1" m="1" x="6987"/>
        <item h="1" m="1" x="6988"/>
        <item h="1" m="1" x="6989"/>
        <item h="1" m="1" x="6747"/>
        <item h="1" m="1" x="6650"/>
        <item h="1" m="1" x="6804"/>
        <item h="1" m="1" x="6993"/>
        <item h="1" m="1" x="3477"/>
        <item h="1" m="1" x="6935"/>
        <item h="1" m="1" x="6997"/>
        <item h="1" m="1" x="7002"/>
        <item h="1" m="1" x="6722"/>
        <item h="1" m="1" x="7003"/>
        <item h="1" m="1" x="810"/>
        <item h="1" m="1" x="7005"/>
        <item h="1" m="1" x="6539"/>
        <item h="1" m="1" x="5851"/>
        <item h="1" m="1" x="7006"/>
        <item h="1" m="1" x="7007"/>
        <item h="1" m="1" x="6661"/>
        <item h="1" m="1" x="6937"/>
        <item h="1" m="1" x="6938"/>
        <item h="1" m="1" x="6939"/>
        <item h="1" m="1" x="7009"/>
        <item h="1" m="1" x="4942"/>
        <item h="1" m="1" x="7010"/>
        <item h="1" m="1" x="7011"/>
        <item h="1" m="1" x="7013"/>
        <item h="1" m="1" x="7014"/>
        <item h="1" m="1" x="7015"/>
        <item h="1" m="1" x="7016"/>
        <item h="1" m="1" x="5362"/>
        <item h="1" m="1" x="5363"/>
        <item h="1" m="1" x="5361"/>
        <item h="1" m="1" x="5582"/>
        <item h="1" m="1" x="7020"/>
        <item h="1" m="1" x="6531"/>
        <item h="1" m="1" x="6870"/>
        <item h="1" m="1" x="6871"/>
        <item h="1" m="1" x="7022"/>
        <item h="1" m="1" x="6741"/>
        <item h="1" m="1" x="6705"/>
        <item h="1" m="1" x="6706"/>
        <item h="1" m="1" x="7025"/>
        <item h="1" m="1" x="7029"/>
        <item h="1" m="1" x="7030"/>
        <item h="1" m="1" x="7034"/>
        <item h="1" m="1" x="7035"/>
        <item h="1" m="1" x="7043"/>
        <item h="1" m="1" x="7044"/>
        <item h="1" m="1" x="7045"/>
        <item h="1" m="1" x="2509"/>
        <item h="1" m="1" x="7047"/>
        <item h="1" m="1" x="7048"/>
        <item h="1" m="1" x="7049"/>
        <item h="1" m="1" x="7050"/>
        <item h="1" m="1" x="7051"/>
        <item h="1" m="1" x="7055"/>
        <item h="1" m="1" x="7065"/>
        <item h="1" m="1" x="6582"/>
        <item h="1" m="1" x="7066"/>
        <item h="1" m="1" x="7067"/>
        <item h="1" m="1" x="6609"/>
        <item h="1" m="1" x="6821"/>
        <item h="1" m="1" x="7068"/>
        <item h="1" m="1" x="7073"/>
        <item h="1" m="1" x="7075"/>
        <item h="1" m="1" x="7076"/>
        <item h="1" m="1" x="7077"/>
        <item h="1" m="1" x="7078"/>
        <item h="1" m="1" x="7079"/>
        <item h="1" m="1" x="7080"/>
        <item h="1" m="1" x="7081"/>
        <item h="1" m="1" x="7082"/>
        <item h="1" m="1" x="7083"/>
        <item h="1" m="1" x="7084"/>
        <item h="1" m="1" x="7085"/>
        <item h="1" m="1" x="6729"/>
        <item h="1" m="1" x="6730"/>
        <item h="1" m="1" x="7088"/>
        <item h="1" m="1" x="7089"/>
        <item h="1" m="1" x="7090"/>
        <item h="1" m="1" x="7091"/>
        <item h="1" m="1" x="6595"/>
        <item h="1" m="1" x="6596"/>
        <item h="1" m="1" x="6704"/>
        <item h="1" m="1" x="6656"/>
        <item h="1" m="1" x="6920"/>
        <item h="1" m="1" x="6752"/>
        <item h="1" m="1" x="6751"/>
        <item h="1" m="1" x="6921"/>
        <item h="1" m="1" x="5735"/>
        <item h="1" m="1" x="4372"/>
        <item h="1" m="1" x="6922"/>
        <item h="1" m="1" x="6923"/>
        <item h="1" m="1" x="6839"/>
        <item h="1" m="1" x="6841"/>
        <item h="1" m="1" x="6929"/>
        <item h="1" m="1" x="6930"/>
        <item h="1" m="1" x="6931"/>
        <item h="1" m="1" x="6844"/>
        <item h="1" m="1" x="6932"/>
        <item h="1" m="1" x="6933"/>
        <item h="1" m="1" x="6934"/>
        <item h="1" m="1" x="6848"/>
        <item h="1" m="1" x="743"/>
        <item h="1" m="1" x="6233"/>
        <item h="1" m="1" x="6234"/>
        <item h="1" m="1" x="6232"/>
        <item h="1" m="1" x="6855"/>
        <item h="1" m="1" x="6852"/>
        <item h="1" m="1" x="6936"/>
        <item h="1" m="1" x="1679"/>
        <item h="1" m="1" x="6859"/>
        <item h="1" m="1" x="6062"/>
        <item h="1" m="1" x="6866"/>
        <item h="1" m="1" x="6867"/>
        <item h="1" m="1" x="6940"/>
        <item h="1" m="1" x="6942"/>
        <item h="1" m="1" x="6943"/>
        <item h="1" m="1" x="6808"/>
        <item h="1" m="1" x="6944"/>
        <item h="1" m="1" x="6945"/>
        <item h="1" m="1" x="6946"/>
        <item h="1" m="1" x="6194"/>
        <item h="1" m="1" x="6869"/>
        <item h="1" m="1" x="6780"/>
        <item h="1" m="1" x="6753"/>
        <item h="1" m="1" x="6872"/>
        <item h="1" m="1" x="6873"/>
        <item h="1" m="1" x="6949"/>
        <item h="1" m="1" x="6876"/>
        <item h="1" m="1" x="6950"/>
        <item h="1" m="1" x="6882"/>
        <item h="1" m="1" x="6881"/>
        <item h="1" m="1" x="6565"/>
        <item h="1" m="1" x="6571"/>
        <item h="1" m="1" x="6607"/>
        <item h="1" m="1" x="6887"/>
        <item h="1" x="223"/>
        <item h="1" m="1" x="6889"/>
        <item h="1" m="1" x="6743"/>
        <item h="1" m="1" x="6894"/>
        <item h="1" m="1" x="6897"/>
        <item h="1" m="1" x="6898"/>
        <item h="1" m="1" x="6901"/>
        <item h="1" m="1" x="6906"/>
        <item h="1" m="1" x="6907"/>
        <item h="1" m="1" x="6909"/>
        <item h="1" m="1" x="6915"/>
        <item h="1" m="1" x="6910"/>
        <item h="1" m="1" x="6911"/>
        <item h="1" m="1" x="6588"/>
        <item h="1" m="1" x="6912"/>
        <item h="1" m="1" x="6916"/>
        <item h="1" m="1" x="6917"/>
        <item h="1" m="1" x="6830"/>
        <item h="1" m="1" x="6831"/>
        <item h="1" m="1" x="6767"/>
        <item h="1" m="1" x="6832"/>
        <item h="1" m="1" x="6684"/>
        <item h="1" m="1" x="6736"/>
        <item h="1" m="1" x="6109"/>
        <item h="1" m="1" x="6833"/>
        <item h="1" m="1" x="6834"/>
        <item h="1" m="1" x="6835"/>
        <item h="1" m="1" x="6836"/>
        <item h="1" m="1" x="2936"/>
        <item h="1" m="1" x="6837"/>
        <item h="1" m="1" x="6610"/>
        <item h="1" m="1" x="6611"/>
        <item h="1" m="1" x="6659"/>
        <item h="1" m="1" x="6840"/>
        <item h="1" m="1" x="6842"/>
        <item h="1" m="1" x="5917"/>
        <item h="1" m="1" x="6548"/>
        <item h="1" m="1" x="6845"/>
        <item h="1" m="1" x="6846"/>
        <item h="1" m="1" x="6847"/>
        <item h="1" m="1" x="4583"/>
        <item h="1" m="1" x="6849"/>
        <item h="1" m="1" x="6850"/>
        <item h="1" m="1" x="6237"/>
        <item h="1" m="1" x="6573"/>
        <item h="1" m="1" x="6853"/>
        <item h="1" m="1" x="6856"/>
        <item h="1" m="1" x="6857"/>
        <item h="1" m="1" x="6860"/>
        <item h="1" m="1" x="6861"/>
        <item h="1" m="1" x="6862"/>
        <item h="1" m="1" x="6863"/>
        <item h="1" m="1" x="6136"/>
        <item h="1" m="1" x="6585"/>
        <item h="1" m="1" x="5364"/>
        <item h="1" m="1" x="6868"/>
        <item h="1" m="1" x="6547"/>
        <item h="1" m="1" x="6817"/>
        <item h="1" m="1" x="6691"/>
        <item h="1" m="1" x="6692"/>
        <item h="1" m="1" x="6690"/>
        <item h="1" m="1" x="6874"/>
        <item h="1" m="1" x="6875"/>
        <item h="1" m="1" x="4881"/>
        <item h="1" m="1" x="6533"/>
        <item h="1" m="1" x="6532"/>
        <item h="1" m="1" x="6128"/>
        <item h="1" m="1" x="6719"/>
        <item h="1" m="1" x="6877"/>
        <item h="1" m="1" x="6878"/>
        <item h="1" m="1" x="6879"/>
        <item h="1" m="1" x="3174"/>
        <item h="1" m="1" x="6880"/>
        <item h="1" m="1" x="6883"/>
        <item h="1" m="1" x="6056"/>
        <item h="1" m="1" x="5357"/>
        <item h="1" m="1" x="6217"/>
        <item h="1" m="1" x="6218"/>
        <item h="1" m="1" x="6884"/>
        <item h="1" m="1" x="5922"/>
        <item h="1" m="1" x="6885"/>
        <item h="1" m="1" x="6220"/>
        <item h="1" m="1" x="6886"/>
        <item h="1" x="267"/>
        <item h="1" m="1" x="6888"/>
        <item h="1" m="1" x="6438"/>
        <item h="1" m="1" x="6890"/>
        <item h="1" m="1" x="6891"/>
        <item h="1" m="1" x="4194"/>
        <item h="1" m="1" x="6689"/>
        <item h="1" m="1" x="6893"/>
        <item h="1" m="1" x="6895"/>
        <item h="1" m="1" x="6896"/>
        <item h="1" m="1" x="6899"/>
        <item h="1" m="1" x="6902"/>
        <item h="1" m="1" x="6903"/>
        <item h="1" m="1" x="6904"/>
        <item h="1" m="1" x="6905"/>
        <item h="1" m="1" x="6908"/>
        <item h="1" m="1" x="5724"/>
        <item h="1" m="1" x="5727"/>
        <item h="1" m="1" x="6757"/>
        <item h="1" m="1" x="6739"/>
        <item h="1" m="1" x="6758"/>
        <item h="1" m="1" x="6918"/>
        <item h="1" m="1" x="6784"/>
        <item h="1" m="1" x="6699"/>
        <item h="1" m="1" x="6768"/>
        <item h="1" m="1" x="6785"/>
        <item h="1" m="1" x="6786"/>
        <item h="1" m="1" x="6787"/>
        <item h="1" m="1" x="6788"/>
        <item h="1" m="1" x="6630"/>
        <item h="1" m="1" x="6789"/>
        <item h="1" m="1" x="6629"/>
        <item h="1" m="1" x="6625"/>
        <item h="1" x="72"/>
        <item h="1" m="1" x="6612"/>
        <item h="1" m="1" x="6791"/>
        <item h="1" m="1" x="6792"/>
        <item h="1" m="1" x="6793"/>
        <item h="1" m="1" x="6033"/>
        <item h="1" m="1" x="6034"/>
        <item h="1" m="1" x="6035"/>
        <item h="1" m="1" x="6795"/>
        <item h="1" m="1" x="6797"/>
        <item h="1" m="1" x="6765"/>
        <item h="1" m="1" x="6648"/>
        <item h="1" m="1" x="6746"/>
        <item h="1" m="1" x="6549"/>
        <item h="1" m="1" x="6798"/>
        <item h="1" m="1" x="6799"/>
        <item h="1" m="1" x="6800"/>
        <item h="1" m="1" x="5955"/>
        <item h="1" m="1" x="6801"/>
        <item h="1" m="1" x="6802"/>
        <item h="1" m="1" x="6231"/>
        <item h="1" m="1" x="6803"/>
        <item h="1" m="1" x="6240"/>
        <item h="1" m="1" x="6239"/>
        <item h="1" m="1" x="6551"/>
        <item h="1" m="1" x="6032"/>
        <item h="1" m="1" x="6805"/>
        <item h="1" m="1" x="6806"/>
        <item h="1" m="1" x="6540"/>
        <item h="1" m="1" x="6541"/>
        <item h="1" m="1" x="6537"/>
        <item h="1" m="1" x="6702"/>
        <item h="1" m="1" x="4396"/>
        <item h="1" m="1" x="6701"/>
        <item h="1" m="1" x="6735"/>
        <item h="1" m="1" x="6809"/>
        <item h="1" m="1" x="6810"/>
        <item h="1" m="1" x="6811"/>
        <item h="1" m="1" x="6812"/>
        <item h="1" m="1" x="6813"/>
        <item h="1" m="1" x="6814"/>
        <item h="1" m="1" x="6815"/>
        <item h="1" m="1" x="6816"/>
        <item h="1" m="1" x="6680"/>
        <item h="1" m="1" x="6530"/>
        <item h="1" m="1" x="6631"/>
        <item h="1" m="1" x="6616"/>
        <item h="1" m="1" x="6615"/>
        <item h="1" m="1" x="6528"/>
        <item h="1" m="1" x="4365"/>
        <item h="1" m="1" x="6709"/>
        <item h="1" m="1" x="6299"/>
        <item h="1" m="1" x="6566"/>
        <item h="1" m="1" x="6568"/>
        <item h="1" m="1" x="6820"/>
        <item h="1" m="1" x="6674"/>
        <item h="1" m="1" x="6760"/>
        <item h="1" m="1" x="6560"/>
        <item h="1" m="1" x="5817"/>
        <item h="1" m="1" x="5818"/>
        <item h="1" m="1" x="6712"/>
        <item h="1" m="1" x="4738"/>
        <item h="1" m="1" x="6823"/>
        <item h="1" m="1" x="6824"/>
        <item h="1" m="1" x="6825"/>
        <item h="1" m="1" x="6826"/>
        <item h="1" m="1" x="6534"/>
        <item h="1" m="1" x="6580"/>
        <item h="1" m="1" x="6579"/>
        <item h="1" m="1" x="6578"/>
        <item h="1" m="1" x="6600"/>
        <item h="1" m="1" x="6828"/>
        <item h="1" m="1" x="6592"/>
        <item h="1" m="1" x="6725"/>
        <item h="1" m="1" x="6529"/>
        <item h="1" m="1" x="6172"/>
        <item h="1" m="1" x="6535"/>
        <item h="1" m="1" x="6536"/>
        <item h="1" m="1" x="6538"/>
        <item h="1" m="1" x="6542"/>
        <item h="1" m="1" x="6543"/>
        <item h="1" m="1" x="6544"/>
        <item h="1" m="1" x="6545"/>
        <item h="1" m="1" x="6546"/>
        <item h="1" m="1" x="6550"/>
        <item h="1" m="1" x="6552"/>
        <item h="1" m="1" x="6554"/>
        <item h="1" m="1" x="6555"/>
        <item h="1" m="1" x="6323"/>
        <item h="1" m="1" x="6556"/>
        <item h="1" m="1" x="6558"/>
        <item h="1" m="1" x="6559"/>
        <item h="1" m="1" x="5816"/>
        <item h="1" m="1" x="2474"/>
        <item h="1" m="1" x="6127"/>
        <item h="1" m="1" x="6562"/>
        <item h="1" m="1" x="6564"/>
        <item h="1" m="1" x="6219"/>
        <item h="1" m="1" x="5923"/>
        <item h="1" m="1" x="5725"/>
        <item h="1" m="1" x="5824"/>
        <item h="1" m="1" x="732"/>
        <item h="1" m="1" x="6238"/>
        <item h="1" m="1" x="6575"/>
        <item h="1" m="1" x="6577"/>
        <item h="1" m="1" x="6581"/>
        <item h="1" m="1" x="6583"/>
        <item h="1" m="1" x="6586"/>
        <item h="1" m="1" x="5924"/>
        <item h="1" m="1" x="6587"/>
        <item h="1" m="1" x="6254"/>
        <item h="1" m="1" x="6590"/>
        <item h="1" m="1" x="6591"/>
        <item h="1" m="1" x="6597"/>
        <item h="1" m="1" x="6599"/>
        <item h="1" m="1" x="6601"/>
        <item h="1" m="1" x="6031"/>
        <item h="1" m="1" x="6603"/>
        <item h="1" m="1" x="6604"/>
        <item h="1" m="1" x="6608"/>
        <item h="1" m="1" x="6613"/>
        <item h="1" m="1" x="6614"/>
        <item h="1" m="1" x="6146"/>
        <item h="1" m="1" x="6617"/>
        <item h="1" m="1" x="6619"/>
        <item h="1" m="1" x="6620"/>
        <item h="1" m="1" x="6621"/>
        <item h="1" m="1" x="6622"/>
        <item h="1" m="1" x="6623"/>
        <item h="1" m="1" x="6148"/>
        <item h="1" m="1" x="6626"/>
        <item h="1" m="1" x="6627"/>
        <item h="1" m="1" x="6634"/>
        <item h="1" m="1" x="6638"/>
        <item h="1" m="1" x="6645"/>
        <item h="1" m="1" x="6660"/>
        <item h="1" m="1" x="6662"/>
        <item h="1" m="1" x="6667"/>
        <item h="1" m="1" x="6688"/>
        <item h="1" m="1" x="6696"/>
        <item h="1" m="1" x="6698"/>
        <item h="1" m="1" x="6288"/>
        <item h="1" m="1" x="6755"/>
        <item h="1" m="1" x="6761"/>
        <item h="1" m="1" x="6762"/>
        <item h="1" m="1" x="6468"/>
        <item h="1" m="1" x="6372"/>
        <item h="1" m="1" x="6763"/>
        <item h="1" m="1" x="6764"/>
        <item h="1" m="1" x="6773"/>
        <item h="1" m="1" x="6777"/>
        <item h="1" m="1" x="4713"/>
        <item h="1" m="1" x="3719"/>
        <item h="1" m="1" x="6778"/>
        <item h="1" m="1" x="5912"/>
        <item h="1" m="1" x="5911"/>
        <item h="1" m="1" x="6302"/>
        <item h="1" m="1" x="6782"/>
        <item h="1" m="1" x="6783"/>
        <item h="1" m="1" x="5929"/>
        <item h="1" m="1" x="6432"/>
        <item h="1" m="1" x="6036"/>
        <item h="1" m="1" x="6305"/>
        <item h="1" m="1" x="6178"/>
        <item h="1" m="1" x="6179"/>
        <item h="1" m="1" x="6434"/>
        <item h="1" m="1" x="6316"/>
        <item h="1" m="1" x="6435"/>
        <item h="1" m="1" x="6308"/>
        <item h="1" m="1" x="6310"/>
        <item h="1" m="1" x="6312"/>
        <item h="1" m="1" x="6313"/>
        <item h="1" m="1" x="6436"/>
        <item h="1" m="1" x="6437"/>
        <item h="1" m="1" x="6197"/>
        <item h="1" m="1" x="5919"/>
        <item h="1" m="1" x="6115"/>
        <item h="1" m="1" x="6116"/>
        <item h="1" m="1" x="5918"/>
        <item h="1" m="1" x="1348"/>
        <item h="1" m="1" x="6320"/>
        <item h="1" m="1" x="5872"/>
        <item h="1" m="1" x="5928"/>
        <item h="1" m="1" x="5920"/>
        <item h="1" m="1" x="6118"/>
        <item h="1" m="1" x="5921"/>
        <item h="1" m="1" x="6202"/>
        <item h="1" m="1" x="6119"/>
        <item h="1" m="1" x="6439"/>
        <item h="1" m="1" x="6440"/>
        <item h="1" m="1" x="6210"/>
        <item h="1" m="1" x="6211"/>
        <item h="1" m="1" x="6212"/>
        <item h="1" m="1" x="6216"/>
        <item h="1" m="1" x="6328"/>
        <item h="1" m="1" x="5726"/>
        <item h="1" m="1" x="6222"/>
        <item h="1" m="1" x="6230"/>
        <item h="1" m="1" x="6441"/>
        <item h="1" m="1" x="4702"/>
        <item h="1" m="1" x="6442"/>
        <item h="1" m="1" x="6252"/>
        <item h="1" m="1" x="5936"/>
        <item h="1" m="1" x="6444"/>
        <item h="1" m="1" x="6256"/>
        <item h="1" m="1" x="2925"/>
        <item h="1" m="1" x="6340"/>
        <item h="1" m="1" x="6445"/>
        <item h="1" m="1" x="6141"/>
        <item h="1" m="1" x="6446"/>
        <item h="1" m="1" x="6143"/>
        <item h="1" m="1" x="6144"/>
        <item h="1" m="1" x="6447"/>
        <item h="1" m="1" x="6448"/>
        <item h="1" m="1" x="6449"/>
        <item h="1" m="1" x="6450"/>
        <item h="1" m="1" x="6451"/>
        <item h="1" m="1" x="6452"/>
        <item h="1" m="1" x="6453"/>
        <item h="1" m="1" x="6350"/>
        <item h="1" m="1" x="6349"/>
        <item h="1" m="1" x="5112"/>
        <item h="1" m="1" x="6348"/>
        <item h="1" m="1" x="6455"/>
        <item h="1" m="1" x="1231"/>
        <item h="1" m="1" x="6456"/>
        <item h="1" m="1" x="6457"/>
        <item h="1" m="1" x="6458"/>
        <item h="1" m="1" x="4341"/>
        <item h="1" m="1" x="4413"/>
        <item h="1" m="1" x="6460"/>
        <item h="1" m="1" x="6461"/>
        <item h="1" m="1" x="6462"/>
        <item h="1" m="1" x="5819"/>
        <item h="1" m="1" x="4375"/>
        <item h="1" m="1" x="6287"/>
        <item h="1" m="1" x="5581"/>
        <item h="1" m="1" x="6463"/>
        <item h="1" m="1" x="5820"/>
        <item h="1" m="1" x="6464"/>
        <item h="1" m="1" x="4390"/>
        <item h="1" m="1" x="6465"/>
        <item h="1" m="1" x="4392"/>
        <item h="1" m="1" x="6366"/>
        <item h="1" m="1" x="6367"/>
        <item h="1" m="1" x="6466"/>
        <item h="1" m="1" x="6467"/>
        <item h="1" m="1" x="5369"/>
        <item h="1" m="1" x="4423"/>
        <item h="1" m="1" x="5941"/>
        <item h="1" m="1" x="6469"/>
        <item h="1" m="1" x="6470"/>
        <item h="1" m="1" x="6471"/>
        <item h="1" m="1" x="6472"/>
        <item h="1" m="1" x="6473"/>
        <item h="1" m="1" x="6474"/>
        <item h="1" m="1" x="6475"/>
        <item h="1" m="1" x="6476"/>
        <item h="1" m="1" x="6415"/>
        <item h="1" m="1" x="6416"/>
        <item h="1" m="1" x="6417"/>
        <item h="1" m="1" x="6477"/>
        <item h="1" m="1" x="6478"/>
        <item h="1" m="1" x="6479"/>
        <item h="1" m="1" x="6480"/>
        <item h="1" m="1" x="6397"/>
        <item h="1" m="1" x="6398"/>
        <item h="1" m="1" x="6481"/>
        <item h="1" m="1" x="6482"/>
        <item h="1" m="1" x="6483"/>
        <item h="1" m="1" x="6484"/>
        <item h="1" m="1" x="6485"/>
        <item h="1" m="1" x="6486"/>
        <item h="1" m="1" x="6487"/>
        <item h="1" m="1" x="6420"/>
        <item h="1" m="1" x="6488"/>
        <item h="1" m="1" x="4919"/>
        <item h="1" m="1" x="6489"/>
        <item h="1" m="1" x="6490"/>
        <item h="1" m="1" x="6491"/>
        <item h="1" m="1" x="6492"/>
        <item h="1" m="1" x="6407"/>
        <item h="1" m="1" x="6493"/>
        <item h="1" m="1" x="6494"/>
        <item h="1" m="1" x="6495"/>
        <item h="1" m="1" x="6496"/>
        <item h="1" m="1" x="6497"/>
        <item h="1" m="1" x="6498"/>
        <item h="1" m="1" x="6499"/>
        <item h="1" m="1" x="6500"/>
        <item h="1" m="1" x="6418"/>
        <item h="1" m="1" x="6426"/>
        <item h="1" m="1" x="6501"/>
        <item h="1" m="1" x="6404"/>
        <item h="1" m="1" x="6406"/>
        <item h="1" m="1" x="6502"/>
        <item h="1" m="1" x="6408"/>
        <item h="1" m="1" x="6414"/>
        <item h="1" m="1" x="6503"/>
        <item h="1" m="1" x="6428"/>
        <item h="1" m="1" x="6379"/>
        <item h="1" m="1" x="6382"/>
        <item h="1" m="1" x="6383"/>
        <item h="1" m="1" x="6504"/>
        <item h="1" m="1" x="5089"/>
        <item h="1" m="1" x="6402"/>
        <item h="1" m="1" x="6403"/>
        <item h="1" m="1" x="6411"/>
        <item h="1" m="1" x="6405"/>
        <item h="1" m="1" x="6401"/>
        <item h="1" m="1" x="6505"/>
        <item h="1" m="1" x="6506"/>
        <item h="1" m="1" x="6507"/>
        <item h="1" m="1" x="6419"/>
        <item h="1" m="1" x="6508"/>
        <item h="1" m="1" x="6509"/>
        <item h="1" m="1" x="6399"/>
        <item h="1" m="1" x="6400"/>
        <item h="1" m="1" x="6396"/>
        <item h="1" m="1" x="6510"/>
        <item h="1" m="1" x="6511"/>
        <item h="1" m="1" x="6512"/>
        <item h="1" m="1" x="6513"/>
        <item h="1" m="1" x="5790"/>
        <item h="1" m="1" x="6514"/>
        <item h="1" m="1" x="6384"/>
        <item h="1" m="1" x="6386"/>
        <item h="1" m="1" x="6390"/>
        <item h="1" m="1" x="6389"/>
        <item h="1" m="1" x="6388"/>
        <item h="1" m="1" x="6387"/>
        <item h="1" m="1" x="6394"/>
        <item h="1" m="1" x="6425"/>
        <item h="1" m="1" x="5799"/>
        <item h="1" m="1" x="6516"/>
        <item h="1" m="1" x="6517"/>
        <item h="1" m="1" x="6518"/>
        <item h="1" m="1" x="6519"/>
        <item h="1" m="1" x="6520"/>
        <item h="1" m="1" x="6393"/>
        <item h="1" m="1" x="6421"/>
        <item h="1" m="1" x="6422"/>
        <item h="1" m="1" x="6423"/>
        <item h="1" m="1" x="6424"/>
        <item h="1" m="1" x="6410"/>
        <item h="1" m="1" x="6412"/>
        <item h="1" m="1" x="6413"/>
        <item h="1" m="1" x="6521"/>
        <item h="1" m="1" x="6522"/>
        <item h="1" m="1" x="6523"/>
        <item h="1" m="1" x="6524"/>
        <item h="1" m="1" x="6525"/>
        <item h="1" m="1" x="6526"/>
        <item h="1" m="1" x="6427"/>
        <item h="1" m="1" x="6409"/>
        <item h="1" m="1" x="6391"/>
        <item h="1" m="1" x="6385"/>
        <item h="1" m="1" x="6392"/>
        <item h="1" m="1" x="4455"/>
        <item h="1" m="1" x="6527"/>
        <item h="1" m="1" x="5672"/>
        <item h="1" m="1" x="6430"/>
        <item h="1" m="1" x="1726"/>
        <item h="1" m="1" x="6169"/>
        <item h="1" m="1" x="5461"/>
        <item h="1" m="1" x="6176"/>
        <item h="1" m="1" x="6037"/>
        <item h="1" m="1" x="6171"/>
        <item h="1" m="1" x="5930"/>
        <item h="1" m="1" x="6181"/>
        <item h="1" m="1" x="5728"/>
        <item h="1" m="1" x="6306"/>
        <item h="1" m="1" x="6307"/>
        <item h="1" m="1" x="6314"/>
        <item h="1" m="1" x="6315"/>
        <item h="1" m="1" x="6190"/>
        <item h="1" m="1" x="6187"/>
        <item h="1" m="1" x="6188"/>
        <item h="1" m="1" x="6189"/>
        <item h="1" m="1" x="6184"/>
        <item h="1" m="1" x="6193"/>
        <item h="1" m="1" x="5964"/>
        <item h="1" m="1" x="6317"/>
        <item h="1" m="1" x="6196"/>
        <item h="1" m="1" x="5045"/>
        <item h="1" m="1" x="6319"/>
        <item h="1" m="1" x="6198"/>
        <item h="1" m="1" x="6321"/>
        <item h="1" m="1" x="6322"/>
        <item h="1" m="1" x="3220"/>
        <item h="1" m="1" x="5933"/>
        <item h="1" m="1" x="6204"/>
        <item h="1" m="1" x="6038"/>
        <item h="1" m="1" x="6205"/>
        <item h="1" m="1" x="6122"/>
        <item h="1" m="1" x="6324"/>
        <item h="1" m="1" x="6235"/>
        <item h="1" m="1" x="6236"/>
        <item h="1" m="1" x="6130"/>
        <item h="1" m="1" x="6325"/>
        <item h="1" m="1" x="6327"/>
        <item h="1" m="1" x="6330"/>
        <item h="1" m="1" x="5821"/>
        <item h="1" m="1" x="6224"/>
        <item h="1" m="1" x="6225"/>
        <item h="1" m="1" x="6227"/>
        <item h="1" m="1" x="6228"/>
        <item h="1" m="1" x="6229"/>
        <item h="1" m="1" x="5935"/>
        <item h="1" m="1" x="6209"/>
        <item h="1" m="1" x="6242"/>
        <item h="1" m="1" x="6332"/>
        <item h="1" m="1" x="6333"/>
        <item h="1" m="1" x="6334"/>
        <item h="1" m="1" x="5584"/>
        <item h="1" m="1" x="6335"/>
        <item h="1" m="1" x="6243"/>
        <item h="1" m="1" x="6336"/>
        <item h="1" m="1" x="6244"/>
        <item h="1" m="1" x="6137"/>
        <item h="1" m="1" x="6253"/>
        <item h="1" m="1" x="4506"/>
        <item h="1" m="1" x="6338"/>
        <item h="1" m="1" x="6245"/>
        <item h="1" m="1" x="6339"/>
        <item h="1" m="1" x="6259"/>
        <item h="1" m="1" x="6258"/>
        <item h="1" m="1" x="6257"/>
        <item h="1" m="1" x="6341"/>
        <item h="1" m="1" x="6342"/>
        <item h="1" m="1" x="4324"/>
        <item h="1" m="1" x="6039"/>
        <item h="1" m="1" x="6343"/>
        <item h="1" m="1" x="6344"/>
        <item h="1" m="1" x="6142"/>
        <item h="1" m="1" x="5733"/>
        <item h="1" m="1" x="6145"/>
        <item h="1" m="1" x="6264"/>
        <item h="1" m="1" x="6265"/>
        <item h="1" m="1" x="6266"/>
        <item h="1" m="1" x="5937"/>
        <item h="1" m="1" x="6346"/>
        <item h="1" m="1" x="6347"/>
        <item h="1" m="1" x="6273"/>
        <item h="1" m="1" x="6272"/>
        <item h="1" m="1" x="4999"/>
        <item h="1" m="1" x="4921"/>
        <item h="1" m="1" x="6351"/>
        <item h="1" m="1" x="4346"/>
        <item h="1" m="1" x="4345"/>
        <item h="1" m="1" x="4343"/>
        <item h="1" m="1" x="5822"/>
        <item h="1" m="1" x="6352"/>
        <item h="1" m="1" x="6353"/>
        <item h="1" m="1" x="6354"/>
        <item h="1" m="1" x="6040"/>
        <item h="1" m="1" x="5586"/>
        <item h="1" m="1" x="6282"/>
        <item h="1" m="1" x="6355"/>
        <item h="1" m="1" x="6356"/>
        <item h="1" m="1" x="5940"/>
        <item h="1" m="1" x="6357"/>
        <item h="1" m="1" x="6358"/>
        <item h="1" m="1" x="4380"/>
        <item h="1" m="1" x="6043"/>
        <item h="1" m="1" x="6044"/>
        <item h="1" m="1" x="6161"/>
        <item h="1" m="1" x="5368"/>
        <item h="1" m="1" x="4360"/>
        <item h="1" m="1" x="4356"/>
        <item h="1" m="1" x="4357"/>
        <item h="1" m="1" x="6041"/>
        <item h="1" m="1" x="5587"/>
        <item h="1" m="1" x="5585"/>
        <item h="1" m="1" x="6359"/>
        <item h="1" m="1" x="6152"/>
        <item h="1" m="1" x="6360"/>
        <item h="1" m="1" x="6042"/>
        <item h="1" m="1" x="5588"/>
        <item h="1" m="1" x="6361"/>
        <item h="1" m="1" x="6362"/>
        <item h="1" m="1" x="6363"/>
        <item h="1" x="69"/>
        <item h="1" m="1" x="4394"/>
        <item h="1" m="1" x="4401"/>
        <item h="1" m="1" x="4370"/>
        <item h="1" m="1" x="6364"/>
        <item h="1" m="1" x="6365"/>
        <item h="1" m="1" x="4729"/>
        <item h="1" m="1" x="6368"/>
        <item h="1" m="1" x="4428"/>
        <item h="1" m="1" x="4427"/>
        <item h="1" m="1" x="4431"/>
        <item h="1" m="1" x="6369"/>
        <item h="1" m="1" x="6370"/>
        <item h="1" m="1" x="2922"/>
        <item h="1" m="1" x="6371"/>
        <item h="1" m="1" x="6373"/>
        <item h="1" m="1" x="6374"/>
        <item h="1" m="1" x="6375"/>
        <item h="1" m="1" x="6376"/>
        <item h="1" m="1" x="6377"/>
        <item h="1" m="1" x="6378"/>
        <item h="1" m="1" x="4923"/>
        <item h="1" m="1" x="6297"/>
        <item h="1" m="1" x="6429"/>
        <item h="1" m="1" x="6300"/>
        <item h="1" m="1" x="6301"/>
        <item h="1" m="1" x="6045"/>
        <item h="1" m="1" x="6431"/>
        <item h="1" m="1" x="6170"/>
        <item h="1" m="1" x="5470"/>
        <item h="1" m="1" x="6177"/>
        <item h="1" m="1" x="6180"/>
        <item h="1" m="1" x="6182"/>
        <item h="1" m="1" x="6183"/>
        <item h="1" m="1" x="6185"/>
        <item h="1" m="1" x="5729"/>
        <item h="1" m="1" x="6191"/>
        <item h="1" m="1" x="6113"/>
        <item h="1" m="1" x="6192"/>
        <item h="1" m="1" x="5931"/>
        <item h="1" m="1" x="6047"/>
        <item h="1" m="1" x="6199"/>
        <item h="1" m="1" x="5831"/>
        <item h="1" m="1" x="6200"/>
        <item h="1" m="1" x="6203"/>
        <item h="1" m="1" x="6123"/>
        <item h="1" m="1" x="6131"/>
        <item h="1" m="1" x="6213"/>
        <item h="1" m="1" x="6214"/>
        <item h="1" m="1" x="6215"/>
        <item h="1" m="1" x="5367"/>
        <item h="1" m="1" x="5731"/>
        <item h="1" m="1" x="6221"/>
        <item h="1" m="1" x="5934"/>
        <item h="1" m="1" x="6223"/>
        <item h="1" m="1" x="5730"/>
        <item h="1" m="1" x="6226"/>
        <item h="1" m="1" x="6241"/>
        <item h="1" x="241"/>
        <item h="1" m="1" x="6246"/>
        <item h="1" m="1" x="6247"/>
        <item h="1" m="1" x="6248"/>
        <item h="1" m="1" x="6249"/>
        <item h="1" m="1" x="6250"/>
        <item h="1" m="1" x="6251"/>
        <item h="1" x="132"/>
        <item h="1" m="1" x="5732"/>
        <item h="1" m="1" x="6255"/>
        <item h="1" m="1" x="6260"/>
        <item h="1" m="1" x="6261"/>
        <item h="1" m="1" x="5975"/>
        <item h="1" m="1" x="6262"/>
        <item h="1" m="1" x="6263"/>
        <item h="1" m="1" x="5938"/>
        <item h="1" m="1" x="6267"/>
        <item h="1" m="1" x="6268"/>
        <item h="1" m="1" x="6269"/>
        <item h="1" m="1" x="6270"/>
        <item h="1" m="1" x="5000"/>
        <item h="1" m="1" x="6271"/>
        <item h="1" m="1" x="6147"/>
        <item h="1" m="1" x="6149"/>
        <item h="1" m="1" x="4920"/>
        <item h="1" m="1" x="6274"/>
        <item h="1" m="1" x="6275"/>
        <item h="1" m="1" x="1450"/>
        <item h="1" m="1" x="6277"/>
        <item h="1" m="1" x="5673"/>
        <item h="1" m="1" x="6278"/>
        <item h="1" m="1" x="6279"/>
        <item h="1" m="1" x="6280"/>
        <item h="1" m="1" x="6281"/>
        <item h="1" m="1" x="6077"/>
        <item h="1" m="1" x="4383"/>
        <item h="1" m="1" x="3073"/>
        <item h="1" m="1" x="6283"/>
        <item h="1" m="1" x="6284"/>
        <item h="1" m="1" x="6285"/>
        <item h="1" m="1" x="6286"/>
        <item h="1" m="1" x="6155"/>
        <item h="1" m="1" x="4416"/>
        <item h="1" m="1" x="4922"/>
        <item h="1" m="1" x="2716"/>
        <item h="1" m="1" x="5736"/>
        <item h="1" m="1" x="5370"/>
        <item h="1" m="1" x="6289"/>
        <item h="1" m="1" x="6290"/>
        <item h="1" m="1" x="5590"/>
        <item h="1" m="1" x="5737"/>
        <item h="1" m="1" x="6292"/>
        <item h="1" m="1" x="4446"/>
        <item h="1" m="1" x="6293"/>
        <item h="1" m="1" x="6294"/>
        <item h="1" m="1" x="6295"/>
        <item h="1" m="1" x="4925"/>
        <item h="1" m="1" x="4924"/>
        <item h="1" m="1" x="4926"/>
        <item h="1" m="1" x="6080"/>
        <item h="1" m="1" x="6298"/>
        <item h="1" m="1" x="6046"/>
        <item h="1" m="1" x="6108"/>
        <item h="1" m="1" x="6110"/>
        <item h="1" m="1" x="5768"/>
        <item h="1" m="1" x="6111"/>
        <item h="1" m="1" x="6117"/>
        <item h="1" m="1" x="5830"/>
        <item h="1" m="1" x="5956"/>
        <item h="1" m="1" x="6050"/>
        <item h="1" m="1" x="6121"/>
        <item h="1" m="1" x="4829"/>
        <item h="1" m="1" x="6129"/>
        <item h="1" m="1" x="6052"/>
        <item h="1" m="1" x="6053"/>
        <item h="1" m="1" x="6132"/>
        <item h="1" m="1" x="2987"/>
        <item h="1" m="1" x="6133"/>
        <item h="1" m="1" x="6134"/>
        <item h="1" m="1" x="4703"/>
        <item h="1" m="1" x="2283"/>
        <item h="1" m="1" x="5957"/>
        <item h="1" m="1" x="6135"/>
        <item h="1" m="1" x="6061"/>
        <item h="1" m="1" x="6066"/>
        <item h="1" m="1" x="5966"/>
        <item h="1" m="1" x="5322"/>
        <item h="1" m="1" x="5969"/>
        <item h="1" m="1" x="5840"/>
        <item h="1" m="1" x="5971"/>
        <item h="1" m="1" x="5972"/>
        <item h="1" m="1" x="5841"/>
        <item h="1" m="1" x="5839"/>
        <item h="1" m="1" x="6138"/>
        <item h="1" m="1" x="6067"/>
        <item h="1" m="1" x="6140"/>
        <item h="1" m="1" x="5002"/>
        <item h="1" m="1" x="5160"/>
        <item h="1" m="1" x="5675"/>
        <item h="1" m="1" x="5159"/>
        <item h="1" m="1" x="5161"/>
        <item h="1" m="1" x="6150"/>
        <item h="1" m="1" x="6151"/>
        <item h="1" m="1" x="5375"/>
        <item h="1" m="1" x="5379"/>
        <item h="1" m="1" x="6154"/>
        <item h="1" m="1" x="4379"/>
        <item h="1" m="1" x="4371"/>
        <item h="1" m="1" x="6156"/>
        <item h="1" m="1" x="6157"/>
        <item h="1" m="1" x="4730"/>
        <item h="1" m="1" x="6158"/>
        <item h="1" m="1" x="6159"/>
        <item h="1" m="1" x="6160"/>
        <item h="1" m="1" x="4403"/>
        <item h="1" m="1" x="4404"/>
        <item h="1" m="1" x="4402"/>
        <item h="1" m="1" x="6074"/>
        <item h="1" m="1" x="6076"/>
        <item h="1" m="1" x="6075"/>
        <item h="1" m="1" x="723"/>
        <item h="1" m="1" x="6162"/>
        <item h="1" m="1" x="4438"/>
        <item h="1" m="1" x="6163"/>
        <item h="1" m="1" x="6164"/>
        <item h="1" m="1" x="5382"/>
        <item h="1" m="1" x="5383"/>
        <item h="1" m="1" x="4447"/>
        <item h="1" m="1" x="6081"/>
        <item h="1" m="1" x="6165"/>
        <item h="1" m="1" x="6166"/>
        <item h="1" m="1" x="4458"/>
        <item h="1" m="1" x="6167"/>
        <item h="1" m="1" x="2520"/>
        <item h="1" m="1" x="4448"/>
        <item h="1" m="1" x="5943"/>
        <item h="1" m="1" x="5738"/>
        <item h="1" m="1" x="6048"/>
        <item h="1" m="1" x="6049"/>
        <item h="1" m="1" x="5952"/>
        <item h="1" m="1" x="6051"/>
        <item h="1" m="1" x="6055"/>
        <item h="1" m="1" x="5965"/>
        <item h="1" m="1" x="5959"/>
        <item h="1" m="1" x="5742"/>
        <item h="1" x="276"/>
        <item h="1" m="1" x="5961"/>
        <item h="1" m="1" x="5962"/>
        <item h="1" m="1" x="5963"/>
        <item h="1" m="1" x="6059"/>
        <item h="1" m="1" x="6060"/>
        <item h="1" m="1" x="6063"/>
        <item h="1" m="1" x="6064"/>
        <item h="1" m="1" x="6065"/>
        <item h="1" m="1" x="5842"/>
        <item h="1" m="1" x="6068"/>
        <item h="1" m="1" x="6069"/>
        <item h="1" m="1" x="6070"/>
        <item h="1" m="1" x="6071"/>
        <item h="1" m="1" x="6072"/>
        <item h="1" m="1" x="6073"/>
        <item h="1" m="1" x="5457"/>
        <item h="1" m="1" x="6078"/>
        <item h="1" m="1" x="5981"/>
        <item h="1" m="1" x="5982"/>
        <item h="1" m="1" x="3833"/>
        <item h="1" m="1" x="6079"/>
        <item h="1" m="1" x="6082"/>
        <item h="1" m="1" x="5123"/>
        <item h="1" m="1" x="6083"/>
        <item h="1" m="1" x="6084"/>
        <item h="1" m="1" x="5680"/>
        <item h="1" m="1" x="5948"/>
        <item h="1" m="1" x="5944"/>
        <item h="1" m="1" x="5946"/>
        <item h="1" m="1" x="5947"/>
        <item h="1" m="1" x="5832"/>
        <item h="1" m="1" x="6085"/>
        <item h="1" m="1" x="5827"/>
        <item h="1" m="1" x="6086"/>
        <item h="1" m="1" x="6087"/>
        <item h="1" m="1" x="5960"/>
        <item h="1" m="1" x="6088"/>
        <item h="1" m="1" x="6089"/>
        <item h="1" m="1" x="6090"/>
        <item h="1" m="1" x="5970"/>
        <item h="1" m="1" x="5968"/>
        <item h="1" m="1" x="5967"/>
        <item h="1" m="1" x="6091"/>
        <item h="1" m="1" x="6092"/>
        <item h="1" m="1" x="6093"/>
        <item h="1" m="1" x="5974"/>
        <item h="1" m="1" x="5001"/>
        <item h="1" m="1" x="6094"/>
        <item h="1" m="1" x="6095"/>
        <item h="1" m="1" x="6096"/>
        <item h="1" m="1" x="6097"/>
        <item h="1" m="1" x="6098"/>
        <item h="1" m="1" x="6100"/>
        <item h="1" m="1" x="6101"/>
        <item h="1" m="1" x="6102"/>
        <item h="1" m="1" x="6103"/>
        <item h="1" m="1" x="4366"/>
        <item h="1" m="1" x="4429"/>
        <item h="1" m="1" x="2906"/>
        <item h="1" m="1" x="4937"/>
        <item h="1" m="1" x="4938"/>
        <item h="1" m="1" x="6105"/>
        <item h="1" m="1" x="4454"/>
        <item h="1" m="1" x="6106"/>
        <item h="1" m="1" x="5828"/>
        <item h="1" m="1" x="5949"/>
        <item h="1" m="1" x="5950"/>
        <item h="1" m="1" x="5168"/>
        <item h="1" m="1" x="5953"/>
        <item h="1" m="1" x="5954"/>
        <item h="1" m="1" x="5958"/>
        <item h="1" m="1" x="5836"/>
        <item h="1" m="1" x="5750"/>
        <item h="1" m="1" x="5973"/>
        <item h="1" m="1" x="5976"/>
        <item h="1" m="1" x="5977"/>
        <item h="1" m="1" x="4418"/>
        <item h="1" m="1" x="5978"/>
        <item h="1" m="1" x="5979"/>
        <item h="1" m="1" x="5006"/>
        <item h="1" m="1" x="5980"/>
        <item h="1" m="1" x="5846"/>
        <item h="1" m="1" x="5984"/>
        <item h="1" m="1" x="5985"/>
        <item h="1" m="1" x="5986"/>
        <item h="1" m="1" x="5987"/>
        <item h="1" m="1" x="5988"/>
        <item h="1" m="1" x="5990"/>
        <item h="1" m="1" x="5823"/>
        <item h="1" m="1" x="5991"/>
        <item h="1" m="1" x="5992"/>
        <item h="1" m="1" x="5993"/>
        <item h="1" m="1" x="5994"/>
        <item h="1" m="1" x="3867"/>
        <item h="1" m="1" x="2380"/>
        <item h="1" m="1" x="5996"/>
        <item h="1" m="1" x="5997"/>
        <item h="1" m="1" x="6000"/>
        <item h="1" m="1" x="3443"/>
        <item h="1" m="1" x="6001"/>
        <item h="1" m="1" x="6002"/>
        <item h="1" m="1" x="6003"/>
        <item h="1" m="1" x="5746"/>
        <item h="1" m="1" x="5747"/>
        <item h="1" m="1" x="5835"/>
        <item h="1" m="1" x="6004"/>
        <item h="1" m="1" x="6005"/>
        <item h="1" m="1" x="6006"/>
        <item h="1" m="1" x="6007"/>
        <item h="1" m="1" x="6008"/>
        <item h="1" m="1" x="6009"/>
        <item h="1" m="1" x="6010"/>
        <item h="1" m="1" x="6011"/>
        <item h="1" m="1" x="6012"/>
        <item h="1" m="1" x="5843"/>
        <item h="1" m="1" x="6013"/>
        <item h="1" m="1" x="6014"/>
        <item h="1" m="1" x="6015"/>
        <item h="1" m="1" x="6016"/>
        <item h="1" m="1" x="6017"/>
        <item h="1" m="1" x="6018"/>
        <item h="1" m="1" x="6019"/>
        <item h="1" m="1" x="6020"/>
        <item h="1" m="1" x="6021"/>
        <item h="1" m="1" x="6022"/>
        <item h="1" m="1" x="5007"/>
        <item h="1" m="1" x="6023"/>
        <item h="1" m="1" x="6024"/>
        <item h="1" m="1" x="4939"/>
        <item h="1" m="1" x="6025"/>
        <item h="1" m="1" x="6026"/>
        <item h="1" m="1" x="6028"/>
        <item h="1" m="1" x="4224"/>
        <item h="1" m="1" x="5815"/>
        <item h="1" m="1" x="5734"/>
        <item h="1" m="1" x="5825"/>
        <item h="1" m="1" x="5833"/>
        <item h="1" m="1" x="5446"/>
        <item h="1" m="1" x="5740"/>
        <item h="1" m="1" x="5745"/>
        <item h="1" m="1" x="3522"/>
        <item h="1" m="1" x="5838"/>
        <item h="1" m="1" x="5004"/>
        <item h="1" m="1" x="5592"/>
        <item h="1" m="1" x="4347"/>
        <item h="1" m="1" x="4342"/>
        <item h="1" m="1" x="4348"/>
        <item h="1" m="1" x="4352"/>
        <item h="1" m="1" x="4405"/>
        <item h="1" m="1" x="4395"/>
        <item h="1" m="1" x="4393"/>
        <item h="1" m="1" x="4387"/>
        <item h="1" m="1" x="4386"/>
        <item h="1" m="1" x="5593"/>
        <item h="1" m="1" x="5455"/>
        <item h="1" m="1" x="4415"/>
        <item h="1" m="1" x="4412"/>
        <item h="1" m="1" x="5755"/>
        <item h="1" m="1" x="5595"/>
        <item h="1" m="1" x="4354"/>
        <item h="1" m="1" x="4363"/>
        <item h="1" m="1" x="4364"/>
        <item h="1" m="1" x="4382"/>
        <item h="1" m="1" x="4381"/>
        <item h="1" m="1" x="4368"/>
        <item h="1" m="1" x="5594"/>
        <item h="1" m="1" x="4384"/>
        <item h="1" m="1" x="4353"/>
        <item h="1" m="1" x="5376"/>
        <item h="1" m="1" x="5377"/>
        <item h="1" m="1" x="4355"/>
        <item h="1" m="1" x="4421"/>
        <item h="1" m="1" x="4426"/>
        <item h="1" m="1" x="3903"/>
        <item h="1" m="1" x="5380"/>
        <item h="1" m="1" x="4430"/>
        <item h="1" m="1" x="5844"/>
        <item h="1" m="1" x="5085"/>
        <item h="1" m="1" x="5845"/>
        <item h="1" m="1" x="5597"/>
        <item h="1" m="1" x="4439"/>
        <item h="1" m="1" x="4449"/>
        <item h="1" m="1" x="4457"/>
        <item h="1" m="1" x="5759"/>
        <item h="1" m="1" x="5763"/>
        <item h="1" m="1" x="5847"/>
        <item h="1" m="1" x="5848"/>
        <item h="1" m="1" x="5849"/>
        <item h="1" m="1" x="5853"/>
        <item h="1" m="1" x="5854"/>
        <item h="1" m="1" x="5855"/>
        <item h="1" m="1" x="5856"/>
        <item h="1" m="1" x="5857"/>
        <item h="1" m="1" x="5858"/>
        <item h="1" m="1" x="5739"/>
        <item h="1" m="1" x="5861"/>
        <item h="1" m="1" x="5862"/>
        <item h="1" m="1" x="5863"/>
        <item h="1" m="1" x="5864"/>
        <item h="1" m="1" x="5865"/>
        <item h="1" m="1" x="5867"/>
        <item h="1" m="1" x="5868"/>
        <item h="1" m="1" x="5869"/>
        <item h="1" m="1" x="5871"/>
        <item h="1" m="1" x="1134"/>
        <item h="1" m="1" x="5873"/>
        <item h="1" m="1" x="5874"/>
        <item h="1" m="1" x="5741"/>
        <item h="1" m="1" x="5876"/>
        <item h="1" m="1" x="852"/>
        <item h="1" m="1" x="5748"/>
        <item h="1" m="1" x="5877"/>
        <item h="1" m="1" x="5878"/>
        <item h="1" m="1" x="5749"/>
        <item h="1" m="1" x="5879"/>
        <item h="1" m="1" x="758"/>
        <item h="1" m="1" x="5880"/>
        <item h="1" m="1" x="5881"/>
        <item h="1" m="1" x="5882"/>
        <item h="1" m="1" x="5883"/>
        <item h="1" m="1" x="749"/>
        <item h="1" m="1" x="5884"/>
        <item h="1" m="1" x="5885"/>
        <item h="1" m="1" x="5886"/>
        <item h="1" m="1" x="5214"/>
        <item h="1" m="1" x="5752"/>
        <item h="1" m="1" x="5751"/>
        <item h="1" m="1" x="4927"/>
        <item h="1" m="1" x="5887"/>
        <item h="1" m="1" x="5888"/>
        <item h="1" m="1" x="5889"/>
        <item h="1" m="1" x="4369"/>
        <item h="1" m="1" x="4374"/>
        <item h="1" m="1" x="5890"/>
        <item h="1" m="1" x="5891"/>
        <item h="1" m="1" x="4361"/>
        <item h="1" m="1" x="4378"/>
        <item h="1" m="1" x="5892"/>
        <item h="1" m="1" x="5893"/>
        <item h="1" m="1" x="5596"/>
        <item h="1" m="1" x="4407"/>
        <item h="1" m="1" x="5215"/>
        <item h="1" m="1" x="5894"/>
        <item h="1" m="1" x="5895"/>
        <item h="1" m="1" x="5896"/>
        <item h="1" m="1" x="5753"/>
        <item h="1" m="1" x="5897"/>
        <item h="1" m="1" x="5898"/>
        <item h="1" m="1" x="5378"/>
        <item h="1" m="1" x="5899"/>
        <item h="1" m="1" x="4362"/>
        <item h="1" m="1" x="5900"/>
        <item h="1" m="1" x="5901"/>
        <item h="1" m="1" x="5902"/>
        <item h="1" m="1" x="5381"/>
        <item h="1" m="1" x="5903"/>
        <item h="1" m="1" x="5904"/>
        <item h="1" m="1" x="5905"/>
        <item h="1" m="1" x="5458"/>
        <item h="1" m="1" x="3143"/>
        <item h="1" m="1" x="5906"/>
        <item h="1" m="1" x="5907"/>
        <item h="1" m="1" x="2926"/>
        <item h="1" m="1" x="5757"/>
        <item h="1" m="1" x="5758"/>
        <item h="1" m="1" x="5908"/>
        <item h="1" m="1" x="2720"/>
        <item h="1" m="1" x="5909"/>
        <item h="1" m="1" x="5910"/>
        <item h="1" m="1" x="5761"/>
        <item h="1" m="1" x="5762"/>
        <item h="1" m="1" x="1488"/>
        <item h="1" m="1" x="4998"/>
        <item h="1" m="1" x="5157"/>
        <item h="1" m="1" x="5754"/>
        <item h="1" m="1" x="5764"/>
        <item h="1" m="1" x="5766"/>
        <item h="1" m="1" x="5767"/>
        <item h="1" m="1" x="2948"/>
        <item h="1" m="1" x="5769"/>
        <item h="1" m="1" x="5770"/>
        <item h="1" m="1" x="5772"/>
        <item h="1" m="1" x="5773"/>
        <item h="1" m="1" x="2301"/>
        <item h="1" m="1" x="5775"/>
        <item h="1" m="1" x="5776"/>
        <item h="1" m="1" x="5777"/>
        <item h="1" m="1" x="5778"/>
        <item h="1" m="1" x="5779"/>
        <item h="1" m="1" x="5780"/>
        <item h="1" m="1" x="5781"/>
        <item h="1" m="1" x="5374"/>
        <item h="1" m="1" x="5782"/>
        <item h="1" m="1" x="5783"/>
        <item h="1" m="1" x="5784"/>
        <item h="1" m="1" x="5785"/>
        <item h="1" m="1" x="5786"/>
        <item h="1" m="1" x="5787"/>
        <item h="1" m="1" x="5788"/>
        <item h="1" m="1" x="5789"/>
        <item h="1" m="1" x="5791"/>
        <item h="1" m="1" x="5650"/>
        <item h="1" m="1" x="5792"/>
        <item h="1" m="1" x="4932"/>
        <item h="1" m="1" x="5793"/>
        <item h="1" m="1" x="5794"/>
        <item h="1" m="1" x="5796"/>
        <item h="1" m="1" x="4398"/>
        <item h="1" m="1" x="5797"/>
        <item h="1" m="1" x="5798"/>
        <item h="1" m="1" x="5800"/>
        <item h="1" m="1" x="5676"/>
        <item h="1" m="1" x="5678"/>
        <item h="1" m="1" x="5801"/>
        <item h="1" m="1" x="5802"/>
        <item h="1" m="1" x="4432"/>
        <item h="1" m="1" x="4434"/>
        <item h="1" m="1" x="511"/>
        <item h="1" m="1" x="5805"/>
        <item h="1" m="1" x="5806"/>
        <item h="1" m="1" x="5807"/>
        <item h="1" m="1" x="5808"/>
        <item h="1" m="1" x="5809"/>
        <item h="1" m="1" x="4934"/>
        <item h="1" m="1" x="5810"/>
        <item h="1" m="1" x="5679"/>
        <item h="1" m="1" x="5811"/>
        <item h="1" m="1" x="5812"/>
        <item h="1" m="1" x="5813"/>
        <item h="1" m="1" x="5580"/>
        <item h="1" m="1" x="5671"/>
        <item h="1" m="1" x="5583"/>
        <item h="1" m="1" x="5674"/>
        <item h="1" m="1" x="4329"/>
        <item h="1" m="1" x="4328"/>
        <item h="1" m="1" x="4330"/>
        <item h="1" m="1" x="3728"/>
        <item h="1" m="1" x="4930"/>
        <item h="1" m="1" x="4414"/>
        <item h="1" m="1" x="5677"/>
        <item h="1" m="1" x="5598"/>
        <item h="1" m="1" x="5599"/>
        <item h="1" m="1" x="5600"/>
        <item h="1" m="1" x="5681"/>
        <item h="1" m="1" x="3883"/>
        <item h="1" m="1" x="5603"/>
        <item h="1" m="1" x="5604"/>
        <item h="1" m="1" x="5230"/>
        <item h="1" m="1" x="5466"/>
        <item h="1" m="1" x="5467"/>
        <item h="1" m="1" x="5468"/>
        <item h="1" m="1" x="5325"/>
        <item h="1" m="1" x="5682"/>
        <item h="1" m="1" x="5158"/>
        <item h="1" m="1" x="5441"/>
        <item h="1" m="1" x="5683"/>
        <item h="1" m="1" x="5442"/>
        <item h="1" m="1" x="5684"/>
        <item h="1" m="1" x="5372"/>
        <item h="1" m="1" x="5371"/>
        <item h="1" m="1" x="5476"/>
        <item h="1" m="1" x="5443"/>
        <item h="1" m="1" x="5591"/>
        <item h="1" m="1" x="5488"/>
        <item h="1" m="1" x="5686"/>
        <item h="1" m="1" x="5373"/>
        <item h="1" m="1" x="5687"/>
        <item h="1" m="1" x="5609"/>
        <item h="1" m="1" x="5614"/>
        <item h="1" m="1" x="5448"/>
        <item h="1" m="1" x="1217"/>
        <item h="1" m="1" x="5445"/>
        <item h="1" m="1" x="5444"/>
        <item h="1" m="1" x="5480"/>
        <item h="1" m="1" x="5450"/>
        <item h="1" m="1" x="1190"/>
        <item h="1" m="1" x="5447"/>
        <item h="1" m="1" x="5451"/>
        <item h="1" m="1" x="5689"/>
        <item h="1" m="1" x="5690"/>
        <item h="1" m="1" x="5452"/>
        <item h="1" m="1" x="5615"/>
        <item h="1" m="1" x="5616"/>
        <item h="1" m="1" x="5617"/>
        <item h="1" m="1" x="5502"/>
        <item h="1" m="1" x="5504"/>
        <item h="1" m="1" x="5691"/>
        <item h="1" m="1" x="5630"/>
        <item h="1" m="1" x="4020"/>
        <item h="1" m="1" x="5692"/>
        <item h="1" m="1" x="5693"/>
        <item h="1" m="1" x="5629"/>
        <item h="1" m="1" x="3914"/>
        <item h="1" m="1" x="5514"/>
        <item h="1" m="1" x="5519"/>
        <item h="1" m="1" x="5453"/>
        <item h="1" m="1" x="5522"/>
        <item h="1" m="1" x="5534"/>
        <item h="1" m="1" x="5535"/>
        <item h="1" m="1" x="5694"/>
        <item h="1" m="1" x="5454"/>
        <item h="1" m="1" x="5646"/>
        <item h="1" m="1" x="4740"/>
        <item h="1" m="1" x="5542"/>
        <item h="1" m="1" x="5697"/>
        <item h="1" m="1" x="5698"/>
        <item h="1" m="1" x="4322"/>
        <item h="1" m="1" x="4323"/>
        <item h="1" m="1" x="5699"/>
        <item h="1" m="1" x="5701"/>
        <item h="1" m="1" x="5702"/>
        <item h="1" m="1" x="5703"/>
        <item h="1" m="1" x="5704"/>
        <item h="1" m="1" x="1556"/>
        <item h="1" m="1" x="5705"/>
        <item h="1" m="1" x="5003"/>
        <item h="1" m="1" x="5005"/>
        <item h="1" m="1" x="4647"/>
        <item h="1" m="1" x="5706"/>
        <item h="1" m="1" x="5707"/>
        <item h="1" m="1" x="5708"/>
        <item h="1" m="1" x="5709"/>
        <item h="1" m="1" x="5659"/>
        <item h="1" m="1" x="5710"/>
        <item h="1" m="1" x="4928"/>
        <item h="1" m="1" x="5711"/>
        <item h="1" m="1" x="4931"/>
        <item h="1" m="1" x="4929"/>
        <item h="1" m="1" x="1811"/>
        <item h="1" m="1" x="5712"/>
        <item h="1" m="1" x="5713"/>
        <item h="1" m="1" x="5714"/>
        <item h="1" m="1" x="5715"/>
        <item h="1" m="1" x="5716"/>
        <item h="1" m="1" x="5717"/>
        <item h="1" m="1" x="5574"/>
        <item h="1" m="1" x="5575"/>
        <item h="1" m="1" x="4435"/>
        <item h="1" m="1" x="2035"/>
        <item h="1" m="1" x="5008"/>
        <item h="1" m="1" x="4941"/>
        <item h="1" m="1" x="4935"/>
        <item h="1" m="1" x="4936"/>
        <item h="1" m="1" x="5718"/>
        <item h="1" m="1" x="4933"/>
        <item h="1" m="1" x="5719"/>
        <item h="1" m="1" x="5720"/>
        <item h="1" m="1" x="5721"/>
        <item h="1" m="1" x="4467"/>
        <item h="1" m="1" x="5668"/>
        <item h="1" m="1" x="2514"/>
        <item h="1" m="1" x="4376"/>
        <item h="1" m="1" x="4377"/>
        <item h="1" m="1" x="5440"/>
        <item h="1" m="1" x="5456"/>
        <item h="1" m="1" x="5601"/>
        <item h="1" m="1" x="5602"/>
        <item h="1" m="1" x="5605"/>
        <item h="1" m="1" x="4482"/>
        <item h="1" m="1" x="5606"/>
        <item h="1" m="1" x="5607"/>
        <item h="1" m="1" x="5608"/>
        <item h="1" m="1" x="5390"/>
        <item h="1" m="1" x="5472"/>
        <item h="1" m="1" x="5473"/>
        <item h="1" m="1" x="5342"/>
        <item h="1" x="89"/>
        <item h="1" m="1" x="5610"/>
        <item h="1" m="1" x="5611"/>
        <item h="1" m="1" x="5612"/>
        <item h="1" m="1" x="4563"/>
        <item h="1" m="1" x="5489"/>
        <item h="1" m="1" x="5479"/>
        <item h="1" m="1" x="5486"/>
        <item h="1" m="1" x="4869"/>
        <item h="1" m="1" x="5491"/>
        <item h="1" m="1" x="5618"/>
        <item h="1" m="1" x="5619"/>
        <item h="1" m="1" x="5620"/>
        <item h="1" m="1" x="5621"/>
        <item h="1" m="1" x="5622"/>
        <item h="1" m="1" x="5623"/>
        <item h="1" m="1" x="5624"/>
        <item h="1" m="1" x="5625"/>
        <item h="1" m="1" x="5626"/>
        <item h="1" m="1" x="5505"/>
        <item h="1" m="1" x="5627"/>
        <item h="1" m="1" x="5503"/>
        <item h="1" m="1" x="5631"/>
        <item h="1" m="1" x="5509"/>
        <item h="1" m="1" x="5632"/>
        <item h="1" m="1" x="4596"/>
        <item h="1" m="1" x="5633"/>
        <item h="1" m="1" x="5515"/>
        <item h="1" m="1" x="5405"/>
        <item h="1" m="1" x="5634"/>
        <item h="1" m="1" x="5520"/>
        <item h="1" m="1" x="5521"/>
        <item h="1" m="1" x="5523"/>
        <item h="1" m="1" x="5524"/>
        <item h="1" m="1" x="5536"/>
        <item h="1" m="1" x="5636"/>
        <item h="1" m="1" x="5637"/>
        <item h="1" m="1" x="5638"/>
        <item h="1" m="1" x="5639"/>
        <item h="1" m="1" x="5640"/>
        <item h="1" m="1" x="5641"/>
        <item h="1" m="1" x="5642"/>
        <item h="1" m="1" x="5643"/>
        <item h="1" x="393"/>
        <item h="1" m="1" x="5644"/>
        <item h="1" m="1" x="2930"/>
        <item h="1" m="1" x="5645"/>
        <item h="1" m="1" x="5647"/>
        <item h="1" m="1" x="5648"/>
        <item h="1" m="1" x="5540"/>
        <item h="1" m="1" x="5541"/>
        <item h="1" m="1" x="5543"/>
        <item h="1" m="1" x="5544"/>
        <item h="1" m="1" x="5545"/>
        <item h="1" m="1" x="5546"/>
        <item h="1" m="1" x="5547"/>
        <item h="1" m="1" x="5552"/>
        <item h="1" m="1" x="5550"/>
        <item h="1" m="1" x="5239"/>
        <item h="1" m="1" x="1708"/>
        <item h="1" m="1" x="1720"/>
        <item h="1" m="1" x="4646"/>
        <item h="1" m="1" x="5558"/>
        <item h="1" m="1" x="1061"/>
        <item h="1" m="1" x="1778"/>
        <item h="1" m="1" x="1777"/>
        <item h="1" m="1" x="1776"/>
        <item h="1" m="1" x="5651"/>
        <item h="1" m="1" x="5652"/>
        <item h="1" m="1" x="5653"/>
        <item h="1" m="1" x="5654"/>
        <item h="1" m="1" x="5655"/>
        <item h="1" m="1" x="5656"/>
        <item h="1" m="1" x="5658"/>
        <item h="1" m="1" x="4462"/>
        <item h="1" m="1" x="5660"/>
        <item h="1" m="1" x="5661"/>
        <item h="1" m="1" x="5662"/>
        <item h="1" m="1" x="5663"/>
        <item h="1" m="1" x="5664"/>
        <item h="1" m="1" x="5665"/>
        <item h="1" m="1" x="5250"/>
        <item h="1" m="1" x="5666"/>
        <item h="1" m="1" x="5256"/>
        <item h="1" m="1" x="5667"/>
        <item h="1" m="1" x="5182"/>
        <item h="1" m="1" x="5217"/>
        <item h="1" m="1" x="5462"/>
        <item h="1" m="1" x="5463"/>
        <item h="1" m="1" x="802"/>
        <item h="1" m="1" x="5464"/>
        <item h="1" m="1" x="5465"/>
        <item h="1" m="1" x="5471"/>
        <item h="1" m="1" x="4732"/>
        <item h="1" m="1" x="4733"/>
        <item h="1" m="1" x="4734"/>
        <item h="1" m="1" x="5474"/>
        <item h="1" m="1" x="4735"/>
        <item h="1" m="1" x="4102"/>
        <item h="1" m="1" x="4736"/>
        <item h="1" m="1" x="5475"/>
        <item h="1" m="1" x="5324"/>
        <item h="1" m="1" x="3861"/>
        <item h="1" m="1" x="5218"/>
        <item h="1" m="1" x="5328"/>
        <item h="1" m="1" x="5477"/>
        <item h="1" m="1" x="5481"/>
        <item h="1" m="1" x="5482"/>
        <item h="1" m="1" x="5483"/>
        <item h="1" m="1" x="5484"/>
        <item h="1" m="1" x="5485"/>
        <item h="1" m="1" x="5492"/>
        <item h="1" m="1" x="5493"/>
        <item h="1" m="1" x="5494"/>
        <item h="1" m="1" x="5495"/>
        <item h="1" m="1" x="5496"/>
        <item h="1" m="1" x="5497"/>
        <item h="1" m="1" x="5498"/>
        <item h="1" m="1" x="5499"/>
        <item h="1" m="1" x="5500"/>
        <item h="1" m="1" x="5501"/>
        <item h="1" m="1" x="5506"/>
        <item h="1" m="1" x="5507"/>
        <item h="1" m="1" x="5508"/>
        <item h="1" m="1" x="5511"/>
        <item h="1" m="1" x="5512"/>
        <item h="1" m="1" x="5513"/>
        <item h="1" m="1" x="5516"/>
        <item h="1" m="1" x="5517"/>
        <item h="1" m="1" x="5518"/>
        <item h="1" m="1" x="5335"/>
        <item h="1" m="1" x="5526"/>
        <item h="1" m="1" x="5060"/>
        <item h="1" m="1" x="5527"/>
        <item h="1" m="1" x="5528"/>
        <item h="1" m="1" x="5529"/>
        <item h="1" m="1" x="5530"/>
        <item h="1" m="1" x="5297"/>
        <item h="1" m="1" x="5531"/>
        <item h="1" m="1" x="5023"/>
        <item h="1" m="1" x="5532"/>
        <item h="1" m="1" x="5024"/>
        <item h="1" m="1" x="5070"/>
        <item h="1" m="1" x="5413"/>
        <item h="1" m="1" x="4766"/>
        <item h="1" m="1" x="5243"/>
        <item h="1" m="1" x="5537"/>
        <item h="1" m="1" x="5400"/>
        <item h="1" m="1" x="5538"/>
        <item h="1" m="1" x="5539"/>
        <item h="1" m="1" x="5548"/>
        <item h="1" m="1" x="5549"/>
        <item h="1" m="1" x="5033"/>
        <item h="1" m="1" x="1844"/>
        <item h="1" m="1" x="5240"/>
        <item h="1" m="1" x="2597"/>
        <item h="1" m="1" x="2598"/>
        <item h="1" m="1" x="5551"/>
        <item h="1" m="1" x="1305"/>
        <item h="1" m="1" x="5553"/>
        <item h="1" m="1" x="5554"/>
        <item h="1" m="1" x="5030"/>
        <item h="1" m="1" x="5555"/>
        <item h="1" m="1" x="5556"/>
        <item h="1" m="1" x="5557"/>
        <item h="1" m="1" x="5559"/>
        <item h="1" m="1" x="5560"/>
        <item h="1" m="1" x="5561"/>
        <item h="1" m="1" x="5562"/>
        <item h="1" m="1" x="5564"/>
        <item h="1" m="1" x="1739"/>
        <item h="1" m="1" x="5565"/>
        <item h="1" m="1" x="4201"/>
        <item h="1" m="1" x="1903"/>
        <item h="1" m="1" x="5566"/>
        <item h="1" m="1" x="5567"/>
        <item h="1" m="1" x="5568"/>
        <item h="1" m="1" x="2611"/>
        <item h="1" m="1" x="5569"/>
        <item h="1" m="1" x="5570"/>
        <item h="1" m="1" x="1697"/>
        <item h="1" m="1" x="5571"/>
        <item h="1" m="1" x="5572"/>
        <item h="1" m="1" x="5576"/>
        <item h="1" m="1" x="5174"/>
        <item h="1" m="1" x="5577"/>
        <item h="1" m="1" x="5578"/>
        <item h="1" m="1" x="5438"/>
        <item h="1" m="1" x="5579"/>
        <item h="1" m="1" x="5012"/>
        <item h="1" m="1" x="4389"/>
        <item h="1" m="1" x="5385"/>
        <item h="1" m="1" x="2685"/>
        <item h="1" m="1" x="5326"/>
        <item h="1" m="1" x="4731"/>
        <item h="1" m="1" x="5386"/>
        <item h="1" m="1" x="5388"/>
        <item h="1" m="1" x="5389"/>
        <item h="1" m="1" x="5391"/>
        <item h="1" m="1" x="5392"/>
        <item h="1" m="1" x="5394"/>
        <item h="1" m="1" x="5331"/>
        <item h="1" m="1" x="5395"/>
        <item h="1" m="1" x="5330"/>
        <item h="1" m="1" x="5396"/>
        <item h="1" m="1" x="5227"/>
        <item h="1" m="1" x="5397"/>
        <item h="1" m="1" x="5398"/>
        <item h="1" m="1" x="476"/>
        <item h="1" m="1" x="5333"/>
        <item h="1" m="1" x="5399"/>
        <item h="1" m="1" x="5401"/>
        <item h="1" m="1" x="5167"/>
        <item h="1" m="1" x="5402"/>
        <item h="1" m="1" x="5403"/>
        <item h="1" m="1" x="5404"/>
        <item h="1" m="1" x="5406"/>
        <item h="1" m="1" x="4666"/>
        <item h="1" m="1" x="5407"/>
        <item h="1" m="1" x="3918"/>
        <item h="1" m="1" x="5409"/>
        <item h="1" m="1" x="5410"/>
        <item h="1" m="1" x="5411"/>
        <item h="1" m="1" x="4813"/>
        <item h="1" m="1" x="5412"/>
        <item h="1" m="1" x="5414"/>
        <item h="1" m="1" x="5415"/>
        <item h="1" m="1" x="5416"/>
        <item h="1" m="1" x="5417"/>
        <item h="1" m="1" x="5418"/>
        <item h="1" m="1" x="5419"/>
        <item h="1" m="1" x="4739"/>
        <item h="1" m="1" x="5420"/>
        <item h="1" m="1" x="5236"/>
        <item h="1" m="1" x="5237"/>
        <item h="1" m="1" x="5238"/>
        <item h="1" m="1" x="5421"/>
        <item h="1" m="1" x="1781"/>
        <item h="1" m="1" x="1779"/>
        <item h="1" m="1" x="5422"/>
        <item h="1" m="1" x="5423"/>
        <item h="1" m="1" x="5424"/>
        <item h="1" m="1" x="5425"/>
        <item h="1" m="1" x="1848"/>
        <item h="1" m="1" x="1780"/>
        <item h="1" m="1" x="1590"/>
        <item h="1" m="1" x="5427"/>
        <item h="1" m="1" x="5428"/>
        <item h="1" m="1" x="5337"/>
        <item h="1" m="1" x="5338"/>
        <item h="1" m="1" x="5430"/>
        <item h="1" m="1" x="5180"/>
        <item h="1" m="1" x="5431"/>
        <item h="1" m="1" x="5247"/>
        <item h="1" m="1" x="5245"/>
        <item h="1" m="1" x="5246"/>
        <item h="1" m="1" x="5432"/>
        <item h="1" m="1" x="5433"/>
        <item h="1" m="1" x="5434"/>
        <item h="1" m="1" x="5435"/>
        <item h="1" m="1" x="4958"/>
        <item h="1" m="1" x="5179"/>
        <item h="1" m="1" x="5249"/>
        <item h="1" m="1" x="5437"/>
        <item h="1" m="1" x="5439"/>
        <item h="1" m="1" x="5097"/>
        <item h="1" m="1" x="5327"/>
        <item h="1" m="1" x="5224"/>
        <item h="1" m="1" x="5329"/>
        <item h="1" m="1" x="5220"/>
        <item h="1" m="1" x="4811"/>
        <item h="1" m="1" x="5221"/>
        <item h="1" m="1" x="5226"/>
        <item h="1" m="1" x="5223"/>
        <item h="1" m="1" x="5228"/>
        <item h="1" m="1" x="5102"/>
        <item h="1" m="1" x="5163"/>
        <item h="1" m="1" x="5164"/>
        <item h="1" m="1" x="5332"/>
        <item h="1" m="1" x="5334"/>
        <item h="1" m="1" x="4581"/>
        <item h="1" m="1" x="525"/>
        <item h="1" m="1" x="4622"/>
        <item h="1" m="1" x="5231"/>
        <item h="1" m="1" x="5255"/>
        <item h="1" m="1" x="4668"/>
        <item h="1" m="1" x="5233"/>
        <item h="1" m="1" x="5234"/>
        <item h="1" m="1" x="1939"/>
        <item h="1" m="1" x="5235"/>
        <item h="1" m="1" x="5108"/>
        <item h="1" m="1" x="4199"/>
        <item h="1" m="1" x="1849"/>
        <item h="1" m="1" x="2476"/>
        <item h="1" m="1" x="1818"/>
        <item h="1" m="1" x="5173"/>
        <item h="1" m="1" x="5242"/>
        <item h="1" m="1" x="5175"/>
        <item h="1" m="1" x="4954"/>
        <item h="1" m="1" x="5111"/>
        <item h="1" m="1" x="4142"/>
        <item h="1" m="1" x="5254"/>
        <item h="1" m="1" x="5248"/>
        <item h="1" m="1" x="4815"/>
        <item h="1" m="1" x="5339"/>
        <item h="1" m="1" x="5037"/>
        <item h="1" m="1" x="5340"/>
        <item h="1" m="1" x="5127"/>
        <item h="1" m="1" x="5261"/>
        <item h="1" m="1" x="5264"/>
        <item h="1" m="1" x="5014"/>
        <item h="1" m="1" x="5341"/>
        <item h="1" m="1" x="4138"/>
        <item h="1" m="1" x="5162"/>
        <item h="1" m="1" x="5343"/>
        <item h="1" m="1" x="5344"/>
        <item h="1" m="1" x="5101"/>
        <item h="1" m="1" x="5225"/>
        <item h="1" m="1" x="5293"/>
        <item h="1" m="1" x="5257"/>
        <item h="1" m="1" x="5229"/>
        <item h="1" m="1" x="5169"/>
        <item h="1" m="1" x="4667"/>
        <item h="1" m="1" x="2189"/>
        <item h="1" m="1" x="5296"/>
        <item h="1" m="1" x="2974"/>
        <item h="1" x="250"/>
        <item h="1" m="1" x="5171"/>
        <item h="1" m="1" x="3789"/>
        <item h="1" m="1" x="4639"/>
        <item h="1" m="1" x="5305"/>
        <item h="1" m="1" x="5304"/>
        <item h="1" m="1" x="4144"/>
        <item h="1" m="1" x="3995"/>
        <item h="1" m="1" x="5345"/>
        <item h="1" m="1" x="5346"/>
        <item h="1" m="1" x="5347"/>
        <item h="1" m="1" x="5348"/>
        <item h="1" m="1" x="5349"/>
        <item h="1" m="1" x="4946"/>
        <item h="1" m="1" x="5350"/>
        <item h="1" m="1" x="4003"/>
        <item h="1" m="1" x="4443"/>
        <item h="1" m="1" x="5251"/>
        <item h="1" m="1" x="5252"/>
        <item h="1" m="1" x="5253"/>
        <item h="1" m="1" x="5351"/>
        <item h="1" m="1" x="5352"/>
        <item h="1" m="1" x="5318"/>
        <item h="1" m="1" x="5353"/>
        <item h="1" m="1" x="5354"/>
        <item h="1" m="1" x="4955"/>
        <item h="1" m="1" x="4956"/>
        <item h="1" m="1" x="5355"/>
        <item h="1" m="1" x="5260"/>
        <item h="1" m="1" x="5244"/>
        <item h="1" m="1" x="5038"/>
        <item h="1" m="1" x="5216"/>
        <item h="1" m="1" x="4621"/>
        <item h="1" m="1" x="3998"/>
        <item h="1" m="1" x="5118"/>
        <item h="1" m="1" x="5275"/>
        <item h="1" m="1" x="5263"/>
        <item h="1" m="1" x="4474"/>
        <item h="1" m="1" x="5267"/>
        <item h="1" m="1" x="5268"/>
        <item h="1" m="1" x="5269"/>
        <item h="1" m="1" x="4944"/>
        <item h="1" m="1" x="5271"/>
        <item h="1" m="1" x="4174"/>
        <item h="1" m="1" x="4242"/>
        <item h="1" m="1" x="5273"/>
        <item h="1" m="1" x="5274"/>
        <item h="1" m="1" x="5295"/>
        <item h="1" m="1" x="5278"/>
        <item h="1" m="1" x="5279"/>
        <item h="1" m="1" x="5280"/>
        <item h="1" m="1" x="5281"/>
        <item h="1" m="1" x="4665"/>
        <item h="1" m="1" x="5283"/>
        <item h="1" m="1" x="5284"/>
        <item h="1" m="1" x="5165"/>
        <item h="1" m="1" x="5285"/>
        <item h="1" m="1" x="5286"/>
        <item h="1" m="1" x="5287"/>
        <item h="1" m="1" x="5290"/>
        <item h="1" m="1" x="5291"/>
        <item h="1" m="1" x="5166"/>
        <item h="1" m="1" x="4595"/>
        <item h="1" m="1" x="5190"/>
        <item h="1" m="1" x="5292"/>
        <item h="1" m="1" x="5194"/>
        <item h="1" m="1" x="5294"/>
        <item h="1" m="1" x="5298"/>
        <item h="1" m="1" x="1931"/>
        <item h="1" m="1" x="5299"/>
        <item h="1" m="1" x="5300"/>
        <item h="1" m="1" x="5301"/>
        <item h="1" m="1" x="2033"/>
        <item h="1" m="1" x="5170"/>
        <item h="1" m="1" x="5303"/>
        <item h="1" m="1" x="5104"/>
        <item h="1" m="1" x="5306"/>
        <item h="1" m="1" x="5307"/>
        <item h="1" m="1" x="4814"/>
        <item h="1" m="1" x="5308"/>
        <item h="1" m="1" x="5031"/>
        <item h="1" m="1" x="5309"/>
        <item h="1" m="1" x="5310"/>
        <item h="1" m="1" x="5311"/>
        <item h="1" m="1" x="4948"/>
        <item h="1" m="1" x="5313"/>
        <item h="1" m="1" x="5314"/>
        <item h="1" m="1" x="4146"/>
        <item h="1" m="1" x="5106"/>
        <item h="1" m="1" x="5107"/>
        <item h="1" m="1" x="5315"/>
        <item h="1" m="1" x="5172"/>
        <item h="1" m="1" x="5316"/>
        <item h="1" m="1" x="1905"/>
        <item h="1" m="1" x="1721"/>
        <item h="1" m="1" x="5109"/>
        <item h="1" m="1" x="5317"/>
        <item h="1" m="1" x="5176"/>
        <item h="1" m="1" x="5177"/>
        <item h="1" m="1" x="5319"/>
        <item h="1" m="1" x="5178"/>
        <item h="1" m="1" x="5320"/>
        <item h="1" m="1" x="5113"/>
        <item h="1" m="1" x="5114"/>
        <item h="1" m="1" x="5120"/>
        <item h="1" m="1" x="5122"/>
        <item h="1" m="1" x="5321"/>
        <item h="1" m="1" x="5181"/>
        <item h="1" m="1" x="2899"/>
        <item h="1" m="1" x="5184"/>
        <item h="1" m="1" x="5183"/>
        <item h="1" m="1" x="5155"/>
        <item h="1" m="1" x="5185"/>
        <item h="1" m="1" x="5186"/>
        <item h="1" m="1" x="5187"/>
        <item h="1" m="1" x="5188"/>
        <item h="1" m="1" x="4479"/>
        <item h="1" m="1" x="4480"/>
        <item h="1" m="1" x="5098"/>
        <item h="1" m="1" x="5099"/>
        <item h="1" m="1" x="5100"/>
        <item h="1" m="1" x="1676"/>
        <item h="1" m="1" x="4582"/>
        <item h="1" m="1" x="5191"/>
        <item h="1" m="1" x="5013"/>
        <item h="1" m="1" x="5192"/>
        <item h="1" m="1" x="5193"/>
        <item h="1" m="1" x="3923"/>
        <item h="1" m="1" x="5195"/>
        <item h="1" m="1" x="5196"/>
        <item h="1" m="1" x="4755"/>
        <item h="1" m="1" x="5197"/>
        <item h="1" m="1" x="4767"/>
        <item h="1" m="1" x="1828"/>
        <item h="1" m="1" x="4764"/>
        <item h="1" m="1" x="4765"/>
        <item h="1" m="1" x="5105"/>
        <item h="1" m="1" x="1957"/>
        <item h="1" m="1" x="2649"/>
        <item h="1" m="1" x="5025"/>
        <item h="1" m="1" x="5029"/>
        <item h="1" m="1" x="5027"/>
        <item h="1" m="1" x="5028"/>
        <item h="1" m="1" x="3475"/>
        <item h="1" m="1" x="5026"/>
        <item h="1" m="1" x="5198"/>
        <item h="1" m="1" x="5199"/>
        <item h="1" m="1" x="5200"/>
        <item h="1" m="1" x="5201"/>
        <item h="1" m="1" x="5202"/>
        <item h="1" m="1" x="4951"/>
        <item h="1" m="1" x="4949"/>
        <item h="1" m="1" x="5203"/>
        <item h="1" m="1" x="5204"/>
        <item h="1" m="1" x="5205"/>
        <item h="1" m="1" x="3133"/>
        <item h="1" m="1" x="5206"/>
        <item h="1" m="1" x="5207"/>
        <item h="1" m="1" x="5208"/>
        <item h="1" m="1" x="5110"/>
        <item h="1" m="1" x="2863"/>
        <item h="1" m="1" x="5115"/>
        <item h="1" m="1" x="5116"/>
        <item h="1" m="1" x="4957"/>
        <item h="1" m="1" x="4960"/>
        <item h="1" m="1" x="4961"/>
        <item h="1" m="1" x="5209"/>
        <item h="1" m="1" x="5210"/>
        <item h="1" m="1" x="5211"/>
        <item h="1" m="1" x="5212"/>
        <item h="1" m="1" x="4959"/>
        <item h="1" m="1" x="5036"/>
        <item h="1" m="1" x="5117"/>
        <item h="1" m="1" x="5119"/>
        <item h="1" m="1" x="5125"/>
        <item h="1" m="1" x="5126"/>
        <item h="1" m="1" x="2843"/>
        <item h="1" m="1" x="2430"/>
        <item h="1" m="1" x="4546"/>
        <item h="1" m="1" x="5130"/>
        <item h="1" m="1" x="3756"/>
        <item h="1" m="1" x="3755"/>
        <item h="1" m="1" x="5121"/>
        <item h="1" m="1" x="5010"/>
        <item h="1" m="1" x="5011"/>
        <item h="1" m="1" x="5009"/>
        <item h="1" m="1" x="5132"/>
        <item h="1" m="1" x="5133"/>
        <item h="1" m="1" x="4760"/>
        <item h="1" m="1" x="5135"/>
        <item h="1" m="1" x="4837"/>
        <item h="1" m="1" x="4838"/>
        <item h="1" m="1" x="3910"/>
        <item h="1" m="1" x="5136"/>
        <item h="1" m="1" x="3165"/>
        <item h="1" m="1" x="2526"/>
        <item h="1" m="1" x="5018"/>
        <item h="1" m="1" x="5019"/>
        <item h="1" m="1" x="5020"/>
        <item h="1" m="1" x="5021"/>
        <item h="1" m="1" x="5022"/>
        <item h="1" m="1" x="2416"/>
        <item h="1" m="1" x="5016"/>
        <item h="1" m="1" x="5017"/>
        <item h="1" m="1" x="4756"/>
        <item h="1" m="1" x="5058"/>
        <item h="1" m="1" x="4768"/>
        <item h="1" x="249"/>
        <item h="1" x="395"/>
        <item h="1" m="1" x="4771"/>
        <item h="1" m="1" x="4770"/>
        <item h="1" m="1" x="4769"/>
        <item h="1" m="1" x="5069"/>
        <item h="1" m="1" x="1239"/>
        <item h="1" m="1" x="4638"/>
        <item h="1" m="1" x="5092"/>
        <item h="1" m="1" x="5093"/>
        <item h="1" m="1" x="4846"/>
        <item h="1" m="1" x="5139"/>
        <item h="1" m="1" x="1950"/>
        <item h="1" m="1" x="5140"/>
        <item h="1" m="1" x="5141"/>
        <item h="1" m="1" x="5032"/>
        <item h="1" m="1" x="4947"/>
        <item h="1" m="1" x="5142"/>
        <item h="1" m="1" x="3023"/>
        <item h="1" m="1" x="5143"/>
        <item h="1" m="1" x="4147"/>
        <item h="1" m="1" x="5144"/>
        <item h="1" m="1" x="5145"/>
        <item h="1" m="1" x="5146"/>
        <item h="1" m="1" x="5147"/>
        <item h="1" m="1" x="5148"/>
        <item h="1" m="1" x="5149"/>
        <item h="1" m="1" x="5150"/>
        <item h="1" m="1" x="5151"/>
        <item h="1" m="1" x="5152"/>
        <item h="1" m="1" x="5034"/>
        <item h="1" m="1" x="5153"/>
        <item h="1" m="1" x="5154"/>
        <item h="1" m="1" x="1743"/>
        <item h="1" m="1" x="1380"/>
        <item h="1" m="1" x="4168"/>
        <item h="1" m="1" x="1666"/>
        <item h="1" m="1" x="5039"/>
        <item h="1" m="1" x="4672"/>
        <item h="1" m="1" x="5040"/>
        <item h="1" m="1" x="5041"/>
        <item h="1" m="1" x="4673"/>
        <item h="1" m="1" x="4741"/>
        <item h="1" m="1" x="4943"/>
        <item h="1" m="1" x="5043"/>
        <item h="1" m="1" x="5044"/>
        <item h="1" m="1" x="3866"/>
        <item h="1" m="1" x="4743"/>
        <item h="1" m="1" x="5046"/>
        <item h="1" m="1" x="5048"/>
        <item h="1" m="1" x="5049"/>
        <item h="1" m="1" x="1961"/>
        <item h="1" m="1" x="2315"/>
        <item h="1" m="1" x="4833"/>
        <item h="1" m="1" x="4834"/>
        <item h="1" m="1" x="4836"/>
        <item h="1" m="1" x="4945"/>
        <item h="1" m="1" x="4758"/>
        <item h="1" m="1" x="5050"/>
        <item h="1" m="1" x="5051"/>
        <item h="1" m="1" x="2789"/>
        <item h="1" m="1" x="5052"/>
        <item h="1" m="1" x="5053"/>
        <item h="1" m="1" x="4842"/>
        <item h="1" m="1" x="2689"/>
        <item h="1" m="1" x="5056"/>
        <item h="1" m="1" x="5057"/>
        <item h="1" m="1" x="5059"/>
        <item h="1" m="1" x="5061"/>
        <item h="1" m="1" x="5062"/>
        <item h="1" m="1" x="5063"/>
        <item h="1" m="1" x="5064"/>
        <item h="1" m="1" x="3630"/>
        <item h="1" m="1" x="5066"/>
        <item h="1" m="1" x="5067"/>
        <item h="1" m="1" x="4625"/>
        <item h="1" m="1" x="5068"/>
        <item h="1" m="1" x="3153"/>
        <item h="1" m="1" x="5071"/>
        <item h="1" m="1" x="5072"/>
        <item h="1" m="1" x="5073"/>
        <item h="1" m="1" x="5074"/>
        <item h="1" m="1" x="5075"/>
        <item h="1" m="1" x="5076"/>
        <item h="1" m="1" x="5077"/>
        <item h="1" m="1" x="5078"/>
        <item h="1" m="1" x="4690"/>
        <item h="1" m="1" x="4691"/>
        <item h="1" m="1" x="5079"/>
        <item h="1" m="1" x="1706"/>
        <item h="1" m="1" x="5080"/>
        <item h="1" m="1" x="5081"/>
        <item h="1" m="1" x="1785"/>
        <item h="1" m="1" x="1763"/>
        <item h="1" m="1" x="4986"/>
        <item h="1" m="1" x="4982"/>
        <item h="1" m="1" x="4207"/>
        <item h="1" m="1" x="5082"/>
        <item h="1" m="1" x="5083"/>
        <item h="1" m="1" x="4200"/>
        <item h="1" m="1" x="5084"/>
        <item h="1" m="1" x="1687"/>
        <item h="1" m="1" x="4220"/>
        <item h="1" m="1" x="3404"/>
        <item h="1" m="1" x="3405"/>
        <item h="1" m="1" x="3406"/>
        <item h="1" m="1" x="5087"/>
        <item h="1" m="1" x="5088"/>
        <item h="1" m="1" x="4089"/>
        <item h="1" m="1" x="1669"/>
        <item h="1" m="1" x="1670"/>
        <item h="1" m="1" x="2348"/>
        <item h="1" m="1" x="5090"/>
        <item h="1" m="1" x="1683"/>
        <item h="1" m="1" x="1682"/>
        <item h="1" m="1" x="4991"/>
        <item h="1" m="1" x="4992"/>
        <item h="1" m="1" x="4851"/>
        <item h="1" m="1" x="4232"/>
        <item h="1" m="1" x="4162"/>
        <item h="1" m="1" x="5091"/>
        <item h="1" x="123"/>
        <item h="1" m="1" x="3990"/>
        <item h="1" m="1" x="5094"/>
        <item h="1" m="1" x="4683"/>
        <item h="1" m="1" x="4684"/>
        <item h="1" m="1" x="4685"/>
        <item h="1" m="1" x="4689"/>
        <item h="1" m="1" x="5095"/>
        <item h="1" m="1" x="2116"/>
        <item h="1" m="1" x="4962"/>
        <item h="1" m="1" x="4854"/>
        <item h="1" m="1" x="4855"/>
        <item h="1" m="1" x="4817"/>
        <item h="1" m="1" x="4818"/>
        <item h="1" m="1" x="4816"/>
        <item h="1" m="1" x="4742"/>
        <item h="1" m="1" x="4819"/>
        <item h="1" m="1" x="4963"/>
        <item h="1" m="1" x="4820"/>
        <item h="1" m="1" x="4821"/>
        <item h="1" m="1" x="4965"/>
        <item h="1" m="1" x="2945"/>
        <item h="1" m="1" x="4824"/>
        <item h="1" m="1" x="4746"/>
        <item h="1" m="1" x="4966"/>
        <item h="1" m="1" x="4826"/>
        <item h="1" m="1" x="4825"/>
        <item h="1" m="1" x="4270"/>
        <item h="1" m="1" x="4967"/>
        <item h="1" m="1" x="4830"/>
        <item h="1" m="1" x="4831"/>
        <item h="1" m="1" x="4832"/>
        <item h="1" m="1" x="4968"/>
        <item h="1" m="1" x="4969"/>
        <item h="1" m="1" x="4872"/>
        <item h="1" m="1" x="4970"/>
        <item h="1" m="1" x="4971"/>
        <item h="1" m="1" x="4873"/>
        <item h="1" m="1" x="4972"/>
        <item h="1" m="1" x="4874"/>
        <item h="1" m="1" x="4875"/>
        <item h="1" m="1" x="4876"/>
        <item h="1" m="1" x="4877"/>
        <item h="1" m="1" x="4973"/>
        <item h="1" m="1" x="4878"/>
        <item h="1" m="1" x="4879"/>
        <item h="1" m="1" x="4974"/>
        <item h="1" m="1" x="4835"/>
        <item h="1" m="1" x="4841"/>
        <item h="1" m="1" x="4839"/>
        <item h="1" m="1" x="4840"/>
        <item h="1" m="1" x="4606"/>
        <item h="1" m="1" x="4610"/>
        <item h="1" m="1" x="4611"/>
        <item h="1" m="1" x="4761"/>
        <item h="1" m="1" x="4843"/>
        <item h="1" m="1" x="4762"/>
        <item h="1" m="1" x="4844"/>
        <item h="1" m="1" x="4978"/>
        <item h="1" m="1" x="2072"/>
        <item h="1" m="1" x="4780"/>
        <item h="1" m="1" x="4979"/>
        <item h="1" m="1" x="4773"/>
        <item h="1" m="1" x="4763"/>
        <item h="1" m="1" x="1916"/>
        <item h="1" m="1" x="4896"/>
        <item h="1" m="1" x="4897"/>
        <item h="1" m="1" x="3485"/>
        <item h="1" m="1" x="4627"/>
        <item h="1" m="1" x="4898"/>
        <item h="1" m="1" x="4628"/>
        <item h="1" m="1" x="4857"/>
        <item h="1" m="1" x="4774"/>
        <item h="1" m="1" x="4858"/>
        <item h="1" m="1" x="4980"/>
        <item h="1" m="1" x="4776"/>
        <item h="1" m="1" x="4981"/>
        <item h="1" m="1" x="4779"/>
        <item h="1" m="1" x="1813"/>
        <item h="1" m="1" x="4983"/>
        <item h="1" m="1" x="4206"/>
        <item h="1" m="1" x="4984"/>
        <item h="1" m="1" x="4985"/>
        <item h="1" m="1" x="4987"/>
        <item h="1" m="1" x="1847"/>
        <item h="1" m="1" x="4534"/>
        <item h="1" m="1" x="1715"/>
        <item h="1" m="1" x="1707"/>
        <item h="1" m="1" x="4988"/>
        <item h="1" m="1" x="4989"/>
        <item h="1" m="1" x="3835"/>
        <item h="1" m="1" x="4781"/>
        <item h="1" m="1" x="4450"/>
        <item h="1" m="1" x="4847"/>
        <item h="1" m="1" x="4848"/>
        <item h="1" m="1" x="4990"/>
        <item h="1" m="1" x="4993"/>
        <item h="1" m="1" x="4994"/>
        <item h="1" m="1" x="4995"/>
        <item h="1" m="1" x="4996"/>
        <item h="1" m="1" x="4849"/>
        <item h="1" m="1" x="4850"/>
        <item h="1" m="1" x="4997"/>
        <item h="1" m="1" x="4782"/>
        <item h="1" m="1" x="4852"/>
        <item h="1" m="1" x="4547"/>
        <item h="1" m="1" x="4853"/>
        <item h="1" m="1" x="4737"/>
        <item h="1" m="1" x="4692"/>
        <item h="1" m="1" x="4693"/>
        <item h="1" m="1" x="4856"/>
        <item h="1" m="1" x="4860"/>
        <item h="1" m="1" x="4674"/>
        <item h="1" m="1" x="4861"/>
        <item h="1" m="1" x="2917"/>
        <item h="1" m="1" x="4863"/>
        <item h="1" m="1" x="4565"/>
        <item h="1" m="1" x="4745"/>
        <item h="1" m="1" x="4271"/>
        <item h="1" m="1" x="3801"/>
        <item h="1" m="1" x="4864"/>
        <item h="1" m="1" x="4865"/>
        <item h="1" m="1" x="4263"/>
        <item h="1" m="1" x="4253"/>
        <item h="1" m="1" x="4254"/>
        <item h="1" m="1" x="4866"/>
        <item h="1" m="1" x="4129"/>
        <item h="1" m="1" x="4241"/>
        <item h="1" m="1" x="3859"/>
        <item h="1" m="1" x="4744"/>
        <item h="1" m="1" x="4675"/>
        <item h="1" m="1" x="4238"/>
        <item h="1" m="1" x="4867"/>
        <item h="1" m="1" x="4868"/>
        <item h="1" m="1" x="4752"/>
        <item h="1" m="1" x="4753"/>
        <item h="1" m="1" x="4574"/>
        <item h="1" m="1" x="4870"/>
        <item h="1" m="1" x="4871"/>
        <item h="1" m="1" x="4747"/>
        <item h="1" m="1" x="4748"/>
        <item h="1" m="1" x="4749"/>
        <item h="1" m="1" x="4750"/>
        <item h="1" m="1" x="4688"/>
        <item h="1" m="1" x="4880"/>
        <item h="1" m="1" x="4882"/>
        <item h="1" m="1" x="4884"/>
        <item h="1" m="1" x="4754"/>
        <item h="1" m="1" x="4886"/>
        <item h="1" m="1" x="4757"/>
        <item h="1" m="1" x="4887"/>
        <item h="1" m="1" x="2797"/>
        <item h="1" m="1" x="4888"/>
        <item h="1" m="1" x="4313"/>
        <item h="1" m="1" x="4889"/>
        <item h="1" m="1" x="4890"/>
        <item h="1" m="1" x="4891"/>
        <item h="1" m="1" x="4892"/>
        <item h="1" m="1" x="4893"/>
        <item h="1" m="1" x="4894"/>
        <item h="1" m="1" x="2861"/>
        <item h="1" m="1" x="4775"/>
        <item h="1" m="1" x="1909"/>
        <item h="1" m="1" x="4899"/>
        <item h="1" m="1" x="4187"/>
        <item h="1" m="1" x="4777"/>
        <item h="1" m="1" x="4778"/>
        <item h="1" m="1" x="1406"/>
        <item h="1" m="1" x="4900"/>
        <item h="1" m="1" x="4901"/>
        <item h="1" m="1" x="4903"/>
        <item h="1" m="1" x="4904"/>
        <item h="1" m="1" x="4905"/>
        <item h="1" m="1" x="1713"/>
        <item h="1" m="1" x="4906"/>
        <item h="1" m="1" x="1698"/>
        <item h="1" m="1" x="4907"/>
        <item h="1" m="1" x="4908"/>
        <item h="1" m="1" x="4909"/>
        <item h="1" m="1" x="4910"/>
        <item h="1" m="1" x="4911"/>
        <item h="1" m="1" x="1906"/>
        <item h="1" m="1" x="4218"/>
        <item h="1" m="1" x="4912"/>
        <item h="1" m="1" x="4444"/>
        <item h="1" m="1" x="1759"/>
        <item h="1" m="1" x="4913"/>
        <item h="1" m="1" x="4453"/>
        <item h="1" m="1" x="3844"/>
        <item h="1" m="1" x="4234"/>
        <item h="1" m="1" x="4235"/>
        <item h="1" m="1" x="4914"/>
        <item h="1" m="1" x="4915"/>
        <item h="1" m="1" x="4916"/>
        <item h="1" m="1" x="4245"/>
        <item h="1" m="1" x="4783"/>
        <item h="1" m="1" x="4917"/>
        <item h="1" m="1" x="4246"/>
        <item h="1" m="1" x="4247"/>
        <item h="1" m="1" x="1426"/>
        <item h="1" m="1" x="4759"/>
        <item h="1" m="1" x="4642"/>
        <item h="1" m="1" x="1671"/>
        <item h="1" m="1" x="4465"/>
        <item h="1" m="1" x="4554"/>
        <item h="1" m="1" x="4784"/>
        <item h="1" m="1" x="4785"/>
        <item h="1" m="1" x="4671"/>
        <item h="1" m="1" x="4786"/>
        <item h="1" m="1" x="4787"/>
        <item h="1" m="1" x="4788"/>
        <item h="1" m="1" x="4562"/>
        <item h="1" m="1" x="4542"/>
        <item h="1" m="1" x="4676"/>
        <item h="1" m="1" x="4677"/>
        <item h="1" m="1" x="4274"/>
        <item h="1" m="1" x="4566"/>
        <item h="1" m="1" x="4679"/>
        <item h="1" m="1" x="4678"/>
        <item h="1" m="1" x="1210"/>
        <item h="1" m="1" x="4790"/>
        <item h="1" m="1" x="4791"/>
        <item h="1" m="1" x="4139"/>
        <item h="1" m="1" x="4792"/>
        <item h="1" m="1" x="3516"/>
        <item h="1" m="1" x="4585"/>
        <item h="1" m="1" x="3311"/>
        <item h="1" m="1" x="4584"/>
        <item h="1" m="1" x="3476"/>
        <item h="1" m="1" x="4608"/>
        <item h="1" x="231"/>
        <item h="1" m="1" x="4601"/>
        <item h="1" m="1" x="4580"/>
        <item h="1" m="1" x="4794"/>
        <item h="1" m="1" x="4795"/>
        <item h="1" m="1" x="4617"/>
        <item h="1" m="1" x="4796"/>
        <item h="1" m="1" x="4629"/>
        <item h="1" m="1" x="1347"/>
        <item h="1" m="1" x="4326"/>
        <item h="1" m="1" x="4338"/>
        <item h="1" m="1" x="4798"/>
        <item h="1" m="1" x="4349"/>
        <item h="1" m="1" x="4799"/>
        <item h="1" m="1" x="4800"/>
        <item h="1" m="1" x="4801"/>
        <item h="1" m="1" x="4408"/>
        <item h="1" m="1" x="4406"/>
        <item h="1" m="1" x="3352"/>
        <item h="1" m="1" x="4802"/>
        <item h="1" m="1" x="4803"/>
        <item h="1" m="1" x="1942"/>
        <item h="1" m="1" x="1945"/>
        <item h="1" m="1" x="4005"/>
        <item h="1" m="1" x="1941"/>
        <item h="1" m="1" x="4154"/>
        <item h="1" m="1" x="4155"/>
        <item h="1" m="1" x="1898"/>
        <item h="1" m="1" x="4804"/>
        <item h="1" m="1" x="4805"/>
        <item h="1" m="1" x="4806"/>
        <item h="1" m="1" x="4807"/>
        <item h="1" m="1" x="4808"/>
        <item h="1" m="1" x="4459"/>
        <item h="1" m="1" x="4460"/>
        <item h="1" m="1" x="4809"/>
        <item h="1" m="1" x="4264"/>
        <item h="1" m="1" x="4810"/>
        <item h="1" m="1" x="4170"/>
        <item h="1" m="1" x="4269"/>
        <item h="1" m="1" x="4680"/>
        <item h="1" m="1" x="4681"/>
        <item h="1" m="1" x="4682"/>
        <item h="1" m="1" x="4686"/>
        <item h="1" m="1" x="4573"/>
        <item h="1" m="1" x="4687"/>
        <item h="1" m="1" x="4587"/>
        <item h="1" m="1" x="2842"/>
        <item h="1" m="1" x="4612"/>
        <item h="1" m="1" x="2824"/>
        <item h="1" m="1" x="4694"/>
        <item h="1" m="1" x="4659"/>
        <item h="1" m="1" x="4664"/>
        <item h="1" m="1" x="4695"/>
        <item h="1" m="1" x="4696"/>
        <item h="1" m="1" x="4697"/>
        <item h="1" m="1" x="4698"/>
        <item h="1" m="1" x="811"/>
        <item h="1" m="1" x="4699"/>
        <item h="1" m="1" x="4700"/>
        <item h="1" m="1" x="1772"/>
        <item h="1" m="1" x="4560"/>
        <item h="1" m="1" x="4109"/>
        <item h="1" m="1" x="4564"/>
        <item h="1" m="1" x="4701"/>
        <item h="1" m="1" x="4586"/>
        <item h="1" m="1" x="4588"/>
        <item h="1" m="1" x="4589"/>
        <item h="1" m="1" x="4600"/>
        <item h="1" m="1" x="4594"/>
        <item h="1" x="264"/>
        <item h="1" m="1" x="2552"/>
        <item h="1" m="1" x="4704"/>
        <item h="1" m="1" x="4567"/>
        <item h="1" m="1" x="4705"/>
        <item h="1" m="1" x="4607"/>
        <item h="1" m="1" x="573"/>
        <item h="1" m="1" x="4706"/>
        <item h="1" m="1" x="4707"/>
        <item h="1" m="1" x="4709"/>
        <item h="1" m="1" x="4640"/>
        <item h="1" m="1" x="4623"/>
        <item h="1" m="1" x="4624"/>
        <item h="1" m="1" x="4626"/>
        <item h="1" m="1" x="4711"/>
        <item h="1" m="1" x="4712"/>
        <item h="1" m="1" x="4643"/>
        <item h="1" m="1" x="4714"/>
        <item h="1" m="1" x="1802"/>
        <item h="1" m="1" x="4645"/>
        <item h="1" m="1" x="4522"/>
        <item h="1" m="1" x="3418"/>
        <item h="1" m="1" x="4715"/>
        <item h="1" m="1" x="4523"/>
        <item h="1" m="1" x="3454"/>
        <item h="1" m="1" x="4716"/>
        <item h="1" m="1" x="4410"/>
        <item h="1" m="1" x="4411"/>
        <item h="1" m="1" x="4651"/>
        <item h="1" m="1" x="1755"/>
        <item h="1" m="1" x="4717"/>
        <item h="1" m="1" x="4718"/>
        <item h="1" m="1" x="4719"/>
        <item h="1" m="1" x="4720"/>
        <item h="1" m="1" x="3774"/>
        <item h="1" m="1" x="1686"/>
        <item h="1" m="1" x="1084"/>
        <item h="1" m="1" x="1908"/>
        <item h="1" m="1" x="4721"/>
        <item h="1" m="1" x="4424"/>
        <item h="1" m="1" x="4425"/>
        <item h="1" m="1" x="4722"/>
        <item h="1" m="1" x="4219"/>
        <item h="1" m="1" x="1824"/>
        <item h="1" m="1" x="1705"/>
        <item h="1" m="1" x="4723"/>
        <item h="1" m="1" x="4437"/>
        <item h="1" m="1" x="4724"/>
        <item h="1" m="1" x="4725"/>
        <item h="1" m="1" x="4726"/>
        <item h="1" m="1" x="4662"/>
        <item h="1" m="1" x="4727"/>
        <item h="1" m="1" x="4163"/>
        <item h="1" m="1" x="4466"/>
        <item h="1" m="1" x="4728"/>
        <item h="1" m="1" x="3792"/>
        <item h="1" m="1" x="4027"/>
        <item h="1" m="1" x="4548"/>
        <item h="1" m="1" x="4472"/>
        <item h="1" m="1" x="4549"/>
        <item h="1" m="1" x="4550"/>
        <item h="1" m="1" x="4034"/>
        <item h="1" m="1" x="4551"/>
        <item h="1" m="1" x="4553"/>
        <item h="1" m="1" x="4115"/>
        <item h="1" m="1" x="4116"/>
        <item h="1" m="1" x="4477"/>
        <item h="1" m="1" x="4555"/>
        <item h="1" x="382"/>
        <item h="1" m="1" x="4478"/>
        <item h="1" m="1" x="4557"/>
        <item h="1" m="1" x="4558"/>
        <item h="1" m="1" x="4559"/>
        <item h="1" m="1" x="4483"/>
        <item h="1" m="1" x="4561"/>
        <item h="1" m="1" x="4272"/>
        <item h="1" m="1" x="4484"/>
        <item h="1" m="1" x="4568"/>
        <item h="1" m="1" x="4569"/>
        <item h="1" m="1" x="4570"/>
        <item h="1" m="1" x="4571"/>
        <item h="1" m="1" x="4572"/>
        <item h="1" m="1" x="4575"/>
        <item h="1" m="1" x="2994"/>
        <item h="1" m="1" x="3433"/>
        <item h="1" m="1" x="4576"/>
        <item h="1" m="1" x="4577"/>
        <item h="1" m="1" x="4578"/>
        <item h="1" m="1" x="4495"/>
        <item h="1" m="1" x="4496"/>
        <item h="1" m="1" x="4579"/>
        <item h="1" m="1" x="2489"/>
        <item h="1" m="1" x="4590"/>
        <item h="1" m="1" x="4591"/>
        <item h="1" m="1" x="4593"/>
        <item h="1" m="1" x="4598"/>
        <item h="1" x="261"/>
        <item h="1" m="1" x="4599"/>
        <item h="1" m="1" x="4054"/>
        <item h="1" m="1" x="4445"/>
        <item h="1" m="1" x="4290"/>
        <item h="1" m="1" x="4291"/>
        <item h="1" m="1" x="4133"/>
        <item h="1" m="1" x="3915"/>
        <item h="1" m="1" x="4602"/>
        <item h="1" m="1" x="4604"/>
        <item h="1" m="1" x="4605"/>
        <item h="1" m="1" x="4299"/>
        <item h="1" m="1" x="4303"/>
        <item h="1" m="1" x="4292"/>
        <item h="1" m="1" x="4609"/>
        <item h="1" m="1" x="4613"/>
        <item h="1" m="1" x="4614"/>
        <item h="1" m="1" x="4615"/>
        <item h="1" m="1" x="4616"/>
        <item h="1" m="1" x="4618"/>
        <item h="1" m="1" x="4619"/>
        <item h="1" m="1" x="4620"/>
        <item h="1" m="1" x="4513"/>
        <item h="1" m="1" x="4630"/>
        <item h="1" m="1" x="4631"/>
        <item h="1" m="1" x="4632"/>
        <item h="1" m="1" x="4633"/>
        <item h="1" m="1" x="4634"/>
        <item h="1" m="1" x="4514"/>
        <item h="1" m="1" x="4635"/>
        <item h="1" m="1" x="4636"/>
        <item h="1" m="1" x="4637"/>
        <item h="1" m="1" x="4507"/>
        <item h="1" m="1" x="4515"/>
        <item h="1" m="1" x="4511"/>
        <item h="1" m="1" x="4510"/>
        <item h="1" m="1" x="4509"/>
        <item h="1" m="1" x="4508"/>
        <item h="1" m="1" x="4641"/>
        <item h="1" m="1" x="4516"/>
        <item h="1" m="1" x="4517"/>
        <item h="1" m="1" x="4518"/>
        <item h="1" m="1" x="4644"/>
        <item h="1" m="1" x="4074"/>
        <item h="1" m="1" x="4325"/>
        <item h="1" m="1" x="4191"/>
        <item h="1" m="1" x="4648"/>
        <item h="1" m="1" x="1762"/>
        <item h="1" m="1" x="4195"/>
        <item h="1" m="1" x="4196"/>
        <item h="1" m="1" x="4649"/>
        <item h="1" m="1" x="4650"/>
        <item h="1" m="1" x="4409"/>
        <item h="1" m="1" x="4211"/>
        <item h="1" m="1" x="4652"/>
        <item h="1" m="1" x="3124"/>
        <item h="1" m="1" x="1792"/>
        <item h="1" m="1" x="4653"/>
        <item h="1" m="1" x="4654"/>
        <item h="1" m="1" x="4527"/>
        <item h="1" m="1" x="4655"/>
        <item h="1" m="1" x="1668"/>
        <item h="1" m="1" x="4524"/>
        <item h="1" m="1" x="4656"/>
        <item h="1" m="1" x="4657"/>
        <item h="1" m="1" x="3136"/>
        <item h="1" m="1" x="3139"/>
        <item h="1" m="1" x="1775"/>
        <item h="1" m="1" x="1786"/>
        <item h="1" m="1" x="4658"/>
        <item h="1" m="1" x="4660"/>
        <item h="1" m="1" x="4661"/>
        <item h="1" m="1" x="4543"/>
        <item h="1" m="1" x="4464"/>
        <item h="1" m="1" x="4099"/>
        <item h="1" m="1" x="4165"/>
        <item h="1" m="1" x="4243"/>
        <item h="1" m="1" x="4663"/>
        <item h="1" m="1" x="3479"/>
        <item h="1" m="1" x="4251"/>
        <item h="1" m="1" x="4471"/>
        <item h="1" m="1" x="4252"/>
        <item h="1" m="1" x="4256"/>
        <item h="1" m="1" x="4473"/>
        <item h="1" m="1" x="4110"/>
        <item h="1" m="1" x="4261"/>
        <item h="1" m="1" x="4111"/>
        <item h="1" m="1" x="4475"/>
        <item h="1" m="1" x="4476"/>
        <item h="1" m="1" x="4172"/>
        <item h="1" m="1" x="4117"/>
        <item h="1" m="1" x="3858"/>
        <item h="1" m="1" x="3400"/>
        <item h="1" m="1" x="4281"/>
        <item h="1" m="1" x="4280"/>
        <item h="1" m="1" x="4273"/>
        <item h="1" m="1" x="4276"/>
        <item h="1" m="1" x="3079"/>
        <item h="1" m="1" x="4283"/>
        <item h="1" m="1" x="4485"/>
        <item h="1" m="1" x="4486"/>
        <item h="1" m="1" x="4487"/>
        <item h="1" m="1" x="4488"/>
        <item h="1" m="1" x="4489"/>
        <item h="1" m="1" x="4490"/>
        <item h="1" m="1" x="4492"/>
        <item h="1" m="1" x="4493"/>
        <item h="1" m="1" x="4300"/>
        <item h="1" m="1" x="4494"/>
        <item h="1" m="1" x="4301"/>
        <item h="1" m="1" x="4293"/>
        <item h="1" m="1" x="4294"/>
        <item h="1" m="1" x="4498"/>
        <item h="1" m="1" x="4499"/>
        <item h="1" m="1" x="4500"/>
        <item h="1" m="1" x="4501"/>
        <item h="1" m="1" x="4502"/>
        <item h="1" m="1" x="4503"/>
        <item h="1" m="1" x="4504"/>
        <item h="1" m="1" x="4505"/>
        <item h="1" m="1" x="4308"/>
        <item h="1" m="1" x="4310"/>
        <item h="1" m="1" x="2970"/>
        <item h="1" m="1" x="3111"/>
        <item h="1" m="1" x="4319"/>
        <item h="1" m="1" x="4316"/>
        <item h="1" m="1" x="4317"/>
        <item h="1" m="1" x="2727"/>
        <item h="1" m="1" x="4318"/>
        <item h="1" m="1" x="4321"/>
        <item h="1" m="1" x="4327"/>
        <item h="1" m="1" x="4519"/>
        <item h="1" m="1" x="4520"/>
        <item h="1" m="1" x="4521"/>
        <item h="1" m="1" x="3402"/>
        <item h="1" m="1" x="4350"/>
        <item h="1" m="1" x="4351"/>
        <item h="1" m="1" x="1613"/>
        <item h="1" m="1" x="1901"/>
        <item h="1" m="1" x="4205"/>
        <item h="1" m="1" x="4215"/>
        <item h="1" m="1" x="4214"/>
        <item h="1" m="1" x="4210"/>
        <item h="1" m="1" x="4525"/>
        <item h="1" m="1" x="4526"/>
        <item h="1" m="1" x="1073"/>
        <item h="1" m="1" x="1764"/>
        <item h="1" m="1" x="4528"/>
        <item h="1" m="1" x="4529"/>
        <item h="1" m="1" x="4530"/>
        <item h="1" m="1" x="4531"/>
        <item h="1" m="1" x="4532"/>
        <item h="1" m="1" x="1610"/>
        <item h="1" m="1" x="4533"/>
        <item h="1" m="1" x="1788"/>
        <item h="1" m="1" x="1787"/>
        <item h="1" m="1" x="3138"/>
        <item h="1" m="1" x="4535"/>
        <item h="1" m="1" x="4221"/>
        <item h="1" m="1" x="1789"/>
        <item h="1" m="1" x="1774"/>
        <item h="1" m="1" x="4223"/>
        <item h="1" m="1" x="4536"/>
        <item h="1" m="1" x="4537"/>
        <item h="1" m="1" x="4539"/>
        <item h="1" m="1" x="4540"/>
        <item h="1" m="1" x="3478"/>
        <item h="1" m="1" x="3838"/>
        <item h="1" m="1" x="4452"/>
        <item h="1" m="1" x="4541"/>
        <item h="1" m="1" x="2134"/>
        <item h="1" m="1" x="3146"/>
        <item h="1" m="1" x="4544"/>
        <item h="1" m="1" x="1586"/>
        <item h="1" m="1" x="4017"/>
        <item h="1" m="1" x="4469"/>
        <item h="1" m="1" x="4470"/>
        <item h="1" m="1" x="4108"/>
        <item h="1" m="1" x="4250"/>
        <item h="1" m="1" x="4255"/>
        <item h="1" m="1" x="4257"/>
        <item h="1" m="1" x="4258"/>
        <item h="1" m="1" x="3793"/>
        <item h="1" m="1" x="4259"/>
        <item h="1" m="1" x="4262"/>
        <item h="1" m="1" x="4175"/>
        <item h="1" m="1" x="4266"/>
        <item h="1" m="1" x="4267"/>
        <item h="1" m="1" x="3873"/>
        <item h="1" m="1" x="4275"/>
        <item h="1" m="1" x="4277"/>
        <item h="1" m="1" x="3734"/>
        <item h="1" m="1" x="4278"/>
        <item h="1" m="1" x="4279"/>
        <item h="1" m="1" x="4282"/>
        <item h="1" m="1" x="4463"/>
        <item h="1" m="1" x="4284"/>
        <item h="1" m="1" x="4285"/>
        <item h="1" m="1" x="4286"/>
        <item h="1" m="1" x="4287"/>
        <item h="1" m="1" x="4288"/>
        <item h="1" m="1" x="4289"/>
        <item h="1" m="1" x="4295"/>
        <item h="1" m="1" x="4296"/>
        <item h="1" m="1" x="4297"/>
        <item h="1" m="1" x="4298"/>
        <item h="1" m="1" x="4302"/>
        <item h="1" m="1" x="4304"/>
        <item h="1" m="1" x="4305"/>
        <item h="1" m="1" x="4306"/>
        <item h="1" m="1" x="498"/>
        <item h="1" m="1" x="4307"/>
        <item h="1" m="1" x="822"/>
        <item h="1" m="1" x="2194"/>
        <item h="1" m="1" x="4468"/>
        <item h="1" m="1" x="4311"/>
        <item h="1" m="1" x="4312"/>
        <item h="1" m="1" x="4314"/>
        <item h="1" m="1" x="4315"/>
        <item h="1" m="1" x="3252"/>
        <item h="1" m="1" x="4320"/>
        <item h="1" m="1" x="4331"/>
        <item h="1" m="1" x="4332"/>
        <item h="1" m="1" x="4333"/>
        <item h="1" m="1" x="4334"/>
        <item h="1" m="1" x="4335"/>
        <item h="1" m="1" x="4336"/>
        <item h="1" m="1" x="4337"/>
        <item h="1" m="1" x="4339"/>
        <item h="1" m="1" x="2737"/>
        <item h="1" m="1" x="2738"/>
        <item h="1" m="1" x="4192"/>
        <item h="1" m="1" x="4193"/>
        <item h="1" m="1" x="4359"/>
        <item h="1" m="1" x="4202"/>
        <item h="1" m="1" x="4203"/>
        <item h="1" m="1" x="4209"/>
        <item h="1" m="1" x="4208"/>
        <item h="1" m="1" x="4213"/>
        <item h="1" m="1" x="1732"/>
        <item h="1" m="1" x="4417"/>
        <item h="1" m="1" x="4419"/>
        <item h="1" m="1" x="4420"/>
        <item h="1" m="1" x="4217"/>
        <item h="1" m="1" x="4442"/>
        <item h="1" m="1" x="4451"/>
        <item h="1" m="1" x="3843"/>
        <item h="1" m="1" x="2505"/>
        <item h="1" m="1" x="4014"/>
        <item h="1" m="1" x="4015"/>
        <item h="1" m="1" x="4236"/>
        <item h="1" m="1" x="4240"/>
        <item h="1" m="1" x="2032"/>
        <item h="1" m="1" x="4169"/>
        <item h="1" m="1" x="4103"/>
        <item h="1" m="1" x="4112"/>
        <item h="1" m="1" x="3853"/>
        <item h="1" m="1" x="3862"/>
        <item h="1" x="166"/>
        <item h="1" m="1" x="4171"/>
        <item h="1" m="1" x="4120"/>
        <item h="1" m="1" x="4124"/>
        <item h="1" m="1" x="4125"/>
        <item h="1" m="1" x="4126"/>
        <item h="1" m="1" x="4127"/>
        <item h="1" m="1" x="4128"/>
        <item h="1" m="1" x="4179"/>
        <item h="1" m="1" x="2553"/>
        <item h="1" m="1" x="4047"/>
        <item h="1" m="1" x="4048"/>
        <item h="1" m="1" x="4049"/>
        <item h="1" m="1" x="4045"/>
        <item h="1" m="1" x="4046"/>
        <item h="1" m="1" x="1935"/>
        <item h="1" m="1" x="4182"/>
        <item h="1" m="1" x="3902"/>
        <item h="1" m="1" x="4183"/>
        <item h="1" m="1" x="3958"/>
        <item h="1" m="1" x="4184"/>
        <item h="1" m="1" x="4185"/>
        <item h="1" m="1" x="4186"/>
        <item h="1" m="1" x="4188"/>
        <item h="1" m="1" x="4190"/>
        <item h="1" m="1" x="3817"/>
        <item h="1" m="1" x="3818"/>
        <item h="1" m="1" x="4197"/>
        <item h="1" m="1" x="4198"/>
        <item h="1" m="1" x="4204"/>
        <item h="1" m="1" x="4149"/>
        <item h="1" m="1" x="4148"/>
        <item h="1" m="1" x="3820"/>
        <item h="1" m="1" x="3821"/>
        <item h="1" m="1" x="4002"/>
        <item h="1" m="1" x="4216"/>
        <item h="1" m="1" x="1823"/>
        <item h="1" m="1" x="1709"/>
        <item h="1" m="1" x="1710"/>
        <item h="1" m="1" x="4222"/>
        <item h="1" m="1" x="4225"/>
        <item h="1" m="1" x="4007"/>
        <item h="1" m="1" x="2490"/>
        <item h="1" m="1" x="4226"/>
        <item h="1" m="1" x="4009"/>
        <item h="1" m="1" x="4227"/>
        <item h="1" m="1" x="3842"/>
        <item h="1" m="1" x="4228"/>
        <item h="1" m="1" x="4229"/>
        <item h="1" m="1" x="4230"/>
        <item h="1" m="1" x="4231"/>
        <item h="1" m="1" x="4012"/>
        <item h="1" m="1" x="4233"/>
        <item h="1" m="1" x="2757"/>
        <item h="1" m="1" x="4237"/>
        <item h="1" m="1" x="4167"/>
        <item h="1" m="1" x="4248"/>
        <item h="1" m="1" x="4249"/>
        <item h="1" m="1" x="4105"/>
        <item h="1" m="1" x="4106"/>
        <item h="1" m="1" x="4107"/>
        <item h="1" m="1" x="4113"/>
        <item h="1" m="1" x="4114"/>
        <item h="1" m="1" x="3472"/>
        <item h="1" m="1" x="3473"/>
        <item h="1" m="1" x="3278"/>
        <item h="1" m="1" x="3860"/>
        <item h="1" m="1" x="2185"/>
        <item h="1" m="1" x="4118"/>
        <item h="1" m="1" x="4121"/>
        <item h="1" m="1" x="3871"/>
        <item h="1" m="1" x="4122"/>
        <item h="1" m="1" x="4123"/>
        <item h="1" m="1" x="3800"/>
        <item h="1" m="1" x="4131"/>
        <item h="1" m="1" x="4132"/>
        <item h="1" m="1" x="3880"/>
        <item h="1" m="1" x="3887"/>
        <item h="1" m="1" x="2158"/>
        <item h="1" m="1" x="3892"/>
        <item h="1" m="1" x="4134"/>
        <item h="1" m="1" x="3922"/>
        <item h="1" m="1" x="4135"/>
        <item h="1" m="1" x="4136"/>
        <item h="1" m="1" x="3483"/>
        <item h="1" m="1" x="4137"/>
        <item h="1" m="1" x="4140"/>
        <item h="1" m="1" x="4006"/>
        <item h="1" m="1" x="4071"/>
        <item h="1" m="1" x="3989"/>
        <item h="1" m="1" x="4141"/>
        <item h="1" m="1" x="4143"/>
        <item h="1" m="1" x="4145"/>
        <item h="1" m="1" x="3701"/>
        <item h="1" m="1" x="3823"/>
        <item h="1" m="1" x="3828"/>
        <item h="1" m="1" x="1793"/>
        <item h="1" m="1" x="1794"/>
        <item h="1" m="1" x="4150"/>
        <item h="1" m="1" x="4151"/>
        <item h="1" m="1" x="3997"/>
        <item h="1" m="1" x="4152"/>
        <item h="1" m="1" x="1594"/>
        <item h="1" m="1" x="1700"/>
        <item h="1" m="1" x="3135"/>
        <item h="1" m="1" x="1699"/>
        <item h="1" m="1" x="3141"/>
        <item h="1" m="1" x="4153"/>
        <item h="1" m="1" x="1795"/>
        <item h="1" m="1" x="1798"/>
        <item h="1" m="1" x="1796"/>
        <item h="1" m="1" x="1589"/>
        <item h="1" m="1" x="3142"/>
        <item h="1" m="1" x="2908"/>
        <item h="1" m="1" x="1251"/>
        <item h="1" m="1" x="2874"/>
        <item h="1" m="1" x="3840"/>
        <item h="1" m="1" x="3725"/>
        <item h="1" m="1" x="4156"/>
        <item h="1" m="1" x="4157"/>
        <item h="1" m="1" x="4158"/>
        <item h="1" m="1" x="2497"/>
        <item h="1" m="1" x="4159"/>
        <item h="1" m="1" x="4160"/>
        <item h="1" m="1" x="4161"/>
        <item h="1" m="1" x="4164"/>
        <item h="1" m="1" x="4166"/>
        <item h="1" m="1" x="2938"/>
        <item h="1" m="1" x="4019"/>
        <item h="1" m="1" x="782"/>
        <item h="1" m="1" x="4021"/>
        <item h="1" m="1" x="4022"/>
        <item h="1" m="1" x="4023"/>
        <item h="1" m="1" x="4024"/>
        <item h="1" m="1" x="4025"/>
        <item h="1" m="1" x="4026"/>
        <item h="1" m="1" x="3851"/>
        <item h="1" m="1" x="4028"/>
        <item h="1" m="1" x="4029"/>
        <item h="1" m="1" x="4030"/>
        <item h="1" m="1" x="4031"/>
        <item h="1" m="1" x="4032"/>
        <item h="1" m="1" x="4033"/>
        <item h="1" m="1" x="3166"/>
        <item h="1" m="1" x="4035"/>
        <item h="1" m="1" x="3854"/>
        <item h="1" m="1" x="4036"/>
        <item h="1" m="1" x="3480"/>
        <item h="1" m="1" x="4037"/>
        <item h="1" m="1" x="4038"/>
        <item h="1" m="1" x="4039"/>
        <item h="1" m="1" x="4040"/>
        <item h="1" m="1" x="3857"/>
        <item h="1" m="1" x="3799"/>
        <item h="1" m="1" x="4041"/>
        <item h="1" m="1" x="3670"/>
        <item h="1" m="1" x="3877"/>
        <item h="1" m="1" x="4042"/>
        <item h="1" m="1" x="4043"/>
        <item h="1" m="1" x="4050"/>
        <item h="1" m="1" x="4051"/>
        <item h="1" m="1" x="4052"/>
        <item h="1" m="1" x="4053"/>
        <item h="1" m="1" x="3904"/>
        <item h="1" m="1" x="4055"/>
        <item h="1" m="1" x="3905"/>
        <item h="1" m="1" x="4056"/>
        <item h="1" m="1" x="2395"/>
        <item h="1" m="1" x="3906"/>
        <item h="1" m="1" x="4057"/>
        <item h="1" m="1" x="4058"/>
        <item h="1" m="1" x="4059"/>
        <item h="1" m="1" x="4060"/>
        <item h="1" m="1" x="4061"/>
        <item h="1" m="1" x="3894"/>
        <item h="1" m="1" x="4062"/>
        <item h="1" m="1" x="3909"/>
        <item h="1" m="1" x="3917"/>
        <item h="1" m="1" x="3919"/>
        <item h="1" m="1" x="3481"/>
        <item h="1" m="1" x="4063"/>
        <item h="1" m="1" x="4064"/>
        <item h="1" m="1" x="3482"/>
        <item h="1" m="1" x="3920"/>
        <item h="1" m="1" x="3912"/>
        <item h="1" m="1" x="3486"/>
        <item h="1" m="1" x="4065"/>
        <item h="1" m="1" x="3925"/>
        <item h="1" m="1" x="4066"/>
        <item h="1" m="1" x="4067"/>
        <item h="1" m="1" x="3926"/>
        <item h="1" m="1" x="3109"/>
        <item h="1" m="1" x="3935"/>
        <item h="1" m="1" x="3936"/>
        <item h="1" m="1" x="3937"/>
        <item h="1" m="1" x="3933"/>
        <item h="1" m="1" x="3934"/>
        <item h="1" m="1" x="3949"/>
        <item h="1" m="1" x="3940"/>
        <item h="1" m="1" x="3939"/>
        <item h="1" m="1" x="4069"/>
        <item h="1" m="1" x="4070"/>
        <item h="1" m="1" x="3952"/>
        <item h="1" m="1" x="3962"/>
        <item h="1" m="1" x="3961"/>
        <item h="1" m="1" x="3959"/>
        <item h="1" m="1" x="3954"/>
        <item h="1" m="1" x="3960"/>
        <item h="1" m="1" x="3956"/>
        <item h="1" m="1" x="3957"/>
        <item h="1" m="1" x="3970"/>
        <item h="1" m="1" x="3971"/>
        <item h="1" m="1" x="3977"/>
        <item h="1" m="1" x="4072"/>
        <item h="1" m="1" x="3972"/>
        <item h="1" m="1" x="3974"/>
        <item h="1" m="1" x="3982"/>
        <item h="1" m="1" x="3973"/>
        <item h="1" m="1" x="3975"/>
        <item h="1" m="1" x="3976"/>
        <item h="1" m="1" x="3978"/>
        <item h="1" m="1" x="4073"/>
        <item h="1" m="1" x="3984"/>
        <item h="1" m="1" x="3985"/>
        <item h="1" m="1" x="3986"/>
        <item h="1" m="1" x="3987"/>
        <item h="1" m="1" x="3988"/>
        <item h="1" m="1" x="3992"/>
        <item h="1" m="1" x="4075"/>
        <item h="1" m="1" x="4076"/>
        <item h="1" m="1" x="4077"/>
        <item h="1" m="1" x="1677"/>
        <item h="1" m="1" x="4079"/>
        <item h="1" m="1" x="4080"/>
        <item h="1" m="1" x="1735"/>
        <item h="1" m="1" x="1729"/>
        <item h="1" m="1" x="4081"/>
        <item h="1" m="1" x="4082"/>
        <item h="1" m="1" x="3062"/>
        <item h="1" m="1" x="1734"/>
        <item h="1" m="1" x="3822"/>
        <item h="1" m="1" x="1501"/>
        <item h="1" m="1" x="1756"/>
        <item h="1" m="1" x="1592"/>
        <item h="1" m="1" x="1593"/>
        <item h="1" m="1" x="2823"/>
        <item h="1" m="1" x="4083"/>
        <item h="1" m="1" x="4084"/>
        <item h="1" m="1" x="4085"/>
        <item h="1" m="1" x="4086"/>
        <item h="1" m="1" x="3403"/>
        <item h="1" m="1" x="4087"/>
        <item h="1" m="1" x="4088"/>
        <item h="1" m="1" x="1689"/>
        <item h="1" m="1" x="1688"/>
        <item h="1" m="1" x="1846"/>
        <item h="1" m="1" x="1923"/>
        <item h="1" m="1" x="1711"/>
        <item h="1" m="1" x="2113"/>
        <item h="1" m="1" x="1731"/>
        <item h="1" m="1" x="1704"/>
        <item h="1" m="1" x="3776"/>
        <item h="1" m="1" x="1819"/>
        <item h="1" m="1" x="3407"/>
        <item h="1" m="1" x="3408"/>
        <item h="1" m="1" x="4090"/>
        <item h="1" m="1" x="4091"/>
        <item h="1" m="1" x="2752"/>
        <item h="1" m="1" x="4092"/>
        <item h="1" m="1" x="4008"/>
        <item h="1" m="1" x="4093"/>
        <item h="1" m="1" x="4094"/>
        <item h="1" m="1" x="4011"/>
        <item h="1" m="1" x="4095"/>
        <item h="1" m="1" x="4096"/>
        <item h="1" m="1" x="1021"/>
        <item h="1" m="1" x="4097"/>
        <item h="1" m="1" x="4013"/>
        <item h="1" m="1" x="1712"/>
        <item h="1" m="1" x="1751"/>
        <item h="1" m="1" x="1797"/>
        <item h="1" m="1" x="3145"/>
        <item h="1" m="1" x="4098"/>
        <item h="1" m="1" x="1806"/>
        <item h="1" m="1" x="2515"/>
        <item h="1" m="1" x="4100"/>
        <item h="1" m="1" x="4101"/>
        <item h="1" m="1" x="3848"/>
        <item h="1" m="1" x="3489"/>
        <item h="1" m="1" x="3490"/>
        <item h="1" m="1" x="3791"/>
        <item h="1" m="1" x="3850"/>
        <item h="1" m="1" x="3852"/>
        <item h="1" m="1" x="2528"/>
        <item h="1" m="1" x="3796"/>
        <item h="1" m="1" x="3856"/>
        <item h="1" m="1" x="3863"/>
        <item h="1" m="1" x="3864"/>
        <item h="1" m="1" x="3865"/>
        <item h="1" m="1" x="2688"/>
        <item h="1" m="1" x="1229"/>
        <item h="1" m="1" x="3506"/>
        <item h="1" m="1" x="3870"/>
        <item h="1" m="1" x="3874"/>
        <item h="1" m="1" x="3875"/>
        <item h="1" m="1" x="3876"/>
        <item h="1" m="1" x="3227"/>
        <item h="1" m="1" x="3802"/>
        <item h="1" m="1" x="3879"/>
        <item h="1" m="1" x="3881"/>
        <item h="1" m="1" x="3882"/>
        <item h="1" m="1" x="3884"/>
        <item h="1" m="1" x="3885"/>
        <item h="1" m="1" x="3886"/>
        <item h="1" m="1" x="3888"/>
        <item h="1" m="1" x="3889"/>
        <item h="1" m="1" x="3890"/>
        <item h="1" m="1" x="3891"/>
        <item h="1" m="1" x="3893"/>
        <item h="1" m="1" x="3317"/>
        <item h="1" m="1" x="3514"/>
        <item h="1" m="1" x="3895"/>
        <item h="1" m="1" x="3896"/>
        <item h="1" m="1" x="3897"/>
        <item h="1" m="1" x="1925"/>
        <item h="1" m="1" x="3898"/>
        <item h="1" m="1" x="3899"/>
        <item h="1" m="1" x="3900"/>
        <item h="1" m="1" x="2396"/>
        <item h="1" m="1" x="3901"/>
        <item h="1" m="1" x="3805"/>
        <item h="1" m="1" x="3907"/>
        <item h="1" m="1" x="3908"/>
        <item h="1" m="1" x="3911"/>
        <item h="1" m="1" x="3913"/>
        <item h="1" m="1" x="3916"/>
        <item h="1" m="1" x="3921"/>
        <item h="1" m="1" x="3808"/>
        <item h="1" m="1" x="3924"/>
        <item h="1" m="1" x="3928"/>
        <item h="1" m="1" x="3930"/>
        <item h="1" m="1" x="3931"/>
        <item h="1" m="1" x="3932"/>
        <item h="1" m="1" x="3527"/>
        <item h="1" m="1" x="3528"/>
        <item h="1" m="1" x="3938"/>
        <item h="1" m="1" x="3941"/>
        <item h="1" m="1" x="3942"/>
        <item h="1" m="1" x="3943"/>
        <item h="1" m="1" x="3944"/>
        <item h="1" m="1" x="3945"/>
        <item h="1" m="1" x="3946"/>
        <item h="1" m="1" x="3947"/>
        <item h="1" m="1" x="3948"/>
        <item h="1" m="1" x="3809"/>
        <item h="1" m="1" x="3950"/>
        <item h="1" m="1" x="3951"/>
        <item h="1" m="1" x="3812"/>
        <item h="1" m="1" x="3484"/>
        <item h="1" m="1" x="3955"/>
        <item h="1" m="1" x="2147"/>
        <item h="1" m="1" x="3963"/>
        <item h="1" m="1" x="3049"/>
        <item h="1" m="1" x="3964"/>
        <item h="1" m="1" x="3965"/>
        <item h="1" m="1" x="3966"/>
        <item h="1" m="1" x="3967"/>
        <item h="1" m="1" x="3968"/>
        <item h="1" m="1" x="3969"/>
        <item h="1" m="1" x="3979"/>
        <item h="1" m="1" x="3980"/>
        <item h="1" m="1" x="3981"/>
        <item h="1" m="1" x="3983"/>
        <item h="1" m="1" x="3815"/>
        <item h="1" m="1" x="1940"/>
        <item h="1" m="1" x="3991"/>
        <item h="1" m="1" x="3993"/>
        <item h="1" m="1" x="1800"/>
        <item h="1" m="1" x="2894"/>
        <item h="1" m="1" x="1888"/>
        <item h="1" m="1" x="2896"/>
        <item h="1" m="1" x="3825"/>
        <item h="1" m="1" x="3826"/>
        <item h="1" m="1" x="3996"/>
        <item h="1" m="1" x="3770"/>
        <item h="1" m="1" x="1881"/>
        <item h="1" m="1" x="2254"/>
        <item h="1" m="1" x="3999"/>
        <item h="1" m="1" x="4000"/>
        <item h="1" m="1" x="4001"/>
        <item h="1" m="1" x="1890"/>
        <item h="1" m="1" x="1843"/>
        <item h="1" m="1" x="3422"/>
        <item h="1" m="1" x="3423"/>
        <item h="1" m="1" x="3424"/>
        <item h="1" m="1" x="4004"/>
        <item h="1" m="1" x="1701"/>
        <item h="1" m="1" x="1727"/>
        <item h="1" m="1" x="2648"/>
        <item h="1" m="1" x="3268"/>
        <item h="1" m="1" x="4010"/>
        <item h="1" m="1" x="3845"/>
        <item h="1" m="1" x="3409"/>
        <item h="1" m="1" x="3272"/>
        <item h="1" m="1" x="3491"/>
        <item h="1" m="1" x="3495"/>
        <item h="1" m="1" x="3496"/>
        <item h="1" m="1" x="3498"/>
        <item h="1" m="1" x="3505"/>
        <item h="1" m="1" x="3503"/>
        <item h="1" m="1" x="3499"/>
        <item h="1" m="1" x="3500"/>
        <item h="1" m="1" x="3501"/>
        <item h="1" m="1" x="3502"/>
        <item h="1" m="1" x="2133"/>
        <item h="1" m="1" x="3794"/>
        <item h="1" m="1" x="3795"/>
        <item h="1" m="1" x="3654"/>
        <item h="1" m="1" x="3659"/>
        <item h="1" m="1" x="3660"/>
        <item h="1" m="1" x="3661"/>
        <item h="1" m="1" x="3662"/>
        <item h="1" m="1" x="3733"/>
        <item h="1" m="1" x="3658"/>
        <item h="1" m="1" x="3413"/>
        <item h="1" m="1" x="3414"/>
        <item h="1" m="1" x="3663"/>
        <item h="1" m="1" x="3804"/>
        <item h="1" m="1" x="3508"/>
        <item h="1" m="1" x="2068"/>
        <item h="1" x="357"/>
        <item h="1" m="1" x="3513"/>
        <item h="1" m="1" x="3806"/>
        <item h="1" m="1" x="3807"/>
        <item h="1" x="244"/>
        <item h="1" m="1" x="1216"/>
        <item h="1" m="1" x="3742"/>
        <item h="1" m="1" x="3519"/>
        <item h="1" m="1" x="3521"/>
        <item h="1" m="1" x="3744"/>
        <item h="1" m="1" x="3745"/>
        <item h="1" m="1" x="3534"/>
        <item h="1" m="1" x="3535"/>
        <item h="1" m="1" x="3536"/>
        <item h="1" m="1" x="3530"/>
        <item h="1" m="1" x="3531"/>
        <item h="1" m="1" x="3810"/>
        <item h="1" m="1" x="3811"/>
        <item h="1" m="1" x="3538"/>
        <item h="1" m="1" x="2957"/>
        <item h="1" m="1" x="3813"/>
        <item h="1" m="1" x="3263"/>
        <item h="1" m="1" x="3264"/>
        <item h="1" m="1" x="3032"/>
        <item h="1" m="1" x="3814"/>
        <item h="1" m="1" x="3539"/>
        <item h="1" m="1" x="3540"/>
        <item h="1" m="1" x="3541"/>
        <item h="1" m="1" x="3542"/>
        <item h="1" m="1" x="3546"/>
        <item h="1" m="1" x="3547"/>
        <item h="1" m="1" x="3265"/>
        <item h="1" m="1" x="3816"/>
        <item h="1" m="1" x="3696"/>
        <item h="1" m="1" x="3702"/>
        <item h="1" m="1" x="3700"/>
        <item h="1" m="1" x="3699"/>
        <item h="1" m="1" x="3703"/>
        <item h="1" m="1" x="3819"/>
        <item h="1" m="1" x="3419"/>
        <item h="1" m="1" x="3757"/>
        <item h="1" m="1" x="3266"/>
        <item h="1" m="1" x="3704"/>
        <item h="1" m="1" x="3707"/>
        <item h="1" m="1" x="3709"/>
        <item h="1" m="1" x="3712"/>
        <item h="1" m="1" x="3713"/>
        <item h="1" m="1" x="3708"/>
        <item h="1" m="1" x="3711"/>
        <item h="1" m="1" x="3710"/>
        <item h="1" m="1" x="3705"/>
        <item h="1" m="1" x="1873"/>
        <item h="1" m="1" x="1893"/>
        <item h="1" m="1" x="3829"/>
        <item h="1" m="1" x="3716"/>
        <item h="1" m="1" x="3772"/>
        <item h="1" m="1" x="3773"/>
        <item h="1" m="1" x="3830"/>
        <item h="1" m="1" x="3267"/>
        <item h="1" m="1" x="3775"/>
        <item h="1" m="1" x="3831"/>
        <item h="1" m="1" x="1757"/>
        <item h="1" m="1" x="3777"/>
        <item h="1" m="1" x="3834"/>
        <item h="1" m="1" x="3836"/>
        <item h="1" m="1" x="3837"/>
        <item h="1" m="1" x="3839"/>
        <item h="1" m="1" x="3841"/>
        <item h="1" m="1" x="3846"/>
        <item h="1" m="1" x="3270"/>
        <item h="1" m="1" x="3271"/>
        <item h="1" m="1" x="3269"/>
        <item h="1" m="1" x="2932"/>
        <item h="1" m="1" x="2946"/>
        <item h="1" m="1" x="3729"/>
        <item h="1" m="1" x="3730"/>
        <item h="1" m="1" x="3731"/>
        <item h="1" m="1" x="3095"/>
        <item h="1" m="1" x="3504"/>
        <item h="1" m="1" x="3497"/>
        <item h="1" m="1" x="1350"/>
        <item h="1" m="1" x="3732"/>
        <item h="1" m="1" x="3667"/>
        <item h="1" m="1" x="3668"/>
        <item h="1" m="1" x="3735"/>
        <item h="1" m="1" x="3669"/>
        <item h="1" m="1" x="3657"/>
        <item h="1" m="1" x="3671"/>
        <item h="1" m="1" x="3655"/>
        <item h="1" m="1" x="3672"/>
        <item h="1" m="1" x="3736"/>
        <item h="1" m="1" x="3509"/>
        <item h="1" m="1" x="3737"/>
        <item h="1" m="1" x="3738"/>
        <item h="1" m="1" x="3739"/>
        <item h="1" m="1" x="3740"/>
        <item h="1" m="1" x="3741"/>
        <item h="1" m="1" x="3510"/>
        <item h="1" m="1" x="3517"/>
        <item h="1" m="1" x="2911"/>
        <item h="1" m="1" x="3682"/>
        <item h="1" m="1" x="3683"/>
        <item h="1" m="1" x="3684"/>
        <item h="1" m="1" x="3681"/>
        <item h="1" m="1" x="3515"/>
        <item h="1" m="1" x="3685"/>
        <item h="1" m="1" x="3743"/>
        <item h="1" m="1" x="3523"/>
        <item h="1" m="1" x="3524"/>
        <item h="1" m="1" x="3525"/>
        <item h="1" m="1" x="3537"/>
        <item h="1" m="1" x="3746"/>
        <item h="1" m="1" x="3747"/>
        <item h="1" m="1" x="3529"/>
        <item h="1" m="1" x="3686"/>
        <item h="1" m="1" x="3748"/>
        <item h="1" m="1" x="3749"/>
        <item h="1" m="1" x="3750"/>
        <item h="1" m="1" x="3691"/>
        <item h="1" m="1" x="3687"/>
        <item h="1" m="1" x="3688"/>
        <item h="1" m="1" x="3690"/>
        <item h="1" m="1" x="3689"/>
        <item h="1" m="1" x="3112"/>
        <item h="1" m="1" x="3287"/>
        <item h="1" m="1" x="1204"/>
        <item h="1" m="1" x="3751"/>
        <item h="1" m="1" x="3544"/>
        <item h="1" m="1" x="3694"/>
        <item h="1" m="1" x="3752"/>
        <item h="1" m="1" x="1874"/>
        <item h="1" m="1" x="3753"/>
        <item h="1" m="1" x="3416"/>
        <item h="1" m="1" x="3417"/>
        <item h="1" m="1" x="3754"/>
        <item h="1" m="1" x="3548"/>
        <item h="1" m="1" x="1864"/>
        <item h="1" m="1" x="1728"/>
        <item h="1" m="1" x="3758"/>
        <item h="1" m="1" x="3759"/>
        <item h="1" m="1" x="3760"/>
        <item h="1" m="1" x="3761"/>
        <item h="1" m="1" x="3765"/>
        <item h="1" m="1" x="3766"/>
        <item h="1" m="1" x="3767"/>
        <item h="1" m="1" x="3768"/>
        <item h="1" m="1" x="3769"/>
        <item h="1" m="1" x="3164"/>
        <item h="1" m="1" x="3420"/>
        <item h="1" m="1" x="3421"/>
        <item h="1" m="1" x="1892"/>
        <item h="1" m="1" x="1891"/>
        <item h="1" m="1" x="1261"/>
        <item h="1" m="1" x="3771"/>
        <item h="1" m="1" x="3290"/>
        <item h="1" m="1" x="3717"/>
        <item h="1" m="1" x="3778"/>
        <item h="1" m="1" x="3779"/>
        <item h="1" m="1" x="3780"/>
        <item h="1" m="1" x="3781"/>
        <item h="1" m="1" x="3782"/>
        <item h="1" m="1" x="3783"/>
        <item h="1" m="1" x="3784"/>
        <item h="1" m="1" x="3785"/>
        <item h="1" m="1" x="3786"/>
        <item h="1" m="1" x="3787"/>
        <item h="1" m="1" x="3293"/>
        <item h="1" m="1" x="3788"/>
        <item h="1" m="1" x="2512"/>
        <item h="1" m="1" x="2516"/>
        <item h="1" m="1" x="3790"/>
        <item h="1" m="1" x="2952"/>
        <item h="1" m="1" x="2953"/>
        <item h="1" m="1" x="1196"/>
        <item h="1" m="1" x="3315"/>
        <item h="1" m="1" x="3492"/>
        <item h="1" m="1" x="3493"/>
        <item h="1" m="1" x="3494"/>
        <item h="1" m="1" x="3652"/>
        <item h="1" m="1" x="3558"/>
        <item h="1" m="1" x="3559"/>
        <item h="1" m="1" x="3274"/>
        <item h="1" m="1" x="3277"/>
        <item h="1" m="1" x="2057"/>
        <item h="1" m="1" x="3656"/>
        <item h="1" m="1" x="2554"/>
        <item h="1" m="1" x="3664"/>
        <item h="1" m="1" x="3665"/>
        <item h="1" m="1" x="544"/>
        <item h="1" m="1" x="3673"/>
        <item h="1" m="1" x="3512"/>
        <item h="1" m="1" x="3511"/>
        <item h="1" m="1" x="3674"/>
        <item h="1" m="1" x="3675"/>
        <item h="1" m="1" x="3676"/>
        <item h="1" m="1" x="3677"/>
        <item h="1" m="1" x="3678"/>
        <item h="1" m="1" x="3566"/>
        <item h="1" m="1" x="3567"/>
        <item h="1" m="1" x="3574"/>
        <item h="1" m="1" x="3579"/>
        <item h="1" m="1" x="3580"/>
        <item h="1" m="1" x="3679"/>
        <item h="1" m="1" x="3680"/>
        <item h="1" m="1" x="1214"/>
        <item h="1" m="1" x="2171"/>
        <item h="1" m="1" x="3518"/>
        <item h="1" m="1" x="3585"/>
        <item h="1" m="1" x="3593"/>
        <item h="1" m="1" x="3526"/>
        <item h="1" m="1" x="3596"/>
        <item h="1" m="1" x="3532"/>
        <item h="1" m="1" x="3692"/>
        <item h="1" m="1" x="2798"/>
        <item h="1" m="1" x="3119"/>
        <item h="1" m="1" x="3105"/>
        <item h="1" m="1" x="3543"/>
        <item h="1" m="1" x="3638"/>
        <item h="1" m="1" x="3645"/>
        <item h="1" m="1" x="3545"/>
        <item h="1" m="1" x="3693"/>
        <item h="1" m="1" x="3643"/>
        <item h="1" m="1" x="3695"/>
        <item h="1" m="1" x="3697"/>
        <item h="1" m="1" x="3698"/>
        <item h="1" m="1" x="1745"/>
        <item h="1" m="1" x="3289"/>
        <item h="1" m="1" x="3163"/>
        <item h="1" m="1" x="2083"/>
        <item h="1" m="1" x="3714"/>
        <item h="1" x="80"/>
        <item h="1" m="1" x="3715"/>
        <item h="1" m="1" x="2108"/>
        <item h="1" m="1" x="3718"/>
        <item h="1" m="1" x="3721"/>
        <item h="1" m="1" x="3722"/>
        <item h="1" m="1" x="3724"/>
        <item h="1" m="1" x="3626"/>
        <item h="1" m="1" x="3089"/>
        <item h="1" m="1" x="2758"/>
        <item h="1" m="1" x="3726"/>
        <item h="1" m="1" x="3727"/>
        <item h="1" m="1" x="3093"/>
        <item h="1" m="1" x="3151"/>
        <item h="1" m="1" x="2687"/>
        <item h="1" m="1" x="3627"/>
        <item h="1" m="1" x="3507"/>
        <item h="1" m="1" x="3549"/>
        <item h="1" m="1" x="3550"/>
        <item h="1" m="1" x="3551"/>
        <item h="1" m="1" x="3552"/>
        <item h="1" m="1" x="3553"/>
        <item h="1" m="1" x="3554"/>
        <item h="1" m="1" x="3555"/>
        <item h="1" m="1" x="3556"/>
        <item h="1" m="1" x="3557"/>
        <item h="1" m="1" x="3560"/>
        <item h="1" x="135"/>
        <item h="1" m="1" x="3561"/>
        <item h="1" m="1" x="3562"/>
        <item h="1" m="1" x="3563"/>
        <item h="1" m="1" x="2536"/>
        <item h="1" m="1" x="3276"/>
        <item h="1" x="83"/>
        <item h="1" m="1" x="3564"/>
        <item h="1" m="1" x="3279"/>
        <item h="1" m="1" x="3565"/>
        <item h="1" m="1" x="3157"/>
        <item h="1" m="1" x="3411"/>
        <item h="1" m="1" x="3412"/>
        <item h="1" x="107"/>
        <item h="1" m="1" x="3568"/>
        <item h="1" m="1" x="3569"/>
        <item h="1" m="1" x="3570"/>
        <item h="1" m="1" x="3571"/>
        <item h="1" m="1" x="3572"/>
        <item h="1" m="1" x="3573"/>
        <item h="1" m="1" x="3575"/>
        <item h="1" m="1" x="3576"/>
        <item h="1" m="1" x="3577"/>
        <item h="1" m="1" x="3578"/>
        <item h="1" m="1" x="3581"/>
        <item h="1" m="1" x="3582"/>
        <item h="1" m="1" x="3583"/>
        <item h="1" m="1" x="3584"/>
        <item h="1" m="1" x="3586"/>
        <item h="1" m="1" x="3587"/>
        <item h="1" m="1" x="3588"/>
        <item h="1" m="1" x="3589"/>
        <item h="1" m="1" x="3590"/>
        <item h="1" m="1" x="3591"/>
        <item h="1" m="1" x="3592"/>
        <item h="1" m="1" x="3594"/>
        <item h="1" m="1" x="3595"/>
        <item h="1" m="1" x="3597"/>
        <item h="1" m="1" x="3598"/>
        <item h="1" m="1" x="3599"/>
        <item h="1" m="1" x="1383"/>
        <item h="1" m="1" x="3600"/>
        <item h="1" m="1" x="3601"/>
        <item h="1" m="1" x="3031"/>
        <item h="1" m="1" x="3106"/>
        <item h="1" m="1" x="3107"/>
        <item h="1" m="1" x="3113"/>
        <item h="1" m="1" x="3602"/>
        <item h="1" m="1" x="3603"/>
        <item h="1" m="1" x="3604"/>
        <item h="1" m="1" x="3288"/>
        <item h="1" m="1" x="3605"/>
        <item h="1" m="1" x="3606"/>
        <item h="1" m="1" x="3607"/>
        <item h="1" m="1" x="1951"/>
        <item h="1" m="1" x="3608"/>
        <item h="1" m="1" x="3609"/>
        <item h="1" m="1" x="3445"/>
        <item h="1" m="1" x="3446"/>
        <item h="1" m="1" x="1812"/>
        <item h="1" m="1" x="3610"/>
        <item h="1" m="1" x="3611"/>
        <item h="1" m="1" x="1887"/>
        <item h="1" m="1" x="3612"/>
        <item h="1" m="1" x="3613"/>
        <item h="1" m="1" x="3614"/>
        <item h="1" m="1" x="2024"/>
        <item h="1" m="1" x="1658"/>
        <item h="1" m="1" x="3615"/>
        <item h="1" m="1" x="1884"/>
        <item h="1" m="1" x="3616"/>
        <item h="1" m="1" x="3617"/>
        <item h="1" m="1" x="3618"/>
        <item h="1" m="1" x="2831"/>
        <item h="1" m="1" x="3425"/>
        <item h="1" m="1" x="3426"/>
        <item h="1" m="1" x="3619"/>
        <item h="1" m="1" x="3620"/>
        <item h="1" m="1" x="3621"/>
        <item h="1" m="1" x="3622"/>
        <item h="1" m="1" x="3623"/>
        <item h="1" m="1" x="1657"/>
        <item h="1" m="1" x="3624"/>
        <item h="1" m="1" x="3292"/>
        <item h="1" m="1" x="3625"/>
        <item h="1" m="1" x="1617"/>
        <item h="1" m="1" x="643"/>
        <item h="1" m="1" x="3295"/>
        <item h="1" m="1" x="3438"/>
        <item h="1" m="1" x="3628"/>
        <item h="1" m="1" x="3629"/>
        <item h="1" m="1" x="3631"/>
        <item h="1" m="1" x="3632"/>
        <item h="1" m="1" x="3633"/>
        <item h="1" m="1" x="3634"/>
        <item h="1" m="1" x="3635"/>
        <item h="1" m="1" x="2887"/>
        <item h="1" m="1" x="3636"/>
        <item h="1" m="1" x="3637"/>
        <item h="1" m="1" x="3639"/>
        <item h="1" m="1" x="3640"/>
        <item h="1" m="1" x="3641"/>
        <item h="1" m="1" x="3642"/>
        <item h="1" m="1" x="3644"/>
        <item h="1" m="1" x="3646"/>
        <item h="1" m="1" x="3647"/>
        <item h="1" m="1" x="3648"/>
        <item h="1" m="1" x="3649"/>
        <item h="1" m="1" x="3650"/>
        <item h="1" m="1" x="3651"/>
        <item h="1" m="1" x="3465"/>
        <item h="1" m="1" x="3466"/>
        <item h="1" m="1" x="3467"/>
        <item h="1" m="1" x="3468"/>
        <item h="1" m="1" x="3410"/>
        <item h="1" m="1" x="3427"/>
        <item h="1" m="1" x="3428"/>
        <item h="1" x="268"/>
        <item h="1" m="1" x="3429"/>
        <item h="1" m="1" x="3430"/>
        <item h="1" m="1" x="3431"/>
        <item h="1" m="1" x="3432"/>
        <item h="1" m="1" x="3297"/>
        <item h="1" m="1" x="2966"/>
        <item h="1" m="1" x="3298"/>
        <item h="1" m="1" x="2519"/>
        <item h="1" m="1" x="3299"/>
        <item h="1" m="1" x="3275"/>
        <item h="1" m="1" x="935"/>
        <item h="1" m="1" x="858"/>
        <item h="1" m="1" x="3435"/>
        <item h="1" x="337"/>
        <item h="1" m="1" x="2544"/>
        <item h="1" m="1" x="3436"/>
        <item h="1" m="1" x="3437"/>
        <item h="1" m="1" x="3154"/>
        <item h="1" m="1" x="2853"/>
        <item h="1" m="1" x="3302"/>
        <item h="1" m="1" x="1535"/>
        <item h="1" m="1" x="3439"/>
        <item h="1" m="1" x="3280"/>
        <item h="1" m="1" x="3440"/>
        <item h="1" m="1" x="3441"/>
        <item h="1" m="1" x="3442"/>
        <item h="1" m="1" x="2873"/>
        <item h="1" m="1" x="3444"/>
        <item h="1" m="1" x="3319"/>
        <item h="1" m="1" x="3320"/>
        <item h="1" m="1" x="3286"/>
        <item h="1" m="1" x="3327"/>
        <item h="1" m="1" x="3330"/>
        <item h="1" m="1" x="3331"/>
        <item h="1" m="1" x="3332"/>
        <item h="1" m="1" x="3333"/>
        <item h="1" m="1" x="3281"/>
        <item h="1" m="1" x="3282"/>
        <item h="1" m="1" x="3283"/>
        <item h="1" m="1" x="3284"/>
        <item h="1" m="1" x="3285"/>
        <item h="1" m="1" x="3338"/>
        <item h="1" m="1" x="3363"/>
        <item h="1" m="1" x="1694"/>
        <item h="1" m="1" x="2735"/>
        <item h="1" m="1" x="2322"/>
        <item h="1" m="1" x="3447"/>
        <item h="1" m="1" x="2106"/>
        <item h="1" m="1" x="2107"/>
        <item h="1" m="1" x="3448"/>
        <item h="1" m="1" x="3449"/>
        <item h="1" m="1" x="3450"/>
        <item h="1" m="1" x="3451"/>
        <item h="1" m="1" x="3452"/>
        <item h="1" m="1" x="3453"/>
        <item h="1" m="1" x="3455"/>
        <item h="1" m="1" x="3456"/>
        <item h="1" m="1" x="3457"/>
        <item h="1" m="1" x="3458"/>
        <item h="1" m="1" x="1656"/>
        <item h="1" m="1" x="3459"/>
        <item h="1" m="1" x="3460"/>
        <item h="1" m="1" x="2345"/>
        <item h="1" m="1" x="2114"/>
        <item h="1" m="1" x="3461"/>
        <item h="1" m="1" x="3291"/>
        <item h="1" m="1" x="1845"/>
        <item h="1" m="1" x="3462"/>
        <item h="1" m="1" x="3463"/>
        <item h="1" m="1" x="1807"/>
        <item h="1" m="1" x="3464"/>
        <item h="1" m="1" x="2935"/>
        <item h="1" m="1" x="2284"/>
        <item h="1" m="1" x="2940"/>
        <item h="1" m="1" x="2942"/>
        <item h="1" m="1" x="2518"/>
        <item h="1" x="157"/>
        <item h="1" m="1" x="3296"/>
        <item h="1" m="1" x="3171"/>
        <item h="1" m="1" x="3155"/>
        <item h="1" m="1" x="3303"/>
        <item h="1" m="1" x="3304"/>
        <item h="1" m="1" x="2776"/>
        <item h="1" m="1" x="2537"/>
        <item h="1" m="1" x="3305"/>
        <item h="1" m="1" x="3158"/>
        <item h="1" m="1" x="1093"/>
        <item h="1" m="1" x="2879"/>
        <item h="1" m="1" x="3308"/>
        <item h="1" m="1" x="3309"/>
        <item h="1" m="1" x="3310"/>
        <item h="1" m="1" x="2714"/>
        <item h="1" m="1" x="2172"/>
        <item h="1" m="1" x="3312"/>
        <item h="1" m="1" x="3011"/>
        <item h="1" m="1" x="3009"/>
        <item h="1" m="1" x="3313"/>
        <item h="1" m="1" x="3314"/>
        <item h="1" m="1" x="3316"/>
        <item h="1" m="1" x="3318"/>
        <item h="1" m="1" x="3321"/>
        <item h="1" m="1" x="3322"/>
        <item h="1" m="1" x="3323"/>
        <item h="1" m="1" x="3325"/>
        <item h="1" m="1" x="3326"/>
        <item h="1" m="1" x="3328"/>
        <item h="1" m="1" x="2570"/>
        <item h="1" m="1" x="3329"/>
        <item h="1" m="1" x="3334"/>
        <item h="1" m="1" x="3335"/>
        <item h="1" m="1" x="3336"/>
        <item h="1" m="1" x="2958"/>
        <item h="1" m="1" x="3036"/>
        <item h="1" m="1" x="1902"/>
        <item h="1" m="1" x="3337"/>
        <item h="1" m="1" x="2852"/>
        <item h="1" m="1" x="3340"/>
        <item h="1" m="1" x="3341"/>
        <item h="1" m="1" x="2885"/>
        <item h="1" m="1" x="3342"/>
        <item h="1" m="1" x="2078"/>
        <item h="1" m="1" x="3042"/>
        <item h="1" m="1" x="3043"/>
        <item h="1" m="1" x="3343"/>
        <item h="1" m="1" x="3344"/>
        <item h="1" m="1" x="3345"/>
        <item h="1" m="1" x="3346"/>
        <item h="1" m="1" x="3347"/>
        <item h="1" m="1" x="3348"/>
        <item h="1" m="1" x="3349"/>
        <item h="1" m="1" x="3350"/>
        <item h="1" m="1" x="3351"/>
        <item h="1" m="1" x="3162"/>
        <item h="1" m="1" x="1654"/>
        <item h="1" m="1" x="1690"/>
        <item h="1" m="1" x="2745"/>
        <item h="1" m="1" x="3353"/>
        <item h="1" m="1" x="1604"/>
        <item h="1" m="1" x="3208"/>
        <item h="1" m="1" x="3209"/>
        <item h="1" m="1" x="3354"/>
        <item h="1" m="1" x="2914"/>
        <item h="1" m="1" x="2919"/>
        <item h="1" m="1" x="3355"/>
        <item h="1" m="1" x="2498"/>
        <item h="1" m="1" x="3235"/>
        <item h="1" m="1" x="3356"/>
        <item h="1" m="1" x="3357"/>
        <item h="1" m="1" x="3358"/>
        <item h="1" m="1" x="3232"/>
        <item h="1" m="1" x="3233"/>
        <item h="1" m="1" x="3359"/>
        <item h="1" m="1" x="3237"/>
        <item h="1" m="1" x="3360"/>
        <item h="1" m="1" x="3229"/>
        <item h="1" m="1" x="3361"/>
        <item h="1" m="1" x="3228"/>
        <item h="1" m="1" x="3230"/>
        <item h="1" m="1" x="3231"/>
        <item h="1" m="1" x="3362"/>
        <item h="1" m="1" x="3364"/>
        <item h="1" m="1" x="3365"/>
        <item h="1" m="1" x="3366"/>
        <item h="1" m="1" x="3367"/>
        <item h="1" m="1" x="3181"/>
        <item h="1" m="1" x="3368"/>
        <item h="1" m="1" x="3369"/>
        <item h="1" m="1" x="3370"/>
        <item h="1" m="1" x="3371"/>
        <item h="1" m="1" x="3372"/>
        <item h="1" m="1" x="3373"/>
        <item h="1" m="1" x="2562"/>
        <item h="1" m="1" x="3374"/>
        <item h="1" m="1" x="3375"/>
        <item h="1" m="1" x="3092"/>
        <item h="1" m="1" x="3377"/>
        <item h="1" m="1" x="3378"/>
        <item h="1" m="1" x="3379"/>
        <item h="1" m="1" x="3198"/>
        <item h="1" m="1" x="3380"/>
        <item h="1" m="1" x="1840"/>
        <item h="1" m="1" x="1801"/>
        <item h="1" m="1" x="3381"/>
        <item h="1" m="1" x="3382"/>
        <item h="1" m="1" x="3383"/>
        <item h="1" m="1" x="3384"/>
        <item h="1" m="1" x="3385"/>
        <item h="1" m="1" x="1886"/>
        <item h="1" m="1" x="3225"/>
        <item h="1" m="1" x="3219"/>
        <item h="1" m="1" x="3386"/>
        <item h="1" m="1" x="3221"/>
        <item h="1" m="1" x="3216"/>
        <item h="1" m="1" x="3387"/>
        <item h="1" m="1" x="3388"/>
        <item h="1" m="1" x="3131"/>
        <item h="1" m="1" x="3389"/>
        <item h="1" m="1" x="3226"/>
        <item h="1" m="1" x="1685"/>
        <item h="1" m="1" x="1842"/>
        <item h="1" m="1" x="2920"/>
        <item h="1" m="1" x="3390"/>
        <item h="1" m="1" x="1938"/>
        <item h="1" m="1" x="3391"/>
        <item h="1" m="1" x="3392"/>
        <item h="1" m="1" x="3393"/>
        <item h="1" m="1" x="3236"/>
        <item h="1" m="1" x="3394"/>
        <item h="1" m="1" x="3395"/>
        <item h="1" m="1" x="3148"/>
        <item h="1" m="1" x="2943"/>
        <item h="1" m="1" x="3396"/>
        <item h="1" m="1" x="3397"/>
        <item h="1" m="1" x="2951"/>
        <item h="1" m="1" x="3161"/>
        <item h="1" m="1" x="1584"/>
        <item h="1" m="1" x="1583"/>
        <item h="1" m="1" x="1900"/>
        <item h="1" m="1" x="1439"/>
        <item h="1" m="1" x="3168"/>
        <item h="1" m="1" x="3169"/>
        <item h="1" m="1" x="3170"/>
        <item h="1" m="1" x="3094"/>
        <item h="1" m="1" x="3172"/>
        <item h="1" m="1" x="3173"/>
        <item h="1" m="1" x="3175"/>
        <item h="1" m="1" x="3176"/>
        <item h="1" m="1" x="1518"/>
        <item h="1" m="1" x="2854"/>
        <item h="1" m="1" x="2855"/>
        <item h="1" m="1" x="2778"/>
        <item h="1" m="1" x="1964"/>
        <item h="1" m="1" x="2550"/>
        <item h="1" m="1" x="2551"/>
        <item h="1" m="1" x="3180"/>
        <item h="1" m="1" x="3183"/>
        <item h="1" m="1" x="3185"/>
        <item h="1" m="1" x="3103"/>
        <item h="1" m="1" x="3186"/>
        <item h="1" m="1" x="3187"/>
        <item h="1" m="1" x="3188"/>
        <item h="1" m="1" x="3189"/>
        <item h="1" m="1" x="1215"/>
        <item h="1" m="1" x="2991"/>
        <item h="1" m="1" x="3191"/>
        <item h="1" m="1" x="2871"/>
        <item h="1" m="1" x="3192"/>
        <item h="1" m="1" x="3193"/>
        <item h="1" m="1" x="3194"/>
        <item h="1" m="1" x="3018"/>
        <item h="1" m="1" x="3195"/>
        <item h="1" m="1" x="3024"/>
        <item h="1" m="1" x="2142"/>
        <item h="1" m="1" x="3196"/>
        <item h="1" m="1" x="3197"/>
        <item h="1" m="1" x="3013"/>
        <item h="1" m="1" x="3117"/>
        <item h="1" m="1" x="3035"/>
        <item h="1" m="1" x="3116"/>
        <item h="1" m="1" x="3115"/>
        <item h="1" m="1" x="3034"/>
        <item h="1" m="1" x="3037"/>
        <item h="1" m="1" x="3199"/>
        <item h="1" m="1" x="1960"/>
        <item h="1" m="1" x="3200"/>
        <item h="1" m="1" x="3201"/>
        <item h="1" m="1" x="3202"/>
        <item h="1" m="1" x="3203"/>
        <item h="1" m="1" x="3204"/>
        <item h="1" m="1" x="2822"/>
        <item h="1" m="1" x="3205"/>
        <item h="1" m="1" x="3206"/>
        <item h="1" m="1" x="3207"/>
        <item h="1" m="1" x="1765"/>
        <item h="1" m="1" x="1733"/>
        <item h="1" m="1" x="3211"/>
        <item h="1" m="1" x="3213"/>
        <item h="1" m="1" x="3214"/>
        <item h="1" m="1" x="3215"/>
        <item h="1" m="1" x="3217"/>
        <item h="1" m="1" x="3218"/>
        <item h="1" m="1" x="3126"/>
        <item h="1" m="1" x="3222"/>
        <item h="1" m="1" x="3224"/>
        <item h="1" m="1" x="2488"/>
        <item h="1" m="1" x="3234"/>
        <item h="1" m="1" x="3238"/>
        <item h="1" m="1" x="2835"/>
        <item h="1" m="1" x="2836"/>
        <item h="1" m="1" x="3240"/>
        <item h="1" m="1" x="3241"/>
        <item h="1" m="1" x="1200"/>
        <item h="1" m="1" x="1519"/>
        <item h="1" m="1" x="3152"/>
        <item h="1" m="1" x="3242"/>
        <item h="1" m="1" x="2967"/>
        <item h="1" m="1" x="3243"/>
        <item h="1" m="1" x="3244"/>
        <item h="1" m="1" x="3245"/>
        <item h="1" m="1" x="3246"/>
        <item h="1" m="1" x="3247"/>
        <item h="1" m="1" x="3248"/>
        <item h="1" m="1" x="3250"/>
        <item h="1" m="1" x="3251"/>
        <item h="1" m="1" x="2214"/>
        <item h="1" m="1" x="3253"/>
        <item h="1" m="1" x="3254"/>
        <item h="1" m="1" x="3255"/>
        <item h="1" m="1" x="3256"/>
        <item h="1" x="367"/>
        <item h="1" m="1" x="3257"/>
        <item h="1" m="1" x="3258"/>
        <item h="1" m="1" x="3259"/>
        <item h="1" m="1" x="1877"/>
        <item h="1" m="1" x="3260"/>
        <item h="1" m="1" x="3261"/>
        <item h="1" m="1" x="3262"/>
        <item h="1" m="1" x="3137"/>
        <item h="1" m="1" x="2962"/>
        <item h="1" m="1" x="2964"/>
        <item h="1" m="1" x="2963"/>
        <item h="1" m="1" x="2848"/>
        <item h="1" m="1" x="2968"/>
        <item h="1" m="1" x="2433"/>
        <item h="1" m="1" x="3096"/>
        <item h="1" m="1" x="3097"/>
        <item h="1" m="1" x="3098"/>
        <item h="1" m="1" x="2973"/>
        <item h="1" m="1" x="2775"/>
        <item h="1" m="1" x="2777"/>
        <item h="1" m="1" x="2978"/>
        <item h="1" m="1" x="2856"/>
        <item h="1" m="1" x="2979"/>
        <item h="1" m="1" x="2982"/>
        <item h="1" m="1" x="2983"/>
        <item h="1" m="1" x="2549"/>
        <item h="1" m="1" x="2989"/>
        <item h="1" m="1" x="2990"/>
        <item h="1" m="1" x="3101"/>
        <item h="1" m="1" x="3102"/>
        <item h="1" m="1" x="2995"/>
        <item h="1" m="1" x="2996"/>
        <item h="1" m="1" x="3004"/>
        <item h="1" m="1" x="3005"/>
        <item h="1" m="1" x="2880"/>
        <item h="1" m="1" x="3008"/>
        <item h="1" m="1" x="3104"/>
        <item h="1" m="1" x="3022"/>
        <item h="1" m="1" x="3017"/>
        <item h="1" m="1" x="3020"/>
        <item h="1" m="1" x="3027"/>
        <item h="1" m="1" x="3033"/>
        <item h="1" m="1" x="3118"/>
        <item h="1" m="1" x="3041"/>
        <item h="1" m="1" x="3046"/>
        <item h="1" m="1" x="3051"/>
        <item h="1" m="1" x="3052"/>
        <item h="1" m="1" x="3053"/>
        <item h="1" m="1" x="3054"/>
        <item h="1" m="1" x="3055"/>
        <item h="1" m="1" x="3120"/>
        <item h="1" m="1" x="3121"/>
        <item h="1" m="1" x="3122"/>
        <item h="1" m="1" x="3123"/>
        <item h="1" m="1" x="2457"/>
        <item h="1" m="1" x="1736"/>
        <item h="1" m="1" x="1568"/>
        <item h="1" m="1" x="2897"/>
        <item h="1" m="1" x="1560"/>
        <item h="1" m="1" x="1569"/>
        <item h="1" m="1" x="1564"/>
        <item h="1" m="1" x="1565"/>
        <item h="1" m="1" x="1567"/>
        <item h="1" m="1" x="3125"/>
        <item h="1" m="1" x="1865"/>
        <item h="1" m="1" x="1866"/>
        <item h="1" m="1" x="3127"/>
        <item h="1" m="1" x="3128"/>
        <item h="1" m="1" x="3129"/>
        <item h="1" m="1" x="3130"/>
        <item h="1" m="1" x="1821"/>
        <item h="1" m="1" x="1822"/>
        <item h="1" m="1" x="3132"/>
        <item h="1" m="1" x="2901"/>
        <item h="1" m="1" x="2902"/>
        <item h="1" m="1" x="3134"/>
        <item h="1" m="1" x="1702"/>
        <item h="1" m="1" x="3140"/>
        <item h="1" m="1" x="2928"/>
        <item h="1" m="1" x="1570"/>
        <item h="1" m="1" x="1566"/>
        <item h="1" m="1" x="3085"/>
        <item h="1" m="1" x="3144"/>
        <item h="1" m="1" x="3147"/>
        <item h="1" m="1" x="3149"/>
        <item h="1" m="1" x="3150"/>
        <item h="1" m="1" x="2949"/>
        <item h="1" m="1" x="2844"/>
        <item h="1" m="1" x="2965"/>
        <item h="1" m="1" x="2769"/>
        <item h="1" m="1" x="2969"/>
        <item h="1" m="1" x="2971"/>
        <item h="1" m="1" x="2972"/>
        <item h="1" m="1" x="2975"/>
        <item h="1" x="84"/>
        <item h="1" m="1" x="2976"/>
        <item h="1" m="1" x="2977"/>
        <item h="1" m="1" x="2779"/>
        <item h="1" m="1" x="2858"/>
        <item h="1" m="1" x="2980"/>
        <item h="1" m="1" x="2784"/>
        <item h="1" m="1" x="2984"/>
        <item h="1" m="1" x="2545"/>
        <item h="1" m="1" x="2546"/>
        <item h="1" m="1" x="2986"/>
        <item h="1" m="1" x="2988"/>
        <item h="1" m="1" x="2992"/>
        <item h="1" m="1" x="2791"/>
        <item h="1" m="1" x="2993"/>
        <item h="1" m="1" x="2997"/>
        <item h="1" m="1" x="2998"/>
        <item h="1" m="1" x="2999"/>
        <item h="1" m="1" x="3000"/>
        <item h="1" m="1" x="2875"/>
        <item h="1" m="1" x="2876"/>
        <item h="1" m="1" x="2877"/>
        <item h="1" m="1" x="3001"/>
        <item h="1" m="1" x="2717"/>
        <item h="1" m="1" x="3002"/>
        <item h="1" m="1" x="2878"/>
        <item h="1" m="1" x="3006"/>
        <item h="1" x="371"/>
        <item h="1" m="1" x="3015"/>
        <item h="1" m="1" x="3019"/>
        <item h="1" m="1" x="3021"/>
        <item h="1" m="1" x="2569"/>
        <item h="1" m="1" x="3025"/>
        <item h="1" m="1" x="3026"/>
        <item h="1" m="1" x="3028"/>
        <item h="1" m="1" x="3029"/>
        <item h="1" m="1" x="3030"/>
        <item h="1" m="1" x="3040"/>
        <item h="1" m="1" x="3044"/>
        <item h="1" m="1" x="3045"/>
        <item h="1" m="1" x="3047"/>
        <item h="1" m="1" x="3048"/>
        <item h="1" m="1" x="3050"/>
        <item h="1" m="1" x="3056"/>
        <item h="1" m="1" x="2888"/>
        <item h="1" m="1" x="2808"/>
        <item h="1" m="1" x="2890"/>
        <item h="1" m="1" x="3057"/>
        <item h="1" m="1" x="3058"/>
        <item h="1" m="1" x="3059"/>
        <item h="1" m="1" x="1753"/>
        <item h="1" m="1" x="3060"/>
        <item h="1" m="1" x="2751"/>
        <item h="1" m="1" x="3061"/>
        <item h="1" m="1" x="2462"/>
        <item h="1" m="1" x="1563"/>
        <item h="1" m="1" x="3063"/>
        <item h="1" m="1" x="3064"/>
        <item h="1" m="1" x="1655"/>
        <item h="1" m="1" x="1602"/>
        <item h="1" m="1" x="1599"/>
        <item h="1" m="1" x="3066"/>
        <item h="1" m="1" x="3067"/>
        <item h="1" m="1" x="3068"/>
        <item h="1" m="1" x="3069"/>
        <item h="1" m="1" x="3070"/>
        <item h="1" m="1" x="3071"/>
        <item h="1" m="1" x="3072"/>
        <item h="1" m="1" x="3074"/>
        <item h="1" m="1" x="1897"/>
        <item h="1" m="1" x="3075"/>
        <item h="1" m="1" x="3076"/>
        <item h="1" m="1" x="3077"/>
        <item h="1" m="1" x="2909"/>
        <item h="1" m="1" x="3080"/>
        <item h="1" m="1" x="3081"/>
        <item h="1" m="1" x="3082"/>
        <item h="1" m="1" x="3083"/>
        <item h="1" m="1" x="3084"/>
        <item h="1" m="1" x="3086"/>
        <item h="1" m="1" x="2661"/>
        <item h="1" m="1" x="3087"/>
        <item h="1" m="1" x="3088"/>
        <item h="1" m="1" x="3090"/>
        <item h="1" m="1" x="3091"/>
        <item h="1" m="1" x="2684"/>
        <item h="1" m="1" x="2686"/>
        <item h="1" m="1" x="924"/>
        <item h="1" m="1" x="2959"/>
        <item h="1" m="1" x="2359"/>
        <item h="1" m="1" x="2847"/>
        <item h="1" x="215"/>
        <item h="1" m="1" x="2849"/>
        <item h="1" m="1" x="2693"/>
        <item h="1" m="1" x="2850"/>
        <item h="1" m="1" x="2770"/>
        <item h="1" m="1" x="2529"/>
        <item h="1" m="1" x="2694"/>
        <item h="1" m="1" x="2851"/>
        <item h="1" x="219"/>
        <item h="1" m="1" x="2774"/>
        <item h="1" m="1" x="2535"/>
        <item h="1" m="1" x="2702"/>
        <item h="1" m="1" x="2857"/>
        <item h="1" m="1" x="2860"/>
        <item h="1" m="1" x="2064"/>
        <item h="1" m="1" x="2781"/>
        <item h="1" m="1" x="2862"/>
        <item h="1" m="1" x="2782"/>
        <item h="1" m="1" x="2864"/>
        <item h="1" m="1" x="2866"/>
        <item h="1" m="1" x="2792"/>
        <item h="1" m="1" x="2793"/>
        <item h="1" m="1" x="2867"/>
        <item h="1" m="1" x="2868"/>
        <item h="1" m="1" x="2785"/>
        <item h="1" m="1" x="2786"/>
        <item h="1" m="1" x="2556"/>
        <item h="1" m="1" x="2711"/>
        <item h="1" m="1" x="2710"/>
        <item h="1" m="1" x="2394"/>
        <item h="1" m="1" x="2177"/>
        <item h="1" m="1" x="2176"/>
        <item h="1" m="1" x="2398"/>
        <item h="1" m="1" x="2397"/>
        <item h="1" m="1" x="2794"/>
        <item h="1" m="1" x="2574"/>
        <item h="1" m="1" x="2418"/>
        <item h="1" m="1" x="2419"/>
        <item h="1" m="1" x="2421"/>
        <item h="1" m="1" x="2420"/>
        <item h="1" m="1" x="2883"/>
        <item h="1" m="1" x="2577"/>
        <item h="1" m="1" x="2884"/>
        <item h="1" m="1" x="2886"/>
        <item h="1" m="1" x="2802"/>
        <item h="1" m="1" x="2804"/>
        <item h="1" m="1" x="2805"/>
        <item h="1" m="1" x="2450"/>
        <item h="1" m="1" x="2731"/>
        <item h="1" m="1" x="2451"/>
        <item h="1" m="1" x="1944"/>
        <item h="1" m="1" x="2599"/>
        <item h="1" m="1" x="2891"/>
        <item h="1" m="1" x="2892"/>
        <item h="1" m="1" x="2893"/>
        <item h="1" m="1" x="1791"/>
        <item h="1" m="1" x="2895"/>
        <item h="1" m="1" x="2898"/>
        <item h="1" m="1" x="2484"/>
        <item h="1" m="1" x="2900"/>
        <item h="1" m="1" x="2613"/>
        <item h="1" m="1" x="2903"/>
        <item h="1" m="1" x="2904"/>
        <item h="1" m="1" x="2905"/>
        <item h="1" m="1" x="2912"/>
        <item h="1" m="1" x="2915"/>
        <item h="1" m="1" x="2650"/>
        <item h="1" m="1" x="2924"/>
        <item h="1" m="1" x="2927"/>
        <item h="1" m="1" x="2652"/>
        <item h="1" m="1" x="2837"/>
        <item h="1" m="1" x="2929"/>
        <item h="1" m="1" x="2681"/>
        <item h="1" m="1" x="2933"/>
        <item h="1" m="1" x="2944"/>
        <item h="1" m="1" x="2137"/>
        <item h="1" m="1" x="2138"/>
        <item h="1" m="1" x="2361"/>
        <item h="1" m="1" x="2690"/>
        <item h="1" x="238"/>
        <item h="1" m="1" x="2763"/>
        <item h="1" m="1" x="2764"/>
        <item h="1" m="1" x="2765"/>
        <item h="1" m="1" x="2368"/>
        <item h="1" m="1" x="2771"/>
        <item h="1" m="1" x="2531"/>
        <item h="1" m="1" x="2530"/>
        <item h="1" m="1" x="2696"/>
        <item h="1" m="1" x="2697"/>
        <item h="1" m="1" x="2699"/>
        <item h="1" m="1" x="2703"/>
        <item h="1" m="1" x="2539"/>
        <item h="1" m="1" x="2541"/>
        <item h="1" m="1" x="1058"/>
        <item h="1" m="1" x="2780"/>
        <item h="1" m="1" x="2547"/>
        <item h="1" m="1" x="2548"/>
        <item h="1" m="1" x="2295"/>
        <item h="1" m="1" x="2783"/>
        <item h="1" m="1" x="2787"/>
        <item h="1" m="1" x="2708"/>
        <item h="1" m="1" x="2788"/>
        <item h="1" m="1" x="2790"/>
        <item h="1" m="1" x="2719"/>
        <item h="1" x="252"/>
        <item h="1" m="1" x="2560"/>
        <item h="1" m="1" x="2564"/>
        <item h="1" m="1" x="2071"/>
        <item h="1" m="1" x="2724"/>
        <item h="1" m="1" x="2572"/>
        <item h="1" m="1" x="2427"/>
        <item h="1" m="1" x="2576"/>
        <item h="1" m="1" x="2432"/>
        <item h="1" m="1" x="2800"/>
        <item h="1" m="1" x="2801"/>
        <item h="1" x="329"/>
        <item h="1" m="1" x="2730"/>
        <item h="1" m="1" x="2803"/>
        <item h="1" m="1" x="2807"/>
        <item h="1" m="1" x="2809"/>
        <item h="1" m="1" x="2810"/>
        <item h="1" m="1" x="2811"/>
        <item h="1" m="1" x="2458"/>
        <item h="1" m="1" x="2812"/>
        <item h="1" m="1" x="1783"/>
        <item h="1" m="1" x="1296"/>
        <item h="1" m="1" x="2813"/>
        <item h="1" m="1" x="2739"/>
        <item h="1" m="1" x="2814"/>
        <item h="1" m="1" x="2815"/>
        <item h="1" m="1" x="2085"/>
        <item h="1" m="1" x="2816"/>
        <item h="1" m="1" x="2817"/>
        <item h="1" m="1" x="2818"/>
        <item h="1" m="1" x="2819"/>
        <item h="1" m="1" x="2820"/>
        <item h="1" m="1" x="2821"/>
        <item h="1" m="1" x="2825"/>
        <item h="1" m="1" x="2826"/>
        <item h="1" m="1" x="1571"/>
        <item h="1" m="1" x="2827"/>
        <item h="1" m="1" x="2828"/>
        <item h="1" m="1" x="2829"/>
        <item h="1" m="1" x="2830"/>
        <item h="1" m="1" x="1894"/>
        <item h="1" m="1" x="2832"/>
        <item h="1" m="1" x="2833"/>
        <item h="1" m="1" x="2838"/>
        <item h="1" m="1" x="2839"/>
        <item h="1" m="1" x="2840"/>
        <item h="1" m="1" x="2841"/>
        <item h="1" m="1" x="2286"/>
        <item h="1" m="1" x="2759"/>
        <item h="1" m="1" x="2845"/>
        <item h="1" m="1" x="773"/>
        <item h="1" m="1" x="2846"/>
        <item h="1" m="1" x="2692"/>
        <item h="1" m="1" x="2532"/>
        <item h="1" m="1" x="2698"/>
        <item h="1" m="1" x="2376"/>
        <item h="1" m="1" x="2700"/>
        <item h="1" m="1" x="2701"/>
        <item h="1" m="1" x="2387"/>
        <item h="1" m="1" x="2296"/>
        <item h="1" m="1" x="2704"/>
        <item h="1" m="1" x="2507"/>
        <item h="1" m="1" x="2384"/>
        <item h="1" m="1" x="2385"/>
        <item h="1" m="1" x="2705"/>
        <item h="1" m="1" x="2555"/>
        <item h="1" m="1" x="2706"/>
        <item h="1" m="1" x="2709"/>
        <item h="1" m="1" x="2713"/>
        <item h="1" m="1" x="2715"/>
        <item h="1" m="1" x="1311"/>
        <item h="1" x="1"/>
        <item h="1" m="1" x="2399"/>
        <item h="1" m="1" x="2400"/>
        <item h="1" m="1" x="2406"/>
        <item h="1" m="1" x="2407"/>
        <item h="1" m="1" x="2186"/>
        <item h="1" m="1" x="2722"/>
        <item h="1" m="1" x="2568"/>
        <item h="1" m="1" x="2723"/>
        <item h="1" m="1" x="2573"/>
        <item h="1" m="1" x="2195"/>
        <item h="1" m="1" x="2571"/>
        <item h="1" m="1" x="2417"/>
        <item h="1" m="1" x="2725"/>
        <item h="1" m="1" x="2580"/>
        <item h="1" m="1" x="2726"/>
        <item h="1" m="1" x="2193"/>
        <item h="1" m="1" x="2581"/>
        <item h="1" m="1" x="2728"/>
        <item h="1" m="1" x="2729"/>
        <item h="1" m="1" x="2452"/>
        <item h="1" m="1" x="2596"/>
        <item h="1" m="1" x="2733"/>
        <item h="1" m="1" x="2075"/>
        <item h="1" m="1" x="2734"/>
        <item h="1" m="1" x="2736"/>
        <item h="1" m="1" x="1782"/>
        <item h="1" m="1" x="2740"/>
        <item h="1" m="1" x="2092"/>
        <item h="1" m="1" x="2093"/>
        <item h="1" m="1" x="2741"/>
        <item h="1" m="1" x="2742"/>
        <item h="1" m="1" x="2743"/>
        <item h="1" m="1" x="2744"/>
        <item h="1" m="1" x="2746"/>
        <item h="1" m="1" x="2747"/>
        <item h="1" m="1" x="2604"/>
        <item h="1" m="1" x="2605"/>
        <item h="1" m="1" x="2748"/>
        <item h="1" m="1" x="2482"/>
        <item h="1" m="1" x="2749"/>
        <item h="1" m="1" x="2750"/>
        <item h="1" m="1" x="1814"/>
        <item h="1" m="1" x="1815"/>
        <item h="1" m="1" x="1572"/>
        <item h="1" m="1" x="2121"/>
        <item h="1" m="1" x="2660"/>
        <item h="1" m="1" x="2754"/>
        <item h="1" m="1" x="2755"/>
        <item h="1" m="1" x="2677"/>
        <item h="1" m="1" x="2678"/>
        <item h="1" m="1" x="2510"/>
        <item h="1" m="1" x="2682"/>
        <item h="1" m="1" x="2760"/>
        <item h="1" m="1" x="2761"/>
        <item h="1" m="1" x="2521"/>
        <item h="1" m="1" x="2360"/>
        <item h="1" m="1" x="2363"/>
        <item h="1" m="1" x="2365"/>
        <item h="1" m="1" x="1790"/>
        <item h="1" m="1" x="2050"/>
        <item h="1" m="1" x="2366"/>
        <item h="1" m="1" x="2525"/>
        <item h="1" m="1" x="2527"/>
        <item h="1" m="1" x="2135"/>
        <item h="1" m="1" x="2533"/>
        <item h="1" m="1" x="2534"/>
        <item h="1" m="1" x="2538"/>
        <item h="1" m="1" x="2543"/>
        <item h="1" m="1" x="2383"/>
        <item h="1" m="1" x="2165"/>
        <item h="1" m="1" x="2392"/>
        <item h="1" x="253"/>
        <item h="1" x="254"/>
        <item h="1" x="255"/>
        <item h="1" x="256"/>
        <item h="1" m="1" x="2391"/>
        <item h="1" m="1" x="2558"/>
        <item h="1" m="1" x="2561"/>
        <item h="1" m="1" x="2563"/>
        <item h="1" m="1" x="2410"/>
        <item h="1" m="1" x="2411"/>
        <item h="1" m="1" x="2567"/>
        <item h="1" m="1" x="2206"/>
        <item h="1" m="1" x="2582"/>
        <item h="1" m="1" x="2583"/>
        <item h="1" m="1" x="2434"/>
        <item h="1" m="1" x="2306"/>
        <item h="1" m="1" x="2444"/>
        <item h="1" m="1" x="2440"/>
        <item h="1" m="1" x="2443"/>
        <item h="1" m="1" x="2442"/>
        <item h="1" m="1" x="2441"/>
        <item h="1" m="1" x="1242"/>
        <item h="1" m="1" x="2584"/>
        <item h="1" m="1" x="2585"/>
        <item h="1" m="1" x="2587"/>
        <item h="1" m="1" x="2588"/>
        <item h="1" m="1" x="2589"/>
        <item h="1" m="1" x="2590"/>
        <item h="1" m="1" x="2591"/>
        <item h="1" m="1" x="2592"/>
        <item h="1" m="1" x="2593"/>
        <item h="1" m="1" x="2594"/>
        <item h="1" m="1" x="2595"/>
        <item h="1" m="1" x="2074"/>
        <item h="1" m="1" x="2600"/>
        <item h="1" m="1" x="2601"/>
        <item h="1" m="1" x="2602"/>
        <item h="1" m="1" x="2603"/>
        <item h="1" m="1" x="1738"/>
        <item h="1" m="1" x="2324"/>
        <item h="1" m="1" x="2323"/>
        <item h="1" m="1" x="2464"/>
        <item h="1" m="1" x="1562"/>
        <item h="1" m="1" x="2329"/>
        <item h="1" m="1" x="1740"/>
        <item h="1" m="1" x="2465"/>
        <item h="1" m="1" x="2086"/>
        <item h="1" m="1" x="2606"/>
        <item h="1" m="1" x="2607"/>
        <item h="1" m="1" x="2608"/>
        <item h="1" m="1" x="2609"/>
        <item h="1" m="1" x="2610"/>
        <item h="1" m="1" x="2612"/>
        <item h="1" m="1" x="2487"/>
        <item h="1" m="1" x="2614"/>
        <item h="1" m="1" x="2615"/>
        <item h="1" m="1" x="2616"/>
        <item h="1" m="1" x="2617"/>
        <item h="1" m="1" x="2618"/>
        <item h="1" m="1" x="2619"/>
        <item h="1" m="1" x="2620"/>
        <item h="1" m="1" x="2621"/>
        <item h="1" m="1" x="2622"/>
        <item h="1" m="1" x="2623"/>
        <item h="1" m="1" x="2624"/>
        <item h="1" m="1" x="2625"/>
        <item h="1" m="1" x="2626"/>
        <item h="1" m="1" x="2627"/>
        <item h="1" m="1" x="2628"/>
        <item h="1" m="1" x="2629"/>
        <item h="1" m="1" x="2630"/>
        <item h="1" m="1" x="2631"/>
        <item h="1" m="1" x="2632"/>
        <item h="1" m="1" x="2633"/>
        <item h="1" m="1" x="2634"/>
        <item h="1" m="1" x="2635"/>
        <item h="1" m="1" x="2636"/>
        <item h="1" m="1" x="2637"/>
        <item h="1" m="1" x="2638"/>
        <item h="1" m="1" x="2639"/>
        <item h="1" m="1" x="2640"/>
        <item h="1" m="1" x="2641"/>
        <item h="1" m="1" x="2642"/>
        <item h="1" m="1" x="2643"/>
        <item h="1" m="1" x="2644"/>
        <item h="1" m="1" x="2645"/>
        <item h="1" m="1" x="2646"/>
        <item h="1" m="1" x="2647"/>
        <item h="1" m="1" x="1943"/>
        <item h="1" m="1" x="1760"/>
        <item h="1" m="1" x="1737"/>
        <item h="1" m="1" x="2651"/>
        <item h="1" m="1" x="2653"/>
        <item h="1" m="1" x="2655"/>
        <item h="1" m="1" x="2656"/>
        <item h="1" m="1" x="2657"/>
        <item h="1" m="1" x="2658"/>
        <item h="1" m="1" x="2659"/>
        <item h="1" m="1" x="1561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669"/>
        <item h="1" m="1" x="2670"/>
        <item h="1" m="1" x="2671"/>
        <item h="1" m="1" x="2672"/>
        <item h="1" m="1" x="2673"/>
        <item h="1" m="1" x="2674"/>
        <item h="1" m="1" x="2675"/>
        <item h="1" m="1" x="1810"/>
        <item h="1" m="1" x="2679"/>
        <item h="1" m="1" x="2680"/>
        <item h="1" m="1" x="1809"/>
        <item h="1" m="1" x="2683"/>
        <item h="1" m="1" x="1582"/>
        <item h="1" m="1" x="1664"/>
        <item h="1" m="1" x="2367"/>
        <item h="1" m="1" x="2369"/>
        <item h="1" m="1" x="2370"/>
        <item h="1" m="1" x="2371"/>
        <item h="1" m="1" x="2372"/>
        <item h="1" m="1" x="2373"/>
        <item h="1" m="1" x="2375"/>
        <item h="1" m="1" x="2378"/>
        <item h="1" m="1" x="2293"/>
        <item h="1" m="1" x="2386"/>
        <item h="1" m="1" x="2160"/>
        <item h="1" m="1" x="2389"/>
        <item h="1" m="1" x="2390"/>
        <item h="1" m="1" x="2170"/>
        <item h="1" m="1" x="2393"/>
        <item h="1" m="1" x="2180"/>
        <item h="1" m="1" x="2401"/>
        <item h="1" m="1" x="2402"/>
        <item h="1" m="1" x="2403"/>
        <item h="1" m="1" x="2404"/>
        <item h="1" m="1" x="2405"/>
        <item h="1" m="1" x="2408"/>
        <item h="1" m="1" x="2409"/>
        <item h="1" m="1" x="2412"/>
        <item h="1" m="1" x="2413"/>
        <item h="1" m="1" x="2414"/>
        <item h="1" m="1" x="2415"/>
        <item h="1" m="1" x="2422"/>
        <item h="1" m="1" x="2424"/>
        <item h="1" m="1" x="2425"/>
        <item h="1" m="1" x="2428"/>
        <item h="1" m="1" x="1946"/>
        <item h="1" m="1" x="2435"/>
        <item h="1" m="1" x="2436"/>
        <item h="1" m="1" x="2437"/>
        <item h="1" m="1" x="2438"/>
        <item h="1" m="1" x="2439"/>
        <item h="1" m="1" x="2218"/>
        <item h="1" m="1" x="2445"/>
        <item h="1" m="1" x="2446"/>
        <item h="1" m="1" x="2447"/>
        <item h="1" m="1" x="2305"/>
        <item h="1" m="1" x="2448"/>
        <item h="1" m="1" x="2449"/>
        <item h="1" m="1" x="1841"/>
        <item h="1" m="1" x="2307"/>
        <item h="1" m="1" x="1595"/>
        <item h="1" m="1" x="1591"/>
        <item h="1" m="1" x="2454"/>
        <item h="1" m="1" x="2455"/>
        <item h="1" m="1" x="2456"/>
        <item h="1" m="1" x="2235"/>
        <item h="1" m="1" x="2234"/>
        <item h="1" m="1" x="1878"/>
        <item h="1" m="1" x="1784"/>
        <item h="1" m="1" x="2459"/>
        <item h="1" m="1" x="2460"/>
        <item h="1" m="1" x="2461"/>
        <item h="1" m="1" x="2463"/>
        <item h="1" m="1" x="1803"/>
        <item h="1" m="1" x="1597"/>
        <item h="1" m="1" x="2466"/>
        <item h="1" m="1" x="2467"/>
        <item h="1" m="1" x="2261"/>
        <item h="1" m="1" x="2468"/>
        <item h="1" m="1" x="2469"/>
        <item h="1" m="1" x="2470"/>
        <item h="1" m="1" x="2471"/>
        <item h="1" m="1" x="2472"/>
        <item h="1" m="1" x="2473"/>
        <item h="1" m="1" x="2475"/>
        <item h="1" m="1" x="2477"/>
        <item h="1" m="1" x="1372"/>
        <item h="1" m="1" x="2091"/>
        <item h="1" m="1" x="2478"/>
        <item h="1" m="1" x="2479"/>
        <item h="1" m="1" x="2333"/>
        <item h="1" m="1" x="2334"/>
        <item h="1" m="1" x="1880"/>
        <item h="1" m="1" x="2481"/>
        <item h="1" m="1" x="2483"/>
        <item h="1" m="1" x="1724"/>
        <item h="1" m="1" x="2485"/>
        <item h="1" m="1" x="2486"/>
        <item h="1" m="1" x="1962"/>
        <item h="1" m="1" x="1954"/>
        <item h="1" m="1" x="1816"/>
        <item h="1" m="1" x="2494"/>
        <item h="1" m="1" x="1937"/>
        <item h="1" m="1" x="2495"/>
        <item h="1" m="1" x="2496"/>
        <item h="1" m="1" x="2499"/>
        <item h="1" m="1" x="2500"/>
        <item h="1" m="1" x="2501"/>
        <item h="1" m="1" x="2502"/>
        <item h="1" m="1" x="2503"/>
        <item h="1" m="1" x="2504"/>
        <item h="1" m="1" x="1936"/>
        <item h="1" m="1" x="2508"/>
        <item h="1" m="1" x="2511"/>
        <item h="1" m="1" x="1605"/>
        <item h="1" m="1" x="2522"/>
        <item h="1" m="1" x="2143"/>
        <item h="1" m="1" x="2146"/>
        <item h="1" m="1" x="2289"/>
        <item h="1" m="1" x="2148"/>
        <item h="1" m="1" x="2290"/>
        <item h="1" m="1" x="2291"/>
        <item h="1" m="1" x="2292"/>
        <item h="1" m="1" x="1522"/>
        <item h="1" m="1" x="2153"/>
        <item h="1" m="1" x="2154"/>
        <item h="1" m="1" x="2294"/>
        <item h="1" m="1" x="2155"/>
        <item h="1" m="1" x="2065"/>
        <item h="1" m="1" x="2157"/>
        <item h="1" m="1" x="2159"/>
        <item h="1" m="1" x="2297"/>
        <item h="1" m="1" x="2298"/>
        <item h="1" m="1" x="2299"/>
        <item h="1" m="1" x="2300"/>
        <item h="1" m="1" x="2168"/>
        <item h="1" m="1" x="2169"/>
        <item h="1" m="1" x="2174"/>
        <item h="1" m="1" x="2175"/>
        <item h="1" m="1" x="2173"/>
        <item h="1" m="1" x="1835"/>
        <item h="1" m="1" x="2178"/>
        <item h="1" m="1" x="2179"/>
        <item h="1" m="1" x="2181"/>
        <item h="1" m="1" x="2196"/>
        <item h="1" m="1" x="2197"/>
        <item h="1" m="1" x="2198"/>
        <item h="1" m="1" x="2199"/>
        <item h="1" m="1" x="2303"/>
        <item h="1" m="1" x="1949"/>
        <item h="1" m="1" x="1252"/>
        <item h="1" m="1" x="2304"/>
        <item h="1" m="1" x="2217"/>
        <item h="1" m="1" x="2213"/>
        <item h="1" m="1" x="2220"/>
        <item h="1" m="1" x="2221"/>
        <item h="1" m="1" x="2222"/>
        <item h="1" m="1" x="2223"/>
        <item h="1" m="1" x="2227"/>
        <item h="1" m="1" x="2210"/>
        <item h="1" m="1" x="2211"/>
        <item h="1" m="1" x="2308"/>
        <item h="1" m="1" x="2309"/>
        <item h="1" m="1" x="2310"/>
        <item h="1" m="1" x="2311"/>
        <item h="1" m="1" x="2312"/>
        <item h="1" m="1" x="2313"/>
        <item h="1" m="1" x="2314"/>
        <item h="1" m="1" x="2316"/>
        <item h="1" m="1" x="1608"/>
        <item h="1" m="1" x="1804"/>
        <item h="1" m="1" x="2317"/>
        <item h="1" m="1" x="2318"/>
        <item h="1" m="1" x="2319"/>
        <item h="1" m="1" x="2320"/>
        <item h="1" m="1" x="2321"/>
        <item h="1" m="1" x="1611"/>
        <item h="1" m="1" x="1879"/>
        <item h="1" m="1" x="2325"/>
        <item h="1" m="1" x="2326"/>
        <item h="1" m="1" x="2327"/>
        <item h="1" m="1" x="2328"/>
        <item h="1" m="1" x="2330"/>
        <item h="1" m="1" x="2331"/>
        <item h="1" m="1" x="2332"/>
        <item h="1" m="1" x="2335"/>
        <item h="1" m="1" x="2336"/>
        <item h="1" m="1" x="2337"/>
        <item h="1" m="1" x="2338"/>
        <item h="1" m="1" x="1872"/>
        <item h="1" m="1" x="2339"/>
        <item h="1" m="1" x="2340"/>
        <item h="1" m="1" x="2341"/>
        <item h="1" m="1" x="2342"/>
        <item h="1" m="1" x="1618"/>
        <item h="1" m="1" x="1612"/>
        <item h="1" m="1" x="1616"/>
        <item h="1" m="1" x="1614"/>
        <item h="1" m="1" x="1912"/>
        <item h="1" m="1" x="1904"/>
        <item h="1" m="1" x="1691"/>
        <item h="1" m="1" x="1692"/>
        <item h="1" m="1" x="1722"/>
        <item h="1" m="1" x="2343"/>
        <item h="1" m="1" x="2344"/>
        <item h="1" m="1" x="1703"/>
        <item h="1" m="1" x="1693"/>
        <item h="1" m="1" x="2346"/>
        <item h="1" m="1" x="2347"/>
        <item h="1" m="1" x="1817"/>
        <item h="1" m="1" x="1766"/>
        <item h="1" m="1" x="1767"/>
        <item h="1" m="1" x="1768"/>
        <item h="1" m="1" x="2276"/>
        <item h="1" m="1" x="742"/>
        <item h="1" m="1" x="2349"/>
        <item h="1" m="1" x="2350"/>
        <item h="1" m="1" x="2351"/>
        <item h="1" m="1" x="2352"/>
        <item h="1" m="1" x="2353"/>
        <item h="1" m="1" x="2354"/>
        <item h="1" m="1" x="2355"/>
        <item h="1" m="1" x="1754"/>
        <item h="1" m="1" x="2356"/>
        <item h="1" m="1" x="1805"/>
        <item h="1" m="1" x="2357"/>
        <item h="1" m="1" x="2358"/>
        <item h="1" m="1" x="2144"/>
        <item h="1" x="347"/>
        <item h="1" m="1" x="1531"/>
        <item h="1" m="1" x="2149"/>
        <item h="1" m="1" x="2150"/>
        <item h="1" m="1" x="1483"/>
        <item h="1" m="1" x="2054"/>
        <item h="1" m="1" x="2056"/>
        <item h="1" m="1" x="1876"/>
        <item h="1" m="1" x="2061"/>
        <item h="1" m="1" x="2066"/>
        <item h="1" m="1" x="2156"/>
        <item h="1" m="1" x="1857"/>
        <item h="1" m="1" x="2161"/>
        <item h="1" m="1" x="2162"/>
        <item h="1" m="1" x="2163"/>
        <item h="1" m="1" x="2166"/>
        <item h="1" m="1" x="2167"/>
        <item h="1" m="1" x="1226"/>
        <item h="1" m="1" x="2039"/>
        <item h="1" m="1" x="1546"/>
        <item h="1" m="1" x="1895"/>
        <item h="1" m="1" x="2182"/>
        <item h="1" m="1" x="2183"/>
        <item h="1" m="1" x="2184"/>
        <item h="1" m="1" x="2187"/>
        <item h="1" m="1" x="2188"/>
        <item h="1" m="1" x="2190"/>
        <item h="1" m="1" x="2191"/>
        <item h="1" m="1" x="2192"/>
        <item h="1" m="1" x="2200"/>
        <item h="1" m="1" x="2201"/>
        <item h="1" m="1" x="2202"/>
        <item h="1" m="1" x="2203"/>
        <item h="1" m="1" x="2204"/>
        <item h="1" m="1" x="2205"/>
        <item h="1" m="1" x="2207"/>
        <item h="1" m="1" x="2209"/>
        <item h="1" m="1" x="1956"/>
        <item h="1" m="1" x="2212"/>
        <item h="1" m="1" x="2215"/>
        <item h="1" m="1" x="2216"/>
        <item h="1" m="1" x="2219"/>
        <item h="1" m="1" x="2224"/>
        <item h="1" m="1" x="2225"/>
        <item h="1" m="1" x="2226"/>
        <item h="1" m="1" x="1917"/>
        <item h="1" m="1" x="2229"/>
        <item h="1" m="1" x="2230"/>
        <item h="1" m="1" x="2231"/>
        <item h="1" m="1" x="2232"/>
        <item h="1" m="1" x="2233"/>
        <item h="1" m="1" x="1559"/>
        <item h="1" m="1" x="1606"/>
        <item h="1" m="1" x="2236"/>
        <item h="1" m="1" x="2237"/>
        <item h="1" m="1" x="2238"/>
        <item h="1" m="1" x="2239"/>
        <item h="1" m="1" x="2240"/>
        <item h="1" m="1" x="2241"/>
        <item h="1" m="1" x="2242"/>
        <item h="1" m="1" x="2244"/>
        <item h="1" m="1" x="2245"/>
        <item h="1" m="1" x="2246"/>
        <item h="1" m="1" x="2247"/>
        <item h="1" m="1" x="2248"/>
        <item h="1" m="1" x="2249"/>
        <item h="1" m="1" x="2250"/>
        <item h="1" m="1" x="2251"/>
        <item h="1" m="1" x="2252"/>
        <item h="1" m="1" x="1723"/>
        <item h="1" m="1" x="2253"/>
        <item h="1" x="293"/>
        <item h="1" m="1" x="1860"/>
        <item h="1" m="1" x="1862"/>
        <item h="1" m="1" x="2042"/>
        <item h="1" m="1" x="2255"/>
        <item h="1" m="1" x="1615"/>
        <item h="1" m="1" x="2256"/>
        <item h="1" m="1" x="2257"/>
        <item h="1" m="1" x="2041"/>
        <item h="1" m="1" x="2258"/>
        <item h="1" m="1" x="1579"/>
        <item h="1" m="1" x="2259"/>
        <item h="1" m="1" x="2260"/>
        <item h="1" m="1" x="2262"/>
        <item h="1" m="1" x="2263"/>
        <item h="1" m="1" x="2264"/>
        <item h="1" m="1" x="2265"/>
        <item h="1" m="1" x="2266"/>
        <item h="1" m="1" x="2267"/>
        <item h="1" m="1" x="1749"/>
        <item h="1" m="1" x="2268"/>
        <item h="1" m="1" x="2269"/>
        <item h="1" m="1" x="2270"/>
        <item h="1" m="1" x="2271"/>
        <item h="1" m="1" x="2272"/>
        <item h="1" m="1" x="2273"/>
        <item h="1" m="1" x="2274"/>
        <item h="1" m="1" x="2275"/>
        <item h="1" m="1" x="2109"/>
        <item h="1" m="1" x="2110"/>
        <item h="1" m="1" x="2111"/>
        <item h="1" m="1" x="1730"/>
        <item h="1" m="1" x="2277"/>
        <item h="1" m="1" x="2278"/>
        <item h="1" m="1" x="2279"/>
        <item h="1" m="1" x="2280"/>
        <item h="1" m="1" x="1095"/>
        <item h="1" m="1" x="2130"/>
        <item h="1" m="1" x="2076"/>
        <item h="1" m="1" x="2281"/>
        <item h="1" m="1" x="1558"/>
        <item h="1" m="1" x="1588"/>
        <item h="1" m="1" x="2282"/>
        <item h="1" m="1" x="2285"/>
        <item h="1" m="1" x="2025"/>
        <item h="1" m="1" x="2029"/>
        <item h="1" m="1" x="2030"/>
        <item h="1" m="1" x="2051"/>
        <item h="1" m="1" x="2052"/>
        <item h="1" m="1" x="2053"/>
        <item h="1" m="1" x="2055"/>
        <item h="1" x="152"/>
        <item h="1" x="153"/>
        <item h="1" m="1" x="1521"/>
        <item h="1" m="1" x="2058"/>
        <item h="1" m="1" x="2059"/>
        <item h="1" m="1" x="1680"/>
        <item h="1" m="1" x="2015"/>
        <item h="1" m="1" x="2062"/>
        <item h="1" m="1" x="2063"/>
        <item h="1" m="1" x="2067"/>
        <item h="1" m="1" x="961"/>
        <item h="1" m="1" x="1829"/>
        <item h="1" m="1" x="2036"/>
        <item h="1" x="291"/>
        <item h="1" m="1" x="1232"/>
        <item h="1" m="1" x="2069"/>
        <item h="1" m="1" x="1910"/>
        <item h="1" m="1" x="1911"/>
        <item h="1" m="1" x="2070"/>
        <item h="1" m="1" x="879"/>
        <item h="1" m="1" x="2073"/>
        <item h="1" m="1" x="1918"/>
        <item h="1" m="1" x="1919"/>
        <item h="1" m="1" x="1920"/>
        <item h="1" m="1" x="1105"/>
        <item h="1" m="1" x="2077"/>
        <item h="1" m="1" x="2079"/>
        <item h="1" m="1" x="2080"/>
        <item h="1" m="1" x="2081"/>
        <item h="1" m="1" x="1744"/>
        <item h="1" m="1" x="2082"/>
        <item h="1" m="1" x="2084"/>
        <item h="1" m="1" x="1581"/>
        <item h="1" m="1" x="1026"/>
        <item h="1" m="1" x="2087"/>
        <item h="1" m="1" x="2088"/>
        <item h="1" m="1" x="2089"/>
        <item h="1" m="1" x="2090"/>
        <item h="1" m="1" x="2094"/>
        <item h="1" m="1" x="2095"/>
        <item h="1" m="1" x="2096"/>
        <item h="1" m="1" x="2097"/>
        <item h="1" m="1" x="2098"/>
        <item h="1" m="1" x="2099"/>
        <item h="1" m="1" x="2100"/>
        <item h="1" m="1" x="2102"/>
        <item h="1" m="1" x="1859"/>
        <item h="1" m="1" x="2103"/>
        <item h="1" m="1" x="2104"/>
        <item h="1" m="1" x="2105"/>
        <item h="1" m="1" x="1725"/>
        <item h="1" m="1" x="2112"/>
        <item h="1" m="1" x="1122"/>
        <item h="1" m="1" x="1882"/>
        <item h="1" m="1" x="1596"/>
        <item h="1" m="1" x="2115"/>
        <item h="1" m="1" x="2117"/>
        <item h="1" m="1" x="2118"/>
        <item h="1" m="1" x="2119"/>
        <item h="1" m="1" x="2120"/>
        <item h="1" m="1" x="1368"/>
        <item h="1" m="1" x="2122"/>
        <item h="1" m="1" x="2123"/>
        <item h="1" m="1" x="2124"/>
        <item h="1" m="1" x="2125"/>
        <item h="1" m="1" x="2126"/>
        <item h="1" m="1" x="2127"/>
        <item h="1" m="1" x="2128"/>
        <item h="1" m="1" x="2129"/>
        <item h="1" m="1" x="2131"/>
        <item h="1" m="1" x="1557"/>
        <item h="1" m="1" x="2132"/>
        <item h="1" m="1" x="1356"/>
        <item h="1" m="1" x="2139"/>
        <item h="1" m="1" x="2140"/>
        <item h="1" m="1" x="1520"/>
        <item h="1" m="1" x="1353"/>
        <item h="1" m="1" x="1963"/>
        <item h="1" m="1" x="1965"/>
        <item h="1" m="1" x="1577"/>
        <item h="1" m="1" x="1575"/>
        <item h="1" m="1" x="1576"/>
        <item h="1" m="1" x="1573"/>
        <item h="1" m="1" x="1574"/>
        <item h="1" m="1" x="1966"/>
        <item h="1" m="1" x="1967"/>
        <item h="1" m="1" x="1968"/>
        <item h="1" m="1" x="1969"/>
        <item h="1" m="1" x="1970"/>
        <item h="1" m="1" x="1603"/>
        <item h="1" m="1" x="1609"/>
        <item h="1" m="1" x="1971"/>
        <item h="1" m="1" x="1972"/>
        <item h="1" m="1" x="1973"/>
        <item h="1" m="1" x="1974"/>
        <item h="1" m="1" x="1975"/>
        <item h="1" m="1" x="1976"/>
        <item h="1" m="1" x="1977"/>
        <item h="1" m="1" x="1978"/>
        <item h="1" m="1" x="1979"/>
        <item h="1" m="1" x="1980"/>
        <item h="1" m="1" x="1981"/>
        <item h="1" m="1" x="1982"/>
        <item h="1" m="1" x="1983"/>
        <item h="1" m="1" x="1984"/>
        <item h="1" m="1" x="1985"/>
        <item h="1" m="1" x="1986"/>
        <item h="1" m="1" x="1987"/>
        <item h="1" m="1" x="1988"/>
        <item h="1" m="1" x="1989"/>
        <item h="1" m="1" x="1990"/>
        <item h="1" m="1" x="1637"/>
        <item h="1" m="1" x="1992"/>
        <item h="1" m="1" x="1993"/>
        <item h="1" m="1" x="1994"/>
        <item h="1" m="1" x="1995"/>
        <item h="1" m="1" x="1996"/>
        <item h="1" m="1" x="1997"/>
        <item h="1" m="1" x="1998"/>
        <item h="1" m="1" x="1999"/>
        <item h="1" m="1" x="2000"/>
        <item h="1" m="1" x="2001"/>
        <item h="1" m="1" x="2002"/>
        <item h="1" m="1" x="2003"/>
        <item h="1" m="1" x="2004"/>
        <item h="1" m="1" x="2005"/>
        <item h="1" m="1" x="1653"/>
        <item h="1" m="1" x="2006"/>
        <item h="1" m="1" x="2007"/>
        <item h="1" m="1" x="2008"/>
        <item h="1" m="1" x="2009"/>
        <item h="1" m="1" x="2010"/>
        <item h="1" m="1" x="1516"/>
        <item h="1" m="1" x="2011"/>
        <item h="1" m="1" x="960"/>
        <item h="1" m="1" x="1672"/>
        <item h="1" m="1" x="1673"/>
        <item h="1" m="1" x="2013"/>
        <item h="1" m="1" x="2014"/>
        <item h="1" m="1" x="1684"/>
        <item h="1" m="1" x="2016"/>
        <item h="1" m="1" x="2017"/>
        <item h="1" m="1" x="2018"/>
        <item h="1" m="1" x="2019"/>
        <item h="1" m="1" x="2020"/>
        <item h="1" m="1" x="1714"/>
        <item h="1" m="1" x="2021"/>
        <item h="1" m="1" x="1195"/>
        <item h="1" m="1" x="2022"/>
        <item h="1" m="1" x="1742"/>
        <item h="1" m="1" x="1747"/>
        <item h="1" m="1" x="1750"/>
        <item h="1" m="1" x="1758"/>
        <item h="1" m="1" x="1066"/>
        <item h="1" m="1" x="1408"/>
        <item h="1" m="1" x="1076"/>
        <item h="1" m="1" x="2031"/>
        <item h="1" m="1" x="1826"/>
        <item h="1" m="1" x="1827"/>
        <item h="1" m="1" x="1832"/>
        <item h="1" m="1" x="1836"/>
        <item h="1" m="1" x="2038"/>
        <item h="1" x="292"/>
        <item h="1" m="1" x="2040"/>
        <item h="1" m="1" x="1851"/>
        <item h="1" m="1" x="1858"/>
        <item h="1" m="1" x="1861"/>
        <item h="1" m="1" x="1875"/>
        <item h="1" m="1" x="1443"/>
        <item h="1" m="1" x="2043"/>
        <item h="1" m="1" x="1915"/>
        <item h="1" m="1" x="1914"/>
        <item h="1" m="1" x="1913"/>
        <item h="1" m="1" x="1924"/>
        <item h="1" m="1" x="1930"/>
        <item h="1" m="1" x="1934"/>
        <item h="1" x="375"/>
        <item h="1" m="1" x="2045"/>
        <item h="1" m="1" x="1947"/>
        <item h="1" m="1" x="1952"/>
        <item h="1" m="1" x="2047"/>
        <item h="1" m="1" x="2048"/>
        <item h="1" m="1" x="1958"/>
        <item h="1" m="1" x="1959"/>
        <item h="1" m="1" x="1127"/>
        <item h="1" m="1" x="1578"/>
        <item h="1" m="1" x="1580"/>
        <item h="1" m="1" x="1484"/>
        <item h="1" m="1" x="1600"/>
        <item h="1" m="1" x="1601"/>
        <item h="1" m="1" x="989"/>
        <item h="1" m="1" x="1619"/>
        <item h="1" m="1" x="1620"/>
        <item h="1" m="1" x="1621"/>
        <item h="1" m="1" x="1622"/>
        <item h="1" m="1" x="1623"/>
        <item h="1" m="1" x="1624"/>
        <item h="1" m="1" x="1625"/>
        <item h="1" m="1" x="1626"/>
        <item h="1" m="1" x="1627"/>
        <item h="1" m="1" x="1628"/>
        <item h="1" m="1" x="1629"/>
        <item h="1" m="1" x="1630"/>
        <item h="1" m="1" x="1631"/>
        <item h="1" m="1" x="1632"/>
        <item h="1" m="1" x="1633"/>
        <item h="1" m="1" x="1634"/>
        <item h="1" m="1" x="1635"/>
        <item h="1" m="1" x="1636"/>
        <item h="1" m="1" x="1638"/>
        <item h="1" m="1" x="1639"/>
        <item h="1" m="1" x="1640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650"/>
        <item h="1" m="1" x="1659"/>
        <item h="1" m="1" x="1660"/>
        <item h="1" m="1" x="1661"/>
        <item h="1" m="1" x="1667"/>
        <item h="1" m="1" x="1186"/>
        <item h="1" m="1" x="1524"/>
        <item h="1" m="1" x="958"/>
        <item h="1" m="1" x="1675"/>
        <item h="1" m="1" x="1695"/>
        <item h="1" m="1" x="1696"/>
        <item h="1" m="1" x="1345"/>
        <item h="1" x="156"/>
        <item h="1" m="1" x="1716"/>
        <item h="1" m="1" x="1718"/>
        <item h="1" m="1" x="1719"/>
        <item h="1" m="1" x="1741"/>
        <item h="1" m="1" x="1746"/>
        <item h="1" m="1" x="1752"/>
        <item h="1" m="1" x="1769"/>
        <item h="1" m="1" x="1770"/>
        <item h="1" m="1" x="1771"/>
        <item h="1" m="1" x="1799"/>
        <item h="1" m="1" x="1070"/>
        <item h="1" m="1" x="1071"/>
        <item h="1" m="1" x="1808"/>
        <item h="1" m="1" x="1820"/>
        <item h="1" m="1" x="1205"/>
        <item h="1" m="1" x="1825"/>
        <item h="1" x="221"/>
        <item h="1" m="1" x="1830"/>
        <item h="1" m="1" x="1831"/>
        <item h="1" m="1" x="1834"/>
        <item h="1" m="1" x="1837"/>
        <item h="1" m="1" x="1838"/>
        <item h="1" m="1" x="1839"/>
        <item h="1" m="1" x="1850"/>
        <item h="1" m="1" x="1430"/>
        <item h="1" m="1" x="1852"/>
        <item h="1" m="1" x="1853"/>
        <item h="1" m="1" x="1854"/>
        <item h="1" m="1" x="1855"/>
        <item h="1" m="1" x="1856"/>
        <item h="1" m="1" x="1863"/>
        <item h="1" m="1" x="1867"/>
        <item h="1" m="1" x="1868"/>
        <item h="1" m="1" x="1869"/>
        <item h="1" m="1" x="1870"/>
        <item h="1" m="1" x="1871"/>
        <item h="1" m="1" x="1094"/>
        <item h="1" m="1" x="1883"/>
        <item h="1" m="1" x="1885"/>
        <item h="1" m="1" x="1344"/>
        <item h="1" m="1" x="968"/>
        <item h="1" m="1" x="1896"/>
        <item h="1" m="1" x="1899"/>
        <item h="1" m="1" x="1921"/>
        <item h="1" m="1" x="1922"/>
        <item h="1" m="1" x="1926"/>
        <item h="1" m="1" x="1927"/>
        <item h="1" m="1" x="1928"/>
        <item h="1" m="1" x="1929"/>
        <item h="1" m="1" x="1118"/>
        <item h="1" m="1" x="1932"/>
        <item h="1" m="1" x="1953"/>
        <item h="1" m="1" x="1955"/>
        <item h="1" m="1" x="1473"/>
        <item h="1" m="1" x="1474"/>
        <item h="1" m="1" x="1475"/>
        <item h="1" m="1" x="1476"/>
        <item h="1" m="1" x="957"/>
        <item h="1" m="1" x="1477"/>
        <item h="1" m="1" x="1478"/>
        <item h="1" m="1" x="1479"/>
        <item h="1" m="1" x="1480"/>
        <item h="1" m="1" x="1481"/>
        <item h="1" m="1" x="1482"/>
        <item h="1" m="1" x="1485"/>
        <item h="1" m="1" x="1486"/>
        <item h="1" m="1" x="1487"/>
        <item h="1" m="1" x="1489"/>
        <item h="1" m="1" x="1490"/>
        <item h="1" m="1" x="1491"/>
        <item h="1" m="1" x="1492"/>
        <item h="1" m="1" x="1493"/>
        <item h="1" m="1" x="1494"/>
        <item h="1" m="1" x="669"/>
        <item h="1" m="1" x="1495"/>
        <item h="1" m="1" x="1496"/>
        <item h="1" m="1" x="1497"/>
        <item h="1" m="1" x="1498"/>
        <item h="1" m="1" x="1499"/>
        <item h="1" m="1" x="1500"/>
        <item h="1" m="1" x="1502"/>
        <item h="1" m="1" x="1503"/>
        <item h="1" m="1" x="1504"/>
        <item h="1" m="1" x="1505"/>
        <item h="1" m="1" x="1506"/>
        <item h="1" m="1" x="1507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166"/>
        <item h="1" m="1" x="913"/>
        <item h="1" m="1" x="1523"/>
        <item h="1" m="1" x="1526"/>
        <item h="1" m="1" x="1527"/>
        <item h="1" m="1" x="1528"/>
        <item h="1" m="1" x="1529"/>
        <item h="1" m="1" x="1394"/>
        <item h="1" m="1" x="1404"/>
        <item h="1" m="1" x="1401"/>
        <item h="1" m="1" x="1533"/>
        <item h="1" m="1" x="1407"/>
        <item h="1" m="1" x="1069"/>
        <item h="1" m="1" x="1411"/>
        <item h="1" m="1" x="1202"/>
        <item h="1" m="1" x="1207"/>
        <item h="1" m="1" x="1208"/>
        <item h="1" m="1" x="1209"/>
        <item h="1" m="1" x="1414"/>
        <item h="1" m="1" x="1415"/>
        <item h="1" m="1" x="1416"/>
        <item h="1" m="1" x="1421"/>
        <item h="1" m="1" x="1428"/>
        <item h="1" m="1" x="1425"/>
        <item h="1" m="1" x="1538"/>
        <item h="1" m="1" x="1539"/>
        <item h="1" m="1" x="1540"/>
        <item h="1" m="1" x="1541"/>
        <item h="1" m="1" x="1542"/>
        <item h="1" m="1" x="671"/>
        <item h="1" m="1" x="1544"/>
        <item h="1" m="1" x="1545"/>
        <item h="1" m="1" x="1442"/>
        <item h="1" m="1" x="1441"/>
        <item h="1" m="1" x="1547"/>
        <item h="1" m="1" x="1548"/>
        <item h="1" m="1" x="1549"/>
        <item h="1" m="1" x="1444"/>
        <item h="1" m="1" x="1235"/>
        <item h="1" m="1" x="1236"/>
        <item h="1" m="1" x="1446"/>
        <item h="1" m="1" x="1449"/>
        <item h="1" m="1" x="1240"/>
        <item h="1" m="1" x="1241"/>
        <item h="1" m="1" x="1454"/>
        <item h="1" m="1" x="1453"/>
        <item h="1" m="1" x="1456"/>
        <item h="1" m="1" x="1462"/>
        <item h="1" m="1" x="1343"/>
        <item h="1" m="1" x="1551"/>
        <item h="1" m="1" x="878"/>
        <item h="1" x="388"/>
        <item h="1" m="1" x="1464"/>
        <item h="1" m="1" x="1342"/>
        <item h="1" m="1" x="1341"/>
        <item h="1" m="1" x="1553"/>
        <item h="1" m="1" x="1554"/>
        <item h="1" m="1" x="972"/>
        <item h="1" m="1" x="703"/>
        <item h="1" m="1" x="1351"/>
        <item h="1" m="1" x="978"/>
        <item h="1" m="1" x="979"/>
        <item h="1" m="1" x="982"/>
        <item h="1" m="1" x="1352"/>
        <item h="1" m="1" x="1354"/>
        <item h="1" m="1" x="1163"/>
        <item h="1" m="1" x="1355"/>
        <item h="1" m="1" x="1357"/>
        <item h="1" m="1" x="1358"/>
        <item h="1" m="1" x="1359"/>
        <item h="1" m="1" x="1360"/>
        <item h="1" m="1" x="1361"/>
        <item h="1" m="1" x="1335"/>
        <item h="1" m="1" x="1362"/>
        <item h="1" m="1" x="1334"/>
        <item h="1" m="1" x="658"/>
        <item h="1" m="1" x="1363"/>
        <item h="1" m="1" x="1364"/>
        <item h="1" m="1" x="1365"/>
        <item h="1" m="1" x="1366"/>
        <item h="1" m="1" x="780"/>
        <item h="1" m="1" x="1367"/>
        <item h="1" m="1" x="1369"/>
        <item h="1" m="1" x="1340"/>
        <item h="1" x="39"/>
        <item h="1" m="1" x="1370"/>
        <item h="1" m="1" x="1371"/>
        <item h="1" m="1" x="1373"/>
        <item h="1" m="1" x="1332"/>
        <item h="1" m="1" x="1374"/>
        <item h="1" m="1" x="1375"/>
        <item h="1" m="1" x="1376"/>
        <item h="1" m="1" x="1377"/>
        <item h="1" m="1" x="1378"/>
        <item h="1" m="1" x="1379"/>
        <item h="1" m="1" x="1381"/>
        <item h="1" m="1" x="1382"/>
        <item h="1" m="1" x="999"/>
        <item h="1" m="1" x="1384"/>
        <item h="1" m="1" x="1385"/>
        <item h="1" m="1" x="1386"/>
        <item h="1" m="1" x="1387"/>
        <item h="1" m="1" x="1388"/>
        <item h="1" m="1" x="1337"/>
        <item h="1" m="1" x="1336"/>
        <item h="1" m="1" x="1389"/>
        <item h="1" m="1" x="1390"/>
        <item h="1" m="1" x="1391"/>
        <item h="1" m="1" x="1185"/>
        <item h="1" m="1" x="1333"/>
        <item h="1" m="1" x="1392"/>
        <item h="1" m="1" x="1339"/>
        <item h="1" m="1" x="1192"/>
        <item h="1" x="117"/>
        <item h="1" m="1" x="1393"/>
        <item h="1" m="1" x="1395"/>
        <item h="1" m="1" x="1397"/>
        <item h="1" m="1" x="1398"/>
        <item h="1" m="1" x="1039"/>
        <item h="1" m="1" x="1405"/>
        <item h="1" m="1" x="1409"/>
        <item h="1" m="1" x="1410"/>
        <item h="1" m="1" x="1074"/>
        <item h="1" m="1" x="1412"/>
        <item h="1" m="1" x="1078"/>
        <item h="1" m="1" x="1413"/>
        <item h="1" m="1" x="1417"/>
        <item h="1" m="1" x="1418"/>
        <item h="1" m="1" x="1419"/>
        <item h="1" m="1" x="1420"/>
        <item h="1" m="1" x="1423"/>
        <item h="1" m="1" x="1424"/>
        <item h="1" m="1" x="1427"/>
        <item h="1" m="1" x="1083"/>
        <item h="1" m="1" x="1429"/>
        <item h="1" m="1" x="953"/>
        <item h="1" m="1" x="1431"/>
        <item h="1" m="1" x="1432"/>
        <item h="1" m="1" x="1433"/>
        <item h="1" m="1" x="1434"/>
        <item h="1" m="1" x="1435"/>
        <item h="1" m="1" x="1436"/>
        <item h="1" m="1" x="1437"/>
        <item h="1" m="1" x="1438"/>
        <item h="1" m="1" x="1088"/>
        <item h="1" m="1" x="1101"/>
        <item h="1" m="1" x="1102"/>
        <item h="1" m="1" x="1445"/>
        <item h="1" m="1" x="1447"/>
        <item h="1" m="1" x="1448"/>
        <item h="1" m="1" x="1451"/>
        <item h="1" m="1" x="1452"/>
        <item h="1" m="1" x="1455"/>
        <item h="1" x="369"/>
        <item h="1" m="1" x="1457"/>
        <item h="1" m="1" x="1458"/>
        <item h="1" m="1" x="1459"/>
        <item h="1" m="1" x="1460"/>
        <item h="1" m="1" x="1461"/>
        <item h="1" m="1" x="1465"/>
        <item h="1" m="1" x="1466"/>
        <item h="1" m="1" x="1467"/>
        <item h="1" m="1" x="1468"/>
        <item h="1" m="1" x="1469"/>
        <item h="1" m="1" x="1470"/>
        <item h="1" m="1" x="1471"/>
        <item h="1" m="1" x="1472"/>
        <item h="1" m="1" x="1310"/>
        <item h="1" m="1" x="980"/>
        <item h="1" m="1" x="1287"/>
        <item h="1" m="1" x="1159"/>
        <item h="1" m="1" x="912"/>
        <item h="1" m="1" x="1286"/>
        <item h="1" m="1" x="987"/>
        <item h="1" m="1" x="1167"/>
        <item h="1" m="1" x="1259"/>
        <item h="1" m="1" x="1263"/>
        <item h="1" m="1" x="1326"/>
        <item h="1" m="1" x="1320"/>
        <item h="1" m="1" x="1319"/>
        <item h="1" m="1" x="1306"/>
        <item h="1" m="1" x="1318"/>
        <item h="1" m="1" x="1317"/>
        <item h="1" m="1" x="1316"/>
        <item h="1" m="1" x="1315"/>
        <item h="1" m="1" x="1314"/>
        <item h="1" m="1" x="1331"/>
        <item h="1" m="1" x="1330"/>
        <item h="1" m="1" x="1329"/>
        <item h="1" m="1" x="1298"/>
        <item h="1" m="1" x="1297"/>
        <item h="1" m="1" x="1327"/>
        <item h="1" m="1" x="1285"/>
        <item h="1" m="1" x="1295"/>
        <item h="1" m="1" x="1292"/>
        <item h="1" m="1" x="1304"/>
        <item h="1" m="1" x="1303"/>
        <item h="1" m="1" x="1301"/>
        <item h="1" m="1" x="1302"/>
        <item h="1" m="1" x="998"/>
        <item h="1" m="1" x="1300"/>
        <item h="1" m="1" x="1299"/>
        <item h="1" m="1" x="1309"/>
        <item h="1" m="1" x="1308"/>
        <item h="1" m="1" x="1307"/>
        <item h="1" m="1" x="1283"/>
        <item h="1" m="1" x="1282"/>
        <item h="1" m="1" x="1281"/>
        <item h="1" m="1" x="1264"/>
        <item h="1" m="1" x="1015"/>
        <item h="1" x="76"/>
        <item h="1" m="1" x="1275"/>
        <item h="1" m="1" x="1016"/>
        <item h="1" m="1" x="1183"/>
        <item h="1" m="1" x="1280"/>
        <item h="1" m="1" x="1279"/>
        <item h="1" m="1" x="1291"/>
        <item h="1" m="1" x="1290"/>
        <item h="1" m="1" x="1289"/>
        <item h="1" m="1" x="1288"/>
        <item h="1" m="1" x="1278"/>
        <item h="1" m="1" x="1277"/>
        <item h="1" m="1" x="952"/>
        <item h="1" m="1" x="1191"/>
        <item h="1" m="1" x="1312"/>
        <item h="1" m="1" x="1321"/>
        <item h="1" m="1" x="1194"/>
        <item h="1" m="1" x="1041"/>
        <item h="1" m="1" x="1044"/>
        <item h="1" m="1" x="1045"/>
        <item h="1" m="1" x="1199"/>
        <item h="1" m="1" x="1258"/>
        <item h="1" m="1" x="1262"/>
        <item h="1" m="1" x="1077"/>
        <item h="1" m="1" x="1274"/>
        <item h="1" m="1" x="1273"/>
        <item h="1" m="1" x="1272"/>
        <item h="1" m="1" x="1271"/>
        <item h="1" m="1" x="1325"/>
        <item h="1" m="1" x="1324"/>
        <item h="1" m="1" x="1223"/>
        <item h="1" m="1" x="1221"/>
        <item h="1" m="1" x="1222"/>
        <item h="1" m="1" x="1220"/>
        <item h="1" m="1" x="1322"/>
        <item h="1" m="1" x="1293"/>
        <item h="1" m="1" x="1260"/>
        <item h="1" m="1" x="1294"/>
        <item h="1" m="1" x="1097"/>
        <item h="1" m="1" x="1096"/>
        <item h="1" m="1" x="1284"/>
        <item h="1" m="1" x="1328"/>
        <item h="1" m="1" x="1230"/>
        <item h="1" m="1" x="1104"/>
        <item h="1" m="1" x="951"/>
        <item h="1" m="1" x="1313"/>
        <item h="1" m="1" x="1269"/>
        <item h="1" m="1" x="1268"/>
        <item h="1" m="1" x="1323"/>
        <item h="1" m="1" x="950"/>
        <item h="1" m="1" x="1266"/>
        <item h="1" m="1" x="1243"/>
        <item h="1" m="1" x="1257"/>
        <item h="1" m="1" x="1119"/>
        <item h="1" m="1" x="877"/>
        <item h="1" m="1" x="1276"/>
        <item h="1" m="1" x="1128"/>
        <item h="1" m="1" x="971"/>
        <item h="1" m="1" x="977"/>
        <item h="1" m="1" x="1129"/>
        <item h="1" m="1" x="1130"/>
        <item h="1" m="1" x="1131"/>
        <item h="1" m="1" x="1132"/>
        <item h="1" m="1" x="1133"/>
        <item h="1" m="1" x="1135"/>
        <item h="1" m="1" x="1136"/>
        <item h="1" m="1" x="1137"/>
        <item h="1" m="1" x="1138"/>
        <item h="1" m="1" x="1139"/>
        <item h="1" m="1" x="1140"/>
        <item h="1" m="1" x="1141"/>
        <item h="1" m="1" x="1142"/>
        <item h="1" m="1" x="1143"/>
        <item h="1" m="1" x="1144"/>
        <item h="1" m="1" x="1145"/>
        <item h="1" m="1" x="1146"/>
        <item h="1" m="1" x="1147"/>
        <item h="1" m="1" x="1148"/>
        <item h="1" m="1" x="1149"/>
        <item h="1" m="1" x="1150"/>
        <item h="1" m="1" x="1151"/>
        <item h="1" m="1" x="1152"/>
        <item h="1" m="1" x="1153"/>
        <item h="1" m="1" x="1154"/>
        <item h="1" m="1" x="1155"/>
        <item h="1" m="1" x="1156"/>
        <item h="1" m="1" x="1157"/>
        <item h="1" m="1" x="1158"/>
        <item h="1" m="1" x="1160"/>
        <item h="1" m="1" x="1161"/>
        <item h="1" x="24"/>
        <item h="1" m="1" x="990"/>
        <item h="1" m="1" x="914"/>
        <item h="1" m="1" x="922"/>
        <item h="1" m="1" x="1164"/>
        <item h="1" m="1" x="1165"/>
        <item h="1" m="1" x="997"/>
        <item h="1" m="1" x="996"/>
        <item h="1" m="1" x="1168"/>
        <item h="1" m="1" x="1169"/>
        <item h="1" m="1" x="1170"/>
        <item h="1" m="1" x="1171"/>
        <item h="1" m="1" x="1172"/>
        <item h="1" m="1" x="1173"/>
        <item h="1" m="1" x="1174"/>
        <item h="1" m="1" x="1175"/>
        <item h="1" m="1" x="995"/>
        <item h="1" m="1" x="1176"/>
        <item h="1" m="1" x="991"/>
        <item h="1" m="1" x="1177"/>
        <item h="1" m="1" x="992"/>
        <item h="1" m="1" x="1178"/>
        <item h="1" m="1" x="1179"/>
        <item h="1" m="1" x="1180"/>
        <item h="1" m="1" x="1181"/>
        <item h="1" m="1" x="1182"/>
        <item h="1" m="1" x="993"/>
        <item h="1" m="1" x="994"/>
        <item h="1" m="1" x="726"/>
        <item h="1" x="78"/>
        <item h="1" x="81"/>
        <item h="1" m="1" x="915"/>
        <item h="1" x="86"/>
        <item h="1" m="1" x="1184"/>
        <item h="1" m="1" x="1188"/>
        <item h="1" m="1" x="1189"/>
        <item h="1" m="1" x="946"/>
        <item h="1" m="1" x="1034"/>
        <item h="1" m="1" x="1035"/>
        <item h="1" m="1" x="1036"/>
        <item h="1" m="1" x="1037"/>
        <item h="1" x="174"/>
        <item h="1" m="1" x="1197"/>
        <item h="1" m="1" x="1042"/>
        <item h="1" m="1" x="1198"/>
        <item h="1" m="1" x="1049"/>
        <item h="1" m="1" x="1050"/>
        <item h="1" m="1" x="1051"/>
        <item h="1" m="1" x="1052"/>
        <item h="1" m="1" x="1064"/>
        <item h="1" m="1" x="551"/>
        <item h="1" m="1" x="1068"/>
        <item h="1" m="1" x="1203"/>
        <item h="1" m="1" x="1211"/>
        <item h="1" m="1" x="1212"/>
        <item h="1" m="1" x="1213"/>
        <item h="1" m="1" x="1218"/>
        <item h="1" m="1" x="1219"/>
        <item h="1" m="1" x="1224"/>
        <item h="1" m="1" x="1085"/>
        <item h="1" m="1" x="1092"/>
        <item h="1" m="1" x="1090"/>
        <item h="1" x="318"/>
        <item h="1" x="338"/>
        <item h="1" m="1" x="1227"/>
        <item h="1" m="1" x="1228"/>
        <item h="1" m="1" x="1103"/>
        <item h="1" m="1" x="1237"/>
        <item h="1" m="1" x="1106"/>
        <item h="1" m="1" x="1238"/>
        <item h="1" m="1" x="1107"/>
        <item h="1" m="1" x="1111"/>
        <item h="1" m="1" x="1117"/>
        <item h="1" m="1" x="1113"/>
        <item h="1" m="1" x="1114"/>
        <item h="1" m="1" x="1115"/>
        <item h="1" m="1" x="1116"/>
        <item h="1" m="1" x="1244"/>
        <item h="1" m="1" x="1245"/>
        <item h="1" m="1" x="766"/>
        <item h="1" m="1" x="1246"/>
        <item h="1" m="1" x="1247"/>
        <item h="1" m="1" x="1248"/>
        <item h="1" m="1" x="1250"/>
        <item h="1" m="1" x="1253"/>
        <item h="1" m="1" x="1254"/>
        <item h="1" m="1" x="1255"/>
        <item h="1" m="1" x="1256"/>
        <item h="1" m="1" x="592"/>
        <item h="1" m="1" x="1125"/>
        <item h="1" m="1" x="1126"/>
        <item h="1" m="1" x="931"/>
        <item h="1" m="1" x="969"/>
        <item h="1" m="1" x="970"/>
        <item h="1" m="1" x="421"/>
        <item h="1" m="1" x="973"/>
        <item h="1" m="1" x="974"/>
        <item h="1" m="1" x="975"/>
        <item h="1" m="1" x="955"/>
        <item h="1" m="1" x="981"/>
        <item h="1" m="1" x="929"/>
        <item h="1" m="1" x="984"/>
        <item h="1" m="1" x="985"/>
        <item h="1" m="1" x="986"/>
        <item h="1" m="1" x="928"/>
        <item h="1" m="1" x="988"/>
        <item h="1" m="1" x="949"/>
        <item h="1" m="1" x="1000"/>
        <item h="1" m="1" x="1001"/>
        <item h="1" m="1" x="1002"/>
        <item h="1" m="1" x="1003"/>
        <item h="1" m="1" x="1004"/>
        <item h="1" m="1" x="1005"/>
        <item h="1" m="1" x="1006"/>
        <item h="1" m="1" x="1007"/>
        <item h="1" m="1" x="1008"/>
        <item h="1" m="1" x="1009"/>
        <item h="1" m="1" x="1010"/>
        <item h="1" m="1" x="1011"/>
        <item h="1" m="1" x="1012"/>
        <item h="1" m="1" x="1013"/>
        <item h="1" m="1" x="937"/>
        <item h="1" m="1" x="1014"/>
        <item h="1" m="1" x="1017"/>
        <item h="1" m="1" x="964"/>
        <item h="1" m="1" x="1018"/>
        <item h="1" m="1" x="1019"/>
        <item h="1" m="1" x="1020"/>
        <item h="1" m="1" x="1022"/>
        <item h="1" m="1" x="1023"/>
        <item h="1" m="1" x="1024"/>
        <item h="1" m="1" x="1025"/>
        <item h="1" m="1" x="940"/>
        <item h="1" m="1" x="938"/>
        <item h="1" m="1" x="944"/>
        <item h="1" m="1" x="943"/>
        <item h="1" m="1" x="1030"/>
        <item h="1" m="1" x="927"/>
        <item h="1" m="1" x="1032"/>
        <item h="1" m="1" x="1033"/>
        <item h="1" m="1" x="1038"/>
        <item h="1" x="121"/>
        <item h="1" m="1" x="1040"/>
        <item h="1" x="155"/>
        <item h="1" x="180"/>
        <item h="1" m="1" x="1043"/>
        <item h="1" m="1" x="1046"/>
        <item h="1" m="1" x="1047"/>
        <item h="1" m="1" x="1048"/>
        <item h="1" m="1" x="1053"/>
        <item h="1" m="1" x="1054"/>
        <item h="1" m="1" x="1055"/>
        <item h="1" m="1" x="747"/>
        <item h="1" m="1" x="1057"/>
        <item h="1" m="1" x="750"/>
        <item h="1" m="1" x="1067"/>
        <item h="1" m="1" x="1075"/>
        <item h="1" m="1" x="1079"/>
        <item h="1" m="1" x="1081"/>
        <item h="1" m="1" x="521"/>
        <item h="1" m="1" x="1082"/>
        <item h="1" m="1" x="528"/>
        <item h="1" m="1" x="1086"/>
        <item h="1" m="1" x="1087"/>
        <item h="1" m="1" x="948"/>
        <item h="1" m="1" x="947"/>
        <item h="1" m="1" x="855"/>
        <item h="1" x="324"/>
        <item h="1" x="316"/>
        <item h="1" m="1" x="1089"/>
        <item h="1" m="1" x="1091"/>
        <item h="1" x="302"/>
        <item h="1" m="1" x="1099"/>
        <item h="1" m="1" x="1100"/>
        <item h="1" m="1" x="760"/>
        <item h="1" m="1" x="761"/>
        <item h="1" m="1" x="930"/>
        <item h="1" x="360"/>
        <item h="1" m="1" x="1108"/>
        <item h="1" m="1" x="1109"/>
        <item h="1" m="1" x="1110"/>
        <item h="1" m="1" x="554"/>
        <item h="1" m="1" x="1112"/>
        <item h="1" m="1" x="572"/>
        <item h="1" m="1" x="702"/>
        <item h="1" m="1" x="701"/>
        <item h="1" m="1" x="1123"/>
        <item h="1" m="1" x="1124"/>
        <item h="1" m="1" x="582"/>
        <item h="1" m="1" x="419"/>
        <item h="1" m="1" x="903"/>
        <item h="1" m="1" x="892"/>
        <item h="1" m="1" x="893"/>
        <item h="1" x="14"/>
        <item h="1" x="23"/>
        <item h="1" m="1" x="911"/>
        <item h="1" m="1" x="942"/>
        <item h="1" m="1" x="901"/>
        <item h="1" m="1" x="923"/>
        <item h="1" m="1" x="603"/>
        <item h="1" m="1" x="902"/>
        <item h="1" m="1" x="896"/>
        <item h="1" m="1" x="898"/>
        <item h="1" m="1" x="926"/>
        <item h="1" m="1" x="908"/>
        <item h="1" m="1" x="797"/>
        <item h="1" m="1" x="798"/>
        <item h="1" m="1" x="904"/>
        <item h="1" m="1" x="894"/>
        <item h="1" m="1" x="794"/>
        <item h="1" m="1" x="897"/>
        <item h="1" m="1" x="899"/>
        <item h="1" m="1" x="941"/>
        <item h="1" m="1" x="816"/>
        <item h="1" m="1" x="821"/>
        <item h="1" m="1" x="745"/>
        <item h="1" x="141"/>
        <item h="1" x="146"/>
        <item h="1" m="1" x="817"/>
        <item h="1" m="1" x="818"/>
        <item h="1" x="126"/>
        <item h="1" m="1" x="825"/>
        <item h="1" m="1" x="909"/>
        <item h="1" m="1" x="900"/>
        <item h="1" m="1" x="917"/>
        <item h="1" m="1" x="895"/>
        <item h="1" m="1" x="919"/>
        <item h="1" m="1" x="918"/>
        <item h="1" x="119"/>
        <item h="1" m="1" x="838"/>
        <item h="1" m="1" x="836"/>
        <item h="1" m="1" x="840"/>
        <item h="1" m="1" x="698"/>
        <item h="1" m="1" x="916"/>
        <item h="1" m="1" x="907"/>
        <item h="1" m="1" x="965"/>
        <item h="1" m="1" x="847"/>
        <item h="1" x="278"/>
        <item h="1" x="279"/>
        <item h="1" x="332"/>
        <item h="1" m="1" x="857"/>
        <item h="1" m="1" x="856"/>
        <item h="1" m="1" x="932"/>
        <item h="1" x="322"/>
        <item h="1" x="323"/>
        <item h="1" x="296"/>
        <item h="1" x="352"/>
        <item h="1" x="356"/>
        <item h="1" x="361"/>
        <item h="1" m="1" x="861"/>
        <item h="1" m="1" x="862"/>
        <item h="1" m="1" x="863"/>
        <item h="1" m="1" x="865"/>
        <item h="1" m="1" x="866"/>
        <item h="1" m="1" x="567"/>
        <item h="1" m="1" x="871"/>
        <item h="1" m="1" x="872"/>
        <item h="1" m="1" x="873"/>
        <item h="1" m="1" x="874"/>
        <item h="1" m="1" x="699"/>
        <item h="1" m="1" x="934"/>
        <item h="1" m="1" x="933"/>
        <item h="1" m="1" x="880"/>
        <item h="1" m="1" x="881"/>
        <item h="1" m="1" x="882"/>
        <item h="1" m="1" x="906"/>
        <item h="1" m="1" x="905"/>
        <item h="1" m="1" x="920"/>
        <item h="1" m="1" x="884"/>
        <item h="1" m="1" x="886"/>
        <item h="1" m="1" x="887"/>
        <item h="1" m="1" x="888"/>
        <item h="1" m="1" x="889"/>
        <item h="1" m="1" x="890"/>
        <item h="1" m="1" x="586"/>
        <item h="1" m="1" x="595"/>
        <item h="1" m="1" x="885"/>
        <item h="1" m="1" x="769"/>
        <item h="1" m="1" x="770"/>
        <item h="1" m="1" x="771"/>
        <item h="1" m="1" x="772"/>
        <item h="1" m="1" x="774"/>
        <item h="1" x="32"/>
        <item h="1" x="33"/>
        <item h="1" m="1" x="776"/>
        <item h="1" m="1" x="777"/>
        <item h="1" m="1" x="778"/>
        <item h="1" m="1" x="779"/>
        <item h="1" m="1" x="781"/>
        <item h="1" m="1" x="719"/>
        <item h="1" m="1" x="720"/>
        <item h="1" m="1" x="783"/>
        <item h="1" m="1" x="784"/>
        <item h="1" m="1" x="785"/>
        <item h="1" m="1" x="786"/>
        <item h="1" m="1" x="430"/>
        <item h="1" x="42"/>
        <item h="1" m="1" x="787"/>
        <item h="1" m="1" x="788"/>
        <item h="1" m="1" x="789"/>
        <item h="1" m="1" x="791"/>
        <item h="1" m="1" x="792"/>
        <item h="1" x="41"/>
        <item h="1" m="1" x="795"/>
        <item h="1" m="1" x="796"/>
        <item h="1" m="1" x="799"/>
        <item h="1" m="1" x="800"/>
        <item h="1" m="1" x="801"/>
        <item h="1" m="1" x="715"/>
        <item h="1" m="1" x="716"/>
        <item h="1" m="1" x="803"/>
        <item h="1" x="43"/>
        <item h="1" m="1" x="804"/>
        <item h="1" m="1" x="805"/>
        <item h="1" m="1" x="806"/>
        <item h="1" m="1" x="808"/>
        <item h="1" m="1" x="809"/>
        <item h="1" m="1" x="813"/>
        <item h="1" m="1" x="814"/>
        <item h="1" m="1" x="815"/>
        <item h="1" x="147"/>
        <item h="1" m="1" x="819"/>
        <item h="1" m="1" x="823"/>
        <item h="1" m="1" x="824"/>
        <item h="1" m="1" x="500"/>
        <item h="1" m="1" x="695"/>
        <item h="1" m="1" x="827"/>
        <item h="1" m="1" x="828"/>
        <item h="1" m="1" x="829"/>
        <item h="1" m="1" x="830"/>
        <item h="1" m="1" x="831"/>
        <item h="1" m="1" x="832"/>
        <item h="1" m="1" x="833"/>
        <item h="1" m="1" x="834"/>
        <item h="1" m="1" x="835"/>
        <item h="1" x="216"/>
        <item h="1" x="217"/>
        <item h="1" m="1" x="746"/>
        <item h="1" m="1" x="839"/>
        <item h="1" x="127"/>
        <item h="1" m="1" x="841"/>
        <item h="1" m="1" x="842"/>
        <item h="1" m="1" x="843"/>
        <item h="1" m="1" x="844"/>
        <item h="1" m="1" x="846"/>
        <item h="1" m="1" x="756"/>
        <item h="1" m="1" x="523"/>
        <item h="1" m="1" x="527"/>
        <item h="1" x="280"/>
        <item h="1" m="1" x="848"/>
        <item h="1" m="1" x="849"/>
        <item h="1" m="1" x="850"/>
        <item h="1" m="1" x="851"/>
        <item h="1" m="1" x="853"/>
        <item h="1" x="295"/>
        <item h="1" m="1" x="697"/>
        <item h="1" x="294"/>
        <item h="1" x="320"/>
        <item h="1" x="321"/>
        <item h="1" x="312"/>
        <item h="1" x="339"/>
        <item h="1" m="1" x="859"/>
        <item h="1" m="1" x="860"/>
        <item h="1" m="1" x="696"/>
        <item h="1" x="351"/>
        <item h="1" x="362"/>
        <item h="1" m="1" x="864"/>
        <item h="1" m="1" x="867"/>
        <item h="1" m="1" x="765"/>
        <item h="1" m="1" x="868"/>
        <item h="1" m="1" x="869"/>
        <item h="1" m="1" x="870"/>
        <item h="1" x="387"/>
        <item h="1" m="1" x="883"/>
        <item h="1" m="1" x="693"/>
        <item h="1" x="410"/>
        <item h="1" x="411"/>
        <item h="1" m="1" x="891"/>
        <item h="1" m="1" x="704"/>
        <item h="1" m="1" x="705"/>
        <item h="1" m="1" x="423"/>
        <item h="1" x="29"/>
        <item h="1" m="1" x="706"/>
        <item h="1" m="1" x="707"/>
        <item h="1" m="1" x="708"/>
        <item h="1" m="1" x="709"/>
        <item h="1" m="1" x="710"/>
        <item h="1" m="1" x="711"/>
        <item h="1" m="1" x="712"/>
        <item h="1" x="46"/>
        <item h="1" m="1" x="713"/>
        <item h="1" m="1" x="714"/>
        <item h="1" m="1" x="717"/>
        <item h="1" m="1" x="718"/>
        <item h="1" x="44"/>
        <item h="1" m="1" x="721"/>
        <item h="1" m="1" x="722"/>
        <item h="1" m="1" x="724"/>
        <item h="1" m="1" x="725"/>
        <item h="1" m="1" x="727"/>
        <item h="1" m="1" x="728"/>
        <item h="1" m="1" x="729"/>
        <item h="1" m="1" x="730"/>
        <item h="1" m="1" x="731"/>
        <item h="1" m="1" x="465"/>
        <item h="1" m="1" x="734"/>
        <item h="1" m="1" x="735"/>
        <item h="1" m="1" x="736"/>
        <item h="1" m="1" x="737"/>
        <item h="1" m="1" x="738"/>
        <item h="1" m="1" x="739"/>
        <item h="1" m="1" x="740"/>
        <item h="1" m="1" x="741"/>
        <item h="1" x="144"/>
        <item h="1" x="133"/>
        <item h="1" m="1" x="478"/>
        <item h="1" m="1" x="488"/>
        <item h="1" m="1" x="486"/>
        <item h="1" m="1" x="489"/>
        <item h="1" m="1" x="491"/>
        <item h="1" m="1" x="492"/>
        <item h="1" x="173"/>
        <item h="1" x="172"/>
        <item h="1" m="1" x="688"/>
        <item h="1" m="1" x="748"/>
        <item h="1" m="1" x="752"/>
        <item h="1" m="1" x="753"/>
        <item h="1" m="1" x="686"/>
        <item h="1" m="1" x="683"/>
        <item h="1" m="1" x="690"/>
        <item h="1" m="1" x="687"/>
        <item h="1" m="1" x="689"/>
        <item h="1" m="1" x="754"/>
        <item h="1" m="1" x="516"/>
        <item h="1" m="1" x="517"/>
        <item h="1" m="1" x="522"/>
        <item h="1" m="1" x="524"/>
        <item h="1" m="1" x="685"/>
        <item h="1" m="1" x="537"/>
        <item h="1" m="1" x="757"/>
        <item h="1" m="1" x="607"/>
        <item h="1" x="311"/>
        <item h="1" x="301"/>
        <item h="1" m="1" x="691"/>
        <item h="1" x="331"/>
        <item h="1" m="1" x="545"/>
        <item h="1" x="334"/>
        <item h="1" m="1" x="759"/>
        <item h="1" m="1" x="762"/>
        <item h="1" m="1" x="763"/>
        <item h="1" m="1" x="556"/>
        <item h="1" m="1" x="557"/>
        <item h="1" m="1" x="558"/>
        <item h="1" m="1" x="559"/>
        <item h="1" m="1" x="563"/>
        <item h="1" m="1" x="564"/>
        <item h="1" m="1" x="568"/>
        <item h="1" m="1" x="682"/>
        <item h="1" m="1" x="692"/>
        <item h="1" x="385"/>
        <item h="1" m="1" x="768"/>
        <item h="1" m="1" x="577"/>
        <item h="1" m="1" x="594"/>
        <item h="1" m="1" x="681"/>
        <item h="1" m="1" x="593"/>
        <item h="1" m="1" x="581"/>
        <item h="1" m="1" x="583"/>
        <item h="1" x="416"/>
        <item h="1" m="1" x="584"/>
        <item h="1" m="1" x="591"/>
        <item h="1" m="1" x="590"/>
        <item h="1" m="1" x="663"/>
        <item h="1" m="1" x="428"/>
        <item h="1" m="1" x="427"/>
        <item h="1" m="1" x="600"/>
        <item h="1" m="1" x="424"/>
        <item h="1" m="1" x="425"/>
        <item h="1" m="1" x="426"/>
        <item h="1" m="1" x="674"/>
        <item h="1" m="1" x="608"/>
        <item h="1" x="15"/>
        <item h="1" m="1" x="670"/>
        <item h="1" m="1" x="680"/>
        <item h="1" m="1" x="601"/>
        <item h="1" m="1" x="439"/>
        <item h="1" m="1" x="612"/>
        <item h="1" m="1" x="611"/>
        <item h="1" m="1" x="610"/>
        <item h="1" m="1" x="609"/>
        <item h="1" m="1" x="440"/>
        <item h="1" m="1" x="599"/>
        <item h="1" m="1" x="598"/>
        <item h="1" m="1" x="597"/>
        <item h="1" m="1" x="441"/>
        <item h="1" m="1" x="438"/>
        <item h="1" m="1" x="437"/>
        <item h="1" m="1" x="615"/>
        <item h="1" m="1" x="632"/>
        <item h="1" m="1" x="642"/>
        <item h="1" m="1" x="434"/>
        <item h="1" m="1" x="644"/>
        <item h="1" m="1" x="436"/>
        <item h="1" x="59"/>
        <item h="1" m="1" x="435"/>
        <item h="1" m="1" x="653"/>
        <item h="1" m="1" x="652"/>
        <item h="1" m="1" x="651"/>
        <item h="1" m="1" x="649"/>
        <item h="1" m="1" x="673"/>
        <item h="1" m="1" x="675"/>
        <item h="1" m="1" x="431"/>
        <item h="1" m="1" x="672"/>
        <item h="1" m="1" x="679"/>
        <item h="1" m="1" x="678"/>
        <item h="1" m="1" x="677"/>
        <item h="1" m="1" x="432"/>
        <item h="1" m="1" x="664"/>
        <item h="1" m="1" x="659"/>
        <item h="1" m="1" x="660"/>
        <item h="1" m="1" x="433"/>
        <item h="1" m="1" x="657"/>
        <item h="1" m="1" x="640"/>
        <item h="1" m="1" x="641"/>
        <item h="1" m="1" x="631"/>
        <item h="1" m="1" x="630"/>
        <item h="1" m="1" x="636"/>
        <item h="1" m="1" x="668"/>
        <item h="1" m="1" x="466"/>
        <item h="1" m="1" x="470"/>
        <item h="1" m="1" x="614"/>
        <item h="1" x="114"/>
        <item h="1" x="116"/>
        <item h="1" m="1" x="648"/>
        <item h="1" m="1" x="647"/>
        <item h="1" m="1" x="490"/>
        <item h="1" m="1" x="480"/>
        <item h="1" m="1" x="606"/>
        <item h="1" m="1" x="483"/>
        <item h="1" x="149"/>
        <item h="1" m="1" x="626"/>
        <item h="1" m="1" x="499"/>
        <item h="1" m="1" x="497"/>
        <item h="1" x="201"/>
        <item h="1" m="1" x="667"/>
        <item h="1" m="1" x="666"/>
        <item h="1" m="1" x="665"/>
        <item h="1" m="1" x="621"/>
        <item h="1" x="230"/>
        <item h="1" m="1" x="505"/>
        <item h="1" m="1" x="506"/>
        <item h="1" m="1" x="617"/>
        <item h="1" x="235"/>
        <item h="1" m="1" x="662"/>
        <item h="1" m="1" x="645"/>
        <item h="1" m="1" x="618"/>
        <item h="1" m="1" x="661"/>
        <item h="1" m="1" x="627"/>
        <item h="1" m="1" x="514"/>
        <item h="1" m="1" x="628"/>
        <item h="1" x="245"/>
        <item h="1" m="1" x="518"/>
        <item h="1" m="1" x="519"/>
        <item h="1" x="262"/>
        <item h="1" m="1" x="531"/>
        <item h="1" m="1" x="655"/>
        <item h="1" m="1" x="526"/>
        <item h="1" m="1" x="529"/>
        <item h="1" x="287"/>
        <item h="1" x="288"/>
        <item h="1" x="286"/>
        <item h="1" m="1" x="541"/>
        <item h="1" x="315"/>
        <item h="1" x="304"/>
        <item h="1" x="305"/>
        <item h="1" x="308"/>
        <item h="1" x="309"/>
        <item h="1" x="310"/>
        <item h="1" x="330"/>
        <item h="1" m="1" x="676"/>
        <item h="1" x="335"/>
        <item h="1" m="1" x="546"/>
        <item h="1" x="341"/>
        <item h="1" m="1" x="547"/>
        <item h="1" m="1" x="548"/>
        <item h="1" m="1" x="549"/>
        <item h="1" m="1" x="646"/>
        <item h="1" m="1" x="550"/>
        <item h="1" x="353"/>
        <item h="1" m="1" x="605"/>
        <item h="1" m="1" x="638"/>
        <item h="1" m="1" x="637"/>
        <item h="1" m="1" x="623"/>
        <item h="1" m="1" x="622"/>
        <item h="1" m="1" x="602"/>
        <item h="1" m="1" x="562"/>
        <item h="1" m="1" x="553"/>
        <item h="1" m="1" x="555"/>
        <item h="1" m="1" x="569"/>
        <item h="1" m="1" x="570"/>
        <item h="1" m="1" x="565"/>
        <item h="1" m="1" x="656"/>
        <item h="1" x="378"/>
        <item h="1" m="1" x="625"/>
        <item h="1" m="1" x="624"/>
        <item h="1" m="1" x="588"/>
        <item h="1" m="1" x="635"/>
        <item h="1" m="1" x="589"/>
        <item h="1" m="1" x="634"/>
        <item h="1" m="1" x="579"/>
        <item h="1" m="1" x="580"/>
        <item h="1" x="414"/>
        <item h="1" m="1" x="633"/>
        <item h="1" m="1" x="578"/>
        <item h="1" x="5"/>
        <item h="1" m="1" x="422"/>
        <item h="1" x="27"/>
        <item h="1" x="28"/>
        <item h="1" m="1" x="442"/>
        <item h="1" m="1" x="443"/>
        <item h="1" m="1" x="444"/>
        <item h="1" m="1" x="445"/>
        <item h="1" m="1" x="447"/>
        <item h="1" m="1" x="448"/>
        <item h="1" m="1" x="449"/>
        <item h="1" m="1" x="450"/>
        <item h="1" m="1" x="451"/>
        <item h="1" m="1" x="452"/>
        <item h="1" m="1" x="453"/>
        <item h="1" m="1" x="454"/>
        <item h="1" m="1" x="455"/>
        <item h="1" m="1" x="456"/>
        <item h="1" m="1" x="457"/>
        <item h="1" m="1" x="458"/>
        <item h="1" m="1" x="459"/>
        <item h="1" m="1" x="460"/>
        <item h="1" m="1" x="461"/>
        <item h="1" m="1" x="462"/>
        <item h="1" m="1" x="463"/>
        <item h="1" m="1" x="464"/>
        <item h="1" x="79"/>
        <item h="1" x="85"/>
        <item h="1" m="1" x="467"/>
        <item h="1" m="1" x="468"/>
        <item h="1" m="1" x="469"/>
        <item h="1" m="1" x="472"/>
        <item h="1" m="1" x="474"/>
        <item h="1" x="100"/>
        <item h="1" x="99"/>
        <item h="1" x="102"/>
        <item h="1" x="103"/>
        <item h="1" x="101"/>
        <item h="1" x="111"/>
        <item h="1" x="115"/>
        <item h="1" x="112"/>
        <item h="1" x="113"/>
        <item h="1" x="130"/>
        <item h="1" x="139"/>
        <item h="1" x="124"/>
        <item h="1" m="1" x="485"/>
        <item h="1" m="1" x="487"/>
        <item h="1" x="120"/>
        <item h="1" x="162"/>
        <item h="1" x="163"/>
        <item h="1" x="164"/>
        <item h="1" m="1" x="493"/>
        <item h="1" m="1" x="494"/>
        <item h="1" x="167"/>
        <item h="1" x="168"/>
        <item h="1" m="1" x="495"/>
        <item h="1" m="1" x="496"/>
        <item h="1" x="170"/>
        <item h="1" x="171"/>
        <item h="1" x="179"/>
        <item h="1" x="182"/>
        <item h="1" x="183"/>
        <item h="1" x="181"/>
        <item h="1" x="184"/>
        <item h="1" x="185"/>
        <item h="1" x="194"/>
        <item h="1" x="193"/>
        <item h="1" x="192"/>
        <item h="1" x="189"/>
        <item h="1" x="190"/>
        <item h="1" x="191"/>
        <item h="1" x="187"/>
        <item h="1" x="188"/>
        <item h="1" x="186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m="1" x="502"/>
        <item h="1" m="1" x="503"/>
        <item h="1" m="1" x="504"/>
        <item h="1" x="236"/>
        <item h="1" m="1" x="512"/>
        <item h="1" m="1" x="513"/>
        <item h="1" m="1" x="515"/>
        <item h="1" x="246"/>
        <item h="1" x="258"/>
        <item h="1" x="259"/>
        <item h="1" m="1" x="536"/>
        <item h="1" m="1" x="538"/>
        <item h="1" x="283"/>
        <item h="1" m="1" x="539"/>
        <item h="1" m="1" x="540"/>
        <item h="1" x="290"/>
        <item h="1" m="1" x="542"/>
        <item h="1" m="1" x="543"/>
        <item h="1" x="306"/>
        <item h="1" x="307"/>
        <item h="1" x="317"/>
        <item h="1" x="300"/>
        <item h="1" x="297"/>
        <item h="1" x="336"/>
        <item h="1" m="1" x="552"/>
        <item h="1" m="1" x="560"/>
        <item h="1" m="1" x="561"/>
        <item h="1" m="1" x="566"/>
        <item h="1" m="1" x="571"/>
        <item h="1" x="379"/>
        <item h="1" x="381"/>
        <item h="1" x="377"/>
        <item h="1" x="399"/>
        <item h="1" m="1" x="576"/>
        <item h="1" m="1" x="585"/>
        <item h="1" m="1" x="587"/>
        <item h="1" x="412"/>
        <item h="1" x="0"/>
        <item h="1" x="2"/>
        <item h="1" x="3"/>
        <item h="1" x="4"/>
        <item h="1" x="6"/>
        <item h="1" x="8"/>
        <item h="1" x="9"/>
        <item h="1" x="10"/>
        <item h="1" x="11"/>
        <item h="1" x="12"/>
        <item h="1" x="16"/>
        <item h="1" x="17"/>
        <item h="1" x="18"/>
        <item h="1" x="30"/>
        <item h="1" x="31"/>
        <item h="1" x="34"/>
        <item h="1" x="35"/>
        <item h="1" x="36"/>
        <item h="1" x="37"/>
        <item h="1" x="38"/>
        <item h="1" x="47"/>
        <item h="1" x="48"/>
        <item h="1" x="49"/>
        <item h="1" x="50"/>
        <item h="1" x="51"/>
        <item h="1" x="52"/>
        <item h="1" x="53"/>
        <item h="1" x="55"/>
        <item h="1" x="56"/>
        <item h="1" x="57"/>
        <item h="1" x="58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70"/>
        <item h="1" x="71"/>
        <item h="1" x="74"/>
        <item h="1" x="90"/>
        <item h="1" x="94"/>
        <item h="1" x="95"/>
        <item h="1" x="97"/>
        <item h="1" x="98"/>
        <item h="1" x="104"/>
        <item h="1" x="105"/>
        <item h="1" x="110"/>
        <item h="1" x="122"/>
        <item h="1" x="125"/>
        <item h="1" x="129"/>
        <item h="1" x="148"/>
        <item h="1" x="150"/>
        <item h="1" x="151"/>
        <item h="1" x="154"/>
        <item h="1" x="158"/>
        <item h="1" x="159"/>
        <item h="1" x="160"/>
        <item h="1" x="161"/>
        <item h="1" x="176"/>
        <item h="1" x="177"/>
        <item h="1" x="178"/>
        <item h="1" x="195"/>
        <item h="1" x="196"/>
        <item h="1" x="197"/>
        <item h="1" x="198"/>
        <item h="1" x="199"/>
        <item h="1" x="211"/>
        <item h="1" x="213"/>
        <item h="1" x="214"/>
        <item h="1" x="226"/>
        <item h="1" x="227"/>
        <item h="1" x="228"/>
        <item h="1" x="229"/>
        <item h="1" x="232"/>
        <item h="1" x="233"/>
        <item h="1" x="234"/>
        <item h="1" x="240"/>
        <item h="1" x="242"/>
        <item h="1" x="243"/>
        <item h="1" x="270"/>
        <item h="1" x="272"/>
        <item h="1" x="275"/>
        <item h="1" x="277"/>
        <item h="1" x="281"/>
        <item h="1" x="282"/>
        <item h="1" x="284"/>
        <item h="1" x="285"/>
        <item h="1" x="313"/>
        <item h="1" x="314"/>
        <item h="1" x="325"/>
        <item h="1" x="327"/>
        <item h="1" x="340"/>
        <item h="1" x="343"/>
        <item h="1" x="345"/>
        <item h="1" x="346"/>
        <item h="1" x="355"/>
        <item h="1" x="363"/>
        <item h="1" x="364"/>
        <item h="1" x="365"/>
        <item h="1" x="372"/>
        <item h="1" x="389"/>
        <item h="1" x="391"/>
        <item h="1" x="397"/>
        <item h="1" x="400"/>
        <item h="1" x="402"/>
        <item h="1" x="403"/>
        <item h="1" x="404"/>
        <item h="1" x="405"/>
        <item h="1" x="406"/>
        <item h="1" x="407"/>
        <item h="1" x="408"/>
        <item h="1" x="409"/>
        <item h="1" x="413"/>
        <item h="1" x="415"/>
        <item h="1" x="4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7"/>
    </i>
    <i r="1">
      <x v="8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66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27" type="button" dataOnly="0" labelOnly="1" outline="0" axis="axisPage" fieldPosition="0"/>
    </format>
    <format dxfId="1124">
      <pivotArea outline="0" collapsedLevelsAreSubtotals="1" fieldPosition="0"/>
    </format>
    <format dxfId="1123">
      <pivotArea dataOnly="0" labelOnly="1" grandRow="1" outline="0" fieldPosition="0"/>
    </format>
    <format dxfId="1122">
      <pivotArea type="all" dataOnly="0" outline="0" fieldPosition="0"/>
    </format>
    <format dxfId="1121">
      <pivotArea outline="0" collapsedLevelsAreSubtotals="1" fieldPosition="0"/>
    </format>
    <format dxfId="1120">
      <pivotArea dataOnly="0" labelOnly="1" grandRow="1" outline="0" fieldPosition="0"/>
    </format>
    <format dxfId="1119">
      <pivotArea dataOnly="0" labelOnly="1" outline="0" axis="axisValues" fieldPosition="0"/>
    </format>
    <format dxfId="1118">
      <pivotArea type="all" dataOnly="0" outline="0" fieldPosition="0"/>
    </format>
    <format dxfId="1117">
      <pivotArea outline="0" collapsedLevelsAreSubtotals="1" fieldPosition="0"/>
    </format>
    <format dxfId="1116">
      <pivotArea dataOnly="0" labelOnly="1" grandRow="1" outline="0" fieldPosition="0"/>
    </format>
    <format dxfId="1115">
      <pivotArea dataOnly="0" labelOnly="1" outline="0" axis="axisValues" fieldPosition="0"/>
    </format>
    <format dxfId="1114">
      <pivotArea grandRow="1" outline="0" collapsedLevelsAreSubtotals="1" fieldPosition="0"/>
    </format>
    <format dxfId="1113">
      <pivotArea type="all" dataOnly="0" outline="0" fieldPosition="0"/>
    </format>
    <format dxfId="1112">
      <pivotArea outline="0" collapsedLevelsAreSubtotals="1" fieldPosition="0"/>
    </format>
    <format dxfId="1111">
      <pivotArea dataOnly="0" labelOnly="1" grandRow="1" outline="0" fieldPosition="0"/>
    </format>
    <format dxfId="1110">
      <pivotArea dataOnly="0" labelOnly="1" outline="0" axis="axisValues" fieldPosition="0"/>
    </format>
    <format dxfId="1109">
      <pivotArea type="all" dataOnly="0" outline="0" fieldPosition="0"/>
    </format>
    <format dxfId="1108">
      <pivotArea outline="0" collapsedLevelsAreSubtotals="1" fieldPosition="0"/>
    </format>
    <format dxfId="1107">
      <pivotArea dataOnly="0" labelOnly="1" grandRow="1" outline="0" fieldPosition="0"/>
    </format>
    <format dxfId="1106">
      <pivotArea dataOnly="0" labelOnly="1" outline="0" axis="axisValues" fieldPosition="0"/>
    </format>
    <format dxfId="1105">
      <pivotArea type="all" dataOnly="0" outline="0" fieldPosition="0"/>
    </format>
    <format dxfId="1104">
      <pivotArea type="all" dataOnly="0" outline="0" fieldPosition="0"/>
    </format>
    <format dxfId="1103">
      <pivotArea type="all" dataOnly="0" outline="0" fieldPosition="0"/>
    </format>
    <format>
      <pivotArea type="all" dataOnly="0" outline="0" fieldPosition="0"/>
    </format>
    <format dxfId="1102">
      <pivotArea type="all" dataOnly="0" outline="0" fieldPosition="0"/>
    </format>
    <format>
      <pivotArea type="all" dataOnly="0" outline="0" fieldPosition="0"/>
    </format>
    <format dxfId="1101">
      <pivotArea grandRow="1" outline="0" collapsedLevelsAreSubtotals="1" fieldPosition="0"/>
    </format>
    <format>
      <pivotArea type="all" dataOnly="0" outline="0" fieldPosition="0"/>
    </format>
    <format dxfId="1100">
      <pivotArea type="all" dataOnly="0" outline="0" fieldPosition="0"/>
    </format>
    <format dxfId="1099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1098">
      <pivotArea outline="0" collapsedLevelsAreSubtotals="1" fieldPosition="0"/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dataOnly="0" labelOnly="1" grandRow="1" outline="0" fieldPosition="0"/>
    </format>
    <format dxfId="1094">
      <pivotArea dataOnly="0" labelOnly="1" outline="0" axis="axisValues" fieldPosition="0"/>
    </format>
    <format dxfId="1093">
      <pivotArea type="all" dataOnly="0" outline="0" fieldPosition="0"/>
    </format>
    <format dxfId="1092">
      <pivotArea outline="0" collapsedLevelsAreSubtotals="1" fieldPosition="0"/>
    </format>
    <format dxfId="1091">
      <pivotArea dataOnly="0" labelOnly="1" outline="0" axis="axisValues" fieldPosition="0"/>
    </format>
    <format dxfId="1090">
      <pivotArea dataOnly="0" labelOnly="1" grandRow="1" outline="0" fieldPosition="0"/>
    </format>
    <format dxfId="1089">
      <pivotArea type="all" dataOnly="0" outline="0" fieldPosition="0"/>
    </format>
    <format dxfId="1088">
      <pivotArea outline="0" collapsedLevelsAreSubtotals="1" fieldPosition="0"/>
    </format>
    <format dxfId="1087">
      <pivotArea field="47" type="button" dataOnly="0" labelOnly="1" outline="0" axis="axisRow" fieldPosition="0"/>
    </format>
    <format dxfId="1086">
      <pivotArea dataOnly="0" labelOnly="1" fieldPosition="0">
        <references count="1">
          <reference field="47" count="1">
            <x v="0"/>
          </reference>
        </references>
      </pivotArea>
    </format>
    <format dxfId="1085">
      <pivotArea dataOnly="0" labelOnly="1" grandRow="1" outline="0" fieldPosition="0"/>
    </format>
    <format dxfId="1084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1083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1082">
      <pivotArea field="47" type="button" dataOnly="0" labelOnly="1" outline="0" axis="axisRow" fieldPosition="0"/>
    </format>
    <format dxfId="1081">
      <pivotArea dataOnly="0" labelOnly="1" grandRow="1" outline="0" fieldPosition="0"/>
    </format>
    <format dxfId="1080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1079">
      <pivotArea outline="0" collapsedLevelsAreSubtotals="1" fieldPosition="0"/>
    </format>
    <format dxfId="1078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1077">
      <pivotArea dataOnly="0" labelOnly="1" fieldPosition="0">
        <references count="1">
          <reference field="47" count="1">
            <x v="0"/>
          </reference>
        </references>
      </pivotArea>
    </format>
    <format dxfId="1076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  <format dxfId="1075">
      <pivotArea dataOnly="0" labelOnly="1" fieldPosition="0">
        <references count="1">
          <reference field="47" count="1">
            <x v="0"/>
          </reference>
        </references>
      </pivotArea>
    </format>
    <format dxfId="1074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U247"/>
  <sheetViews>
    <sheetView showGridLines="0" tabSelected="1" zoomScale="80" zoomScaleNormal="80" zoomScaleSheetLayoutView="85" zoomScalePageLayoutView="30" workbookViewId="0">
      <selection activeCell="F16" sqref="F16"/>
    </sheetView>
  </sheetViews>
  <sheetFormatPr defaultColWidth="33.28515625" defaultRowHeight="15.75" x14ac:dyDescent="0.25"/>
  <cols>
    <col min="1" max="1" width="42.85546875" style="16" bestFit="1" customWidth="1"/>
    <col min="2" max="2" width="20" style="15" bestFit="1" customWidth="1"/>
    <col min="3" max="3" width="18.28515625" style="15" bestFit="1" customWidth="1"/>
    <col min="4" max="4" width="17.85546875" style="15" bestFit="1" customWidth="1"/>
    <col min="5" max="5" width="22.28515625" style="15" bestFit="1" customWidth="1"/>
    <col min="6" max="6" width="21" style="15" bestFit="1" customWidth="1"/>
    <col min="7" max="7" width="17" style="15" bestFit="1" customWidth="1"/>
    <col min="8" max="8" width="13.140625" style="15" bestFit="1" customWidth="1"/>
    <col min="9" max="9" width="19.140625" style="15" bestFit="1" customWidth="1"/>
    <col min="10" max="10" width="12.7109375" style="15" bestFit="1" customWidth="1"/>
    <col min="11" max="11" width="12.42578125" style="15" bestFit="1" customWidth="1"/>
    <col min="12" max="12" width="12.7109375" style="15" customWidth="1"/>
    <col min="13" max="13" width="45.7109375" style="16" bestFit="1" customWidth="1"/>
    <col min="14" max="14" width="20.28515625" style="15" bestFit="1" customWidth="1"/>
    <col min="15" max="15" width="9.85546875" style="15" bestFit="1" customWidth="1"/>
    <col min="16" max="16" width="17.5703125" style="15" bestFit="1" customWidth="1"/>
    <col min="17" max="17" width="15.7109375" style="15" bestFit="1" customWidth="1"/>
    <col min="18" max="18" width="12.42578125" style="15" bestFit="1" customWidth="1"/>
    <col min="19" max="20" width="20.28515625" style="15" bestFit="1" customWidth="1"/>
    <col min="21" max="21" width="11.7109375" style="15" bestFit="1" customWidth="1"/>
    <col min="22" max="22" width="9.42578125" style="15" customWidth="1"/>
    <col min="23" max="23" width="9.85546875" style="15" customWidth="1"/>
    <col min="24" max="63" width="13.7109375" style="15" bestFit="1" customWidth="1"/>
    <col min="64" max="64" width="5.85546875" style="15" bestFit="1" customWidth="1"/>
    <col min="65" max="664" width="13.7109375" style="15" bestFit="1" customWidth="1"/>
    <col min="665" max="665" width="12.28515625" style="15" bestFit="1" customWidth="1"/>
    <col min="666" max="1054" width="20.5703125" style="15" bestFit="1" customWidth="1"/>
    <col min="1055" max="1055" width="7" style="15" bestFit="1" customWidth="1"/>
    <col min="1056" max="1056" width="13.28515625" style="15" bestFit="1" customWidth="1"/>
    <col min="1057" max="1588" width="33.28515625" style="15" customWidth="1"/>
    <col min="1589" max="16384" width="33.28515625" style="15"/>
  </cols>
  <sheetData>
    <row r="1" spans="1:21" ht="46.5" customHeight="1" x14ac:dyDescent="0.25">
      <c r="A1" s="47" t="str">
        <f ca="1">"Análise de Erros "&amp;TEXT(TODAY(),"dd/mm/aa")</f>
        <v>Análise de Erros 13/08/25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9"/>
      <c r="N1" s="48"/>
      <c r="O1" s="48"/>
      <c r="P1" s="48"/>
      <c r="Q1" s="48"/>
      <c r="R1" s="48"/>
      <c r="S1" s="48"/>
      <c r="T1" s="48"/>
      <c r="U1" s="48"/>
    </row>
    <row r="3" spans="1:21" x14ac:dyDescent="0.25">
      <c r="A3" s="50" t="s">
        <v>0</v>
      </c>
      <c r="B3" s="48"/>
      <c r="C3" s="48"/>
      <c r="D3" s="48"/>
      <c r="E3" s="48"/>
      <c r="F3" s="48"/>
      <c r="M3" s="50" t="s">
        <v>1</v>
      </c>
      <c r="N3" s="48"/>
      <c r="O3" s="48"/>
      <c r="P3" s="48"/>
      <c r="Q3" s="48"/>
      <c r="R3" s="48"/>
      <c r="S3" s="48"/>
      <c r="T3" s="48"/>
      <c r="U3" s="48"/>
    </row>
    <row r="4" spans="1:21" x14ac:dyDescent="0.25">
      <c r="A4" s="17" t="s">
        <v>2</v>
      </c>
      <c r="B4" s="18" t="s">
        <v>3</v>
      </c>
      <c r="M4" s="17" t="s">
        <v>4</v>
      </c>
      <c r="N4" s="18" t="s">
        <v>5</v>
      </c>
    </row>
    <row r="5" spans="1:21" x14ac:dyDescent="0.25">
      <c r="A5" s="19" t="s">
        <v>6</v>
      </c>
      <c r="B5" s="20" t="s">
        <v>7</v>
      </c>
      <c r="C5" s="20" t="s">
        <v>8</v>
      </c>
      <c r="D5" s="20" t="s">
        <v>9</v>
      </c>
      <c r="E5" s="20" t="s">
        <v>3</v>
      </c>
      <c r="F5" s="20" t="s">
        <v>10</v>
      </c>
      <c r="M5" s="19" t="s">
        <v>11</v>
      </c>
      <c r="N5" s="20" t="s">
        <v>12</v>
      </c>
      <c r="O5" s="20" t="s">
        <v>13</v>
      </c>
      <c r="P5" s="20" t="s">
        <v>14</v>
      </c>
      <c r="Q5" s="20" t="s">
        <v>15</v>
      </c>
      <c r="R5" s="20" t="s">
        <v>16</v>
      </c>
      <c r="S5" s="27" t="s">
        <v>10</v>
      </c>
    </row>
    <row r="6" spans="1:21" x14ac:dyDescent="0.25">
      <c r="A6" s="16" t="s">
        <v>17</v>
      </c>
      <c r="B6" s="20">
        <v>134</v>
      </c>
      <c r="C6" s="20">
        <v>49</v>
      </c>
      <c r="D6" s="20">
        <v>121</v>
      </c>
      <c r="E6" s="20">
        <v>24</v>
      </c>
      <c r="F6" s="20">
        <v>328</v>
      </c>
      <c r="M6" s="31" t="s">
        <v>18</v>
      </c>
      <c r="N6" s="20"/>
      <c r="O6" s="20"/>
      <c r="P6" s="20"/>
      <c r="Q6" s="20"/>
      <c r="R6" s="20"/>
      <c r="S6" s="20"/>
    </row>
    <row r="7" spans="1:21" x14ac:dyDescent="0.25">
      <c r="A7" s="16" t="s">
        <v>19</v>
      </c>
      <c r="B7" s="20">
        <v>14</v>
      </c>
      <c r="C7" s="20">
        <v>1</v>
      </c>
      <c r="D7" s="20">
        <v>16</v>
      </c>
      <c r="E7" s="20">
        <v>2</v>
      </c>
      <c r="F7" s="20">
        <v>33</v>
      </c>
      <c r="M7" s="40" t="s">
        <v>20</v>
      </c>
      <c r="N7" s="36">
        <v>124</v>
      </c>
      <c r="O7" s="36">
        <v>13</v>
      </c>
      <c r="P7" s="36">
        <v>86</v>
      </c>
      <c r="Q7" s="36"/>
      <c r="R7" s="36">
        <v>99</v>
      </c>
      <c r="S7" s="36">
        <v>322</v>
      </c>
    </row>
    <row r="8" spans="1:21" x14ac:dyDescent="0.25">
      <c r="A8" s="16" t="s">
        <v>21</v>
      </c>
      <c r="B8" s="20">
        <v>36</v>
      </c>
      <c r="C8" s="20">
        <v>4</v>
      </c>
      <c r="D8" s="20">
        <v>66</v>
      </c>
      <c r="E8" s="20">
        <v>6</v>
      </c>
      <c r="F8" s="20">
        <v>112</v>
      </c>
      <c r="M8" s="30" t="s">
        <v>22</v>
      </c>
      <c r="N8" s="37">
        <v>124</v>
      </c>
      <c r="O8" s="37">
        <v>13</v>
      </c>
      <c r="P8" s="37">
        <v>86</v>
      </c>
      <c r="Q8" s="37"/>
      <c r="R8" s="37">
        <v>99</v>
      </c>
      <c r="S8" s="37">
        <v>322</v>
      </c>
    </row>
    <row r="9" spans="1:21" x14ac:dyDescent="0.25">
      <c r="A9" s="16" t="s">
        <v>23</v>
      </c>
      <c r="B9" s="20">
        <v>2</v>
      </c>
      <c r="C9" s="20">
        <v>5</v>
      </c>
      <c r="D9" s="20">
        <v>28</v>
      </c>
      <c r="E9" s="20">
        <v>16</v>
      </c>
      <c r="F9" s="20">
        <v>51</v>
      </c>
      <c r="M9" s="31" t="s">
        <v>24</v>
      </c>
      <c r="N9" s="20"/>
      <c r="O9" s="20"/>
      <c r="P9" s="20"/>
      <c r="Q9" s="20"/>
      <c r="R9" s="20"/>
      <c r="S9" s="20"/>
    </row>
    <row r="10" spans="1:21" x14ac:dyDescent="0.25">
      <c r="A10" s="32" t="s">
        <v>25</v>
      </c>
      <c r="B10" s="35"/>
      <c r="C10" s="35"/>
      <c r="D10" s="35">
        <v>2</v>
      </c>
      <c r="E10" s="35">
        <v>17</v>
      </c>
      <c r="F10" s="35">
        <v>19</v>
      </c>
      <c r="M10" s="40" t="s">
        <v>26</v>
      </c>
      <c r="N10" s="36">
        <v>11</v>
      </c>
      <c r="O10" s="36">
        <v>9</v>
      </c>
      <c r="P10" s="36">
        <v>2</v>
      </c>
      <c r="Q10" s="36">
        <v>2</v>
      </c>
      <c r="R10" s="36">
        <v>49</v>
      </c>
      <c r="S10" s="36">
        <v>73</v>
      </c>
    </row>
    <row r="11" spans="1:21" x14ac:dyDescent="0.25">
      <c r="A11" s="32" t="s">
        <v>27</v>
      </c>
      <c r="B11" s="35"/>
      <c r="C11" s="35">
        <v>2</v>
      </c>
      <c r="D11" s="35">
        <v>3</v>
      </c>
      <c r="E11" s="35">
        <v>9</v>
      </c>
      <c r="F11" s="35">
        <v>14</v>
      </c>
      <c r="M11" s="30" t="s">
        <v>28</v>
      </c>
      <c r="N11" s="37">
        <v>11</v>
      </c>
      <c r="O11" s="37">
        <v>9</v>
      </c>
      <c r="P11" s="37">
        <v>2</v>
      </c>
      <c r="Q11" s="37">
        <v>2</v>
      </c>
      <c r="R11" s="37">
        <v>49</v>
      </c>
      <c r="S11" s="37">
        <v>73</v>
      </c>
    </row>
    <row r="12" spans="1:21" x14ac:dyDescent="0.25">
      <c r="A12" s="32" t="s">
        <v>29</v>
      </c>
      <c r="B12" s="35"/>
      <c r="C12" s="35">
        <v>1</v>
      </c>
      <c r="D12" s="35">
        <v>2</v>
      </c>
      <c r="E12" s="35">
        <v>1</v>
      </c>
      <c r="F12" s="35">
        <v>4</v>
      </c>
      <c r="M12" s="31" t="s">
        <v>30</v>
      </c>
      <c r="N12" s="20"/>
      <c r="O12" s="20"/>
      <c r="P12" s="20"/>
      <c r="Q12" s="20"/>
      <c r="R12" s="20"/>
      <c r="S12" s="20"/>
    </row>
    <row r="13" spans="1:21" x14ac:dyDescent="0.25">
      <c r="A13" s="16" t="s">
        <v>10</v>
      </c>
      <c r="B13" s="20">
        <v>186</v>
      </c>
      <c r="C13" s="20">
        <v>62</v>
      </c>
      <c r="D13" s="20">
        <v>238</v>
      </c>
      <c r="E13" s="20">
        <v>75</v>
      </c>
      <c r="F13" s="34">
        <v>561</v>
      </c>
      <c r="M13" s="40" t="s">
        <v>20</v>
      </c>
      <c r="N13" s="36">
        <v>27</v>
      </c>
      <c r="O13" s="36">
        <v>9</v>
      </c>
      <c r="P13" s="36"/>
      <c r="Q13" s="36"/>
      <c r="R13" s="36">
        <v>24</v>
      </c>
      <c r="S13" s="36">
        <v>60</v>
      </c>
    </row>
    <row r="14" spans="1:21" x14ac:dyDescent="0.25">
      <c r="M14" s="30" t="s">
        <v>31</v>
      </c>
      <c r="N14" s="37">
        <v>27</v>
      </c>
      <c r="O14" s="37">
        <v>9</v>
      </c>
      <c r="P14" s="37"/>
      <c r="Q14" s="37"/>
      <c r="R14" s="37">
        <v>24</v>
      </c>
      <c r="S14" s="37">
        <v>60</v>
      </c>
    </row>
    <row r="15" spans="1:21" x14ac:dyDescent="0.25">
      <c r="A15" s="52" t="s">
        <v>32</v>
      </c>
      <c r="B15" s="48"/>
      <c r="C15" s="48"/>
      <c r="D15" s="48"/>
      <c r="E15" s="48"/>
      <c r="F15" s="28">
        <v>168</v>
      </c>
      <c r="M15" s="31" t="s">
        <v>33</v>
      </c>
      <c r="N15" s="20"/>
      <c r="O15" s="20"/>
      <c r="P15" s="20"/>
      <c r="Q15" s="20"/>
      <c r="R15" s="20"/>
      <c r="S15" s="20"/>
    </row>
    <row r="16" spans="1:21" x14ac:dyDescent="0.25">
      <c r="A16" s="51" t="str">
        <f>IF(($F$15/$F$6)&gt;=100%,"Eficiência Positiva","Eficiência Negativa")</f>
        <v>Eficiência Negativa</v>
      </c>
      <c r="B16" s="48"/>
      <c r="C16" s="48"/>
      <c r="D16" s="48"/>
      <c r="E16" s="48"/>
      <c r="F16" s="29">
        <f>($F$15/$F$6)-100%</f>
        <v>-0.48780487804878048</v>
      </c>
      <c r="M16" s="40" t="s">
        <v>20</v>
      </c>
      <c r="N16" s="36"/>
      <c r="O16" s="36"/>
      <c r="P16" s="36"/>
      <c r="Q16" s="36">
        <v>1</v>
      </c>
      <c r="R16" s="36">
        <v>40</v>
      </c>
      <c r="S16" s="36">
        <v>41</v>
      </c>
    </row>
    <row r="17" spans="1:19" x14ac:dyDescent="0.25">
      <c r="M17" s="40" t="s">
        <v>39</v>
      </c>
      <c r="N17" s="36"/>
      <c r="O17" s="36"/>
      <c r="P17" s="36"/>
      <c r="Q17" s="36">
        <v>1</v>
      </c>
      <c r="R17" s="36"/>
      <c r="S17" s="36">
        <v>1</v>
      </c>
    </row>
    <row r="18" spans="1:19" x14ac:dyDescent="0.25">
      <c r="A18" s="50" t="s">
        <v>34</v>
      </c>
      <c r="B18" s="48"/>
      <c r="C18" s="48"/>
      <c r="D18" s="48"/>
      <c r="E18" s="48"/>
      <c r="F18" s="48"/>
      <c r="M18" s="30" t="s">
        <v>37</v>
      </c>
      <c r="N18" s="37"/>
      <c r="O18" s="37"/>
      <c r="P18" s="37"/>
      <c r="Q18" s="37">
        <v>2</v>
      </c>
      <c r="R18" s="37">
        <v>40</v>
      </c>
      <c r="S18" s="37">
        <v>42</v>
      </c>
    </row>
    <row r="19" spans="1:19" x14ac:dyDescent="0.25">
      <c r="A19" s="19" t="s">
        <v>36</v>
      </c>
      <c r="B19" s="21" t="s">
        <v>5</v>
      </c>
      <c r="M19" s="31" t="s">
        <v>38</v>
      </c>
      <c r="N19" s="20"/>
      <c r="O19" s="20"/>
      <c r="P19" s="20"/>
      <c r="Q19" s="20"/>
      <c r="R19" s="20"/>
      <c r="S19" s="20"/>
    </row>
    <row r="20" spans="1:19" x14ac:dyDescent="0.25">
      <c r="A20" s="19" t="s">
        <v>11</v>
      </c>
      <c r="B20" s="15" t="s">
        <v>7</v>
      </c>
      <c r="C20" s="15" t="s">
        <v>8</v>
      </c>
      <c r="D20" s="15" t="s">
        <v>9</v>
      </c>
      <c r="E20" s="15" t="s">
        <v>3</v>
      </c>
      <c r="F20" s="15" t="s">
        <v>10</v>
      </c>
      <c r="M20" s="40" t="s">
        <v>39</v>
      </c>
      <c r="N20" s="20"/>
      <c r="O20" s="20">
        <v>1</v>
      </c>
      <c r="P20" s="20"/>
      <c r="Q20" s="20"/>
      <c r="R20" s="20"/>
      <c r="S20" s="20">
        <v>1</v>
      </c>
    </row>
    <row r="21" spans="1:19" x14ac:dyDescent="0.25">
      <c r="A21" s="16" t="s">
        <v>16</v>
      </c>
      <c r="B21" s="53">
        <v>107</v>
      </c>
      <c r="C21" s="53">
        <v>14</v>
      </c>
      <c r="D21" s="53">
        <v>93</v>
      </c>
      <c r="E21" s="53"/>
      <c r="F21" s="53">
        <v>214</v>
      </c>
      <c r="M21" s="30" t="s">
        <v>40</v>
      </c>
      <c r="N21" s="37"/>
      <c r="O21" s="37">
        <v>1</v>
      </c>
      <c r="P21" s="37"/>
      <c r="Q21" s="37"/>
      <c r="R21" s="37"/>
      <c r="S21" s="37">
        <v>1</v>
      </c>
    </row>
    <row r="22" spans="1:19" x14ac:dyDescent="0.25">
      <c r="A22" s="16" t="s">
        <v>12</v>
      </c>
      <c r="B22" s="53">
        <v>16</v>
      </c>
      <c r="C22" s="53">
        <v>37</v>
      </c>
      <c r="D22" s="53">
        <v>92</v>
      </c>
      <c r="E22" s="53">
        <v>25</v>
      </c>
      <c r="F22" s="53">
        <v>170</v>
      </c>
      <c r="M22" s="16" t="s">
        <v>10</v>
      </c>
      <c r="N22" s="37">
        <v>162</v>
      </c>
      <c r="O22" s="37">
        <v>32</v>
      </c>
      <c r="P22" s="37">
        <v>88</v>
      </c>
      <c r="Q22" s="37">
        <v>4</v>
      </c>
      <c r="R22" s="37">
        <v>212</v>
      </c>
      <c r="S22" s="37">
        <v>498</v>
      </c>
    </row>
    <row r="23" spans="1:19" x14ac:dyDescent="0.25">
      <c r="A23" s="16" t="s">
        <v>14</v>
      </c>
      <c r="B23" s="53">
        <v>2</v>
      </c>
      <c r="C23" s="53">
        <v>3</v>
      </c>
      <c r="D23" s="53">
        <v>33</v>
      </c>
      <c r="E23" s="53">
        <v>50</v>
      </c>
      <c r="F23" s="53">
        <v>88</v>
      </c>
      <c r="M23"/>
      <c r="N23"/>
      <c r="O23"/>
      <c r="P23"/>
      <c r="Q23"/>
      <c r="R23"/>
      <c r="S23"/>
    </row>
    <row r="24" spans="1:19" x14ac:dyDescent="0.25">
      <c r="A24" s="16" t="s">
        <v>41</v>
      </c>
      <c r="B24" s="53">
        <v>43</v>
      </c>
      <c r="C24" s="53"/>
      <c r="D24" s="53"/>
      <c r="E24" s="53"/>
      <c r="F24" s="53">
        <v>43</v>
      </c>
    </row>
    <row r="25" spans="1:19" x14ac:dyDescent="0.25">
      <c r="A25" s="16" t="s">
        <v>13</v>
      </c>
      <c r="B25" s="53">
        <v>10</v>
      </c>
      <c r="C25" s="53">
        <v>7</v>
      </c>
      <c r="D25" s="53">
        <v>15</v>
      </c>
      <c r="E25" s="53"/>
      <c r="F25" s="53">
        <v>32</v>
      </c>
    </row>
    <row r="26" spans="1:19" x14ac:dyDescent="0.25">
      <c r="A26" s="16" t="s">
        <v>15</v>
      </c>
      <c r="B26" s="53">
        <v>4</v>
      </c>
      <c r="C26" s="53">
        <v>1</v>
      </c>
      <c r="D26" s="53">
        <v>5</v>
      </c>
      <c r="E26" s="53"/>
      <c r="F26" s="53">
        <v>10</v>
      </c>
    </row>
    <row r="27" spans="1:19" x14ac:dyDescent="0.25">
      <c r="A27" s="16" t="s">
        <v>42</v>
      </c>
      <c r="B27" s="53">
        <v>4</v>
      </c>
      <c r="C27" s="53"/>
      <c r="D27" s="53"/>
      <c r="E27" s="53"/>
      <c r="F27" s="53">
        <v>4</v>
      </c>
    </row>
    <row r="28" spans="1:19" x14ac:dyDescent="0.25">
      <c r="A28" s="16" t="s">
        <v>10</v>
      </c>
      <c r="B28" s="53">
        <v>186</v>
      </c>
      <c r="C28" s="53">
        <v>62</v>
      </c>
      <c r="D28" s="53">
        <v>238</v>
      </c>
      <c r="E28" s="53">
        <v>75</v>
      </c>
      <c r="F28" s="34">
        <v>561</v>
      </c>
    </row>
    <row r="30" spans="1:19" x14ac:dyDescent="0.25">
      <c r="A30" s="31" t="s">
        <v>43</v>
      </c>
      <c r="B30" s="42"/>
      <c r="C30" s="42"/>
      <c r="D30" s="42"/>
      <c r="E30" s="42"/>
      <c r="F30" s="42"/>
      <c r="G30" s="42"/>
      <c r="H30" s="42"/>
      <c r="I30" s="42"/>
    </row>
    <row r="31" spans="1:19" x14ac:dyDescent="0.25">
      <c r="A31" s="33" t="s">
        <v>44</v>
      </c>
      <c r="B31" s="25" t="s">
        <v>5</v>
      </c>
      <c r="C31" s="26"/>
      <c r="D31" s="26"/>
      <c r="E31" s="26"/>
      <c r="F31" s="26"/>
      <c r="G31" s="26"/>
      <c r="H31" s="26"/>
      <c r="I31" s="26"/>
    </row>
    <row r="32" spans="1:19" x14ac:dyDescent="0.25">
      <c r="A32" s="33" t="s">
        <v>11</v>
      </c>
      <c r="B32" s="27" t="s">
        <v>12</v>
      </c>
      <c r="C32" s="27" t="s">
        <v>13</v>
      </c>
      <c r="D32" s="27" t="s">
        <v>41</v>
      </c>
      <c r="E32" s="27" t="s">
        <v>14</v>
      </c>
      <c r="F32" s="27" t="s">
        <v>15</v>
      </c>
      <c r="G32" s="27" t="s">
        <v>16</v>
      </c>
      <c r="H32" s="27" t="s">
        <v>42</v>
      </c>
      <c r="I32" s="27" t="s">
        <v>10</v>
      </c>
    </row>
    <row r="33" spans="1:21" x14ac:dyDescent="0.25">
      <c r="A33" s="16" t="s">
        <v>20</v>
      </c>
      <c r="B33" s="20">
        <v>159</v>
      </c>
      <c r="C33" s="20">
        <v>22</v>
      </c>
      <c r="D33" s="20">
        <v>2</v>
      </c>
      <c r="E33" s="20">
        <v>86</v>
      </c>
      <c r="F33" s="20">
        <v>5</v>
      </c>
      <c r="G33" s="20">
        <v>165</v>
      </c>
      <c r="H33" s="20"/>
      <c r="I33" s="20">
        <v>439</v>
      </c>
    </row>
    <row r="34" spans="1:21" x14ac:dyDescent="0.25">
      <c r="A34" s="16" t="s">
        <v>26</v>
      </c>
      <c r="B34" s="20">
        <v>11</v>
      </c>
      <c r="C34" s="20">
        <v>9</v>
      </c>
      <c r="D34" s="20">
        <v>16</v>
      </c>
      <c r="E34" s="20">
        <v>2</v>
      </c>
      <c r="F34" s="20">
        <v>3</v>
      </c>
      <c r="G34" s="20">
        <v>49</v>
      </c>
      <c r="H34" s="20">
        <v>2</v>
      </c>
      <c r="I34" s="20">
        <v>92</v>
      </c>
    </row>
    <row r="35" spans="1:21" x14ac:dyDescent="0.25">
      <c r="A35" s="16" t="s">
        <v>35</v>
      </c>
      <c r="B35" s="20"/>
      <c r="C35" s="20"/>
      <c r="D35" s="20">
        <v>25</v>
      </c>
      <c r="E35" s="20"/>
      <c r="F35" s="20"/>
      <c r="G35" s="20"/>
      <c r="H35" s="20">
        <v>2</v>
      </c>
      <c r="I35" s="20">
        <v>27</v>
      </c>
    </row>
    <row r="36" spans="1:21" x14ac:dyDescent="0.25">
      <c r="A36" s="16" t="s">
        <v>39</v>
      </c>
      <c r="B36" s="20"/>
      <c r="C36" s="20">
        <v>1</v>
      </c>
      <c r="D36" s="20"/>
      <c r="E36" s="20"/>
      <c r="F36" s="20">
        <v>1</v>
      </c>
      <c r="G36" s="20"/>
      <c r="H36" s="20"/>
      <c r="I36" s="20">
        <v>2</v>
      </c>
    </row>
    <row r="37" spans="1:21" x14ac:dyDescent="0.25">
      <c r="A37" s="16" t="s">
        <v>45</v>
      </c>
      <c r="B37" s="20"/>
      <c r="C37" s="20"/>
      <c r="D37" s="20"/>
      <c r="E37" s="20"/>
      <c r="F37" s="20">
        <v>1</v>
      </c>
      <c r="G37" s="20"/>
      <c r="H37" s="20"/>
      <c r="I37" s="20">
        <v>1</v>
      </c>
    </row>
    <row r="38" spans="1:21" x14ac:dyDescent="0.25">
      <c r="A38" s="16" t="s">
        <v>10</v>
      </c>
      <c r="B38" s="20">
        <v>170</v>
      </c>
      <c r="C38" s="20">
        <v>32</v>
      </c>
      <c r="D38" s="20">
        <v>43</v>
      </c>
      <c r="E38" s="20">
        <v>88</v>
      </c>
      <c r="F38" s="20">
        <v>10</v>
      </c>
      <c r="G38" s="20">
        <v>214</v>
      </c>
      <c r="H38" s="20">
        <v>4</v>
      </c>
      <c r="I38" s="20">
        <v>561</v>
      </c>
    </row>
    <row r="40" spans="1:21" ht="15" customHeight="1" x14ac:dyDescent="0.25">
      <c r="A40" s="31" t="s">
        <v>46</v>
      </c>
      <c r="B40" s="42"/>
      <c r="C40" s="42"/>
      <c r="D40" s="42"/>
      <c r="E40" s="42"/>
      <c r="F40" s="42"/>
      <c r="G40" s="42"/>
      <c r="H40" s="42"/>
      <c r="I40" s="42"/>
    </row>
    <row r="41" spans="1:21" x14ac:dyDescent="0.25">
      <c r="A41" s="19" t="s">
        <v>47</v>
      </c>
      <c r="B41" s="21" t="s">
        <v>5</v>
      </c>
      <c r="M41" s="51" t="s">
        <v>48</v>
      </c>
      <c r="N41" s="48"/>
      <c r="O41" s="48"/>
      <c r="P41" s="48"/>
      <c r="Q41" s="48"/>
      <c r="R41" s="48"/>
      <c r="S41" s="51"/>
      <c r="T41" s="48"/>
      <c r="U41" s="48"/>
    </row>
    <row r="42" spans="1:21" x14ac:dyDescent="0.25">
      <c r="A42" s="19" t="s">
        <v>11</v>
      </c>
      <c r="B42" s="15" t="s">
        <v>12</v>
      </c>
      <c r="C42" s="15" t="s">
        <v>13</v>
      </c>
      <c r="D42" s="15" t="s">
        <v>41</v>
      </c>
      <c r="E42" s="15" t="s">
        <v>14</v>
      </c>
      <c r="F42" s="15" t="s">
        <v>15</v>
      </c>
      <c r="G42" s="15" t="s">
        <v>16</v>
      </c>
      <c r="H42" s="15" t="s">
        <v>42</v>
      </c>
      <c r="I42" s="15" t="s">
        <v>10</v>
      </c>
      <c r="M42" s="19" t="s">
        <v>49</v>
      </c>
      <c r="N42" s="21" t="s">
        <v>5</v>
      </c>
    </row>
    <row r="43" spans="1:21" x14ac:dyDescent="0.25">
      <c r="A43" s="16" t="s">
        <v>50</v>
      </c>
      <c r="B43" s="20">
        <v>146</v>
      </c>
      <c r="C43" s="20">
        <v>13</v>
      </c>
      <c r="D43" s="20"/>
      <c r="E43" s="20">
        <v>86</v>
      </c>
      <c r="F43" s="20"/>
      <c r="G43" s="20">
        <v>92</v>
      </c>
      <c r="H43" s="20"/>
      <c r="I43" s="53">
        <v>337</v>
      </c>
      <c r="M43" s="19" t="s">
        <v>11</v>
      </c>
      <c r="N43" s="15" t="s">
        <v>13</v>
      </c>
      <c r="O43" s="15" t="s">
        <v>41</v>
      </c>
      <c r="P43" s="15" t="s">
        <v>14</v>
      </c>
      <c r="Q43" s="15" t="s">
        <v>42</v>
      </c>
      <c r="R43" s="15" t="s">
        <v>12</v>
      </c>
      <c r="S43" s="15" t="s">
        <v>15</v>
      </c>
      <c r="T43" s="15" t="s">
        <v>16</v>
      </c>
      <c r="U43" s="15" t="s">
        <v>10</v>
      </c>
    </row>
    <row r="44" spans="1:21" x14ac:dyDescent="0.25">
      <c r="A44" s="16" t="s">
        <v>51</v>
      </c>
      <c r="B44" s="20">
        <v>8</v>
      </c>
      <c r="C44" s="20">
        <v>6</v>
      </c>
      <c r="D44" s="20">
        <v>1</v>
      </c>
      <c r="E44" s="20">
        <v>2</v>
      </c>
      <c r="F44" s="20">
        <v>2</v>
      </c>
      <c r="G44" s="20">
        <v>49</v>
      </c>
      <c r="H44" s="20"/>
      <c r="I44" s="53">
        <v>68</v>
      </c>
      <c r="M44" s="16" t="s">
        <v>54</v>
      </c>
      <c r="N44" s="53"/>
      <c r="O44" s="53"/>
      <c r="P44" s="53"/>
      <c r="Q44" s="53"/>
      <c r="R44" s="53"/>
      <c r="S44" s="53"/>
      <c r="T44" s="53">
        <v>59</v>
      </c>
      <c r="U44" s="53">
        <v>59</v>
      </c>
    </row>
    <row r="45" spans="1:21" x14ac:dyDescent="0.25">
      <c r="A45" s="16" t="s">
        <v>58</v>
      </c>
      <c r="B45" s="20">
        <v>5</v>
      </c>
      <c r="C45" s="20">
        <v>1</v>
      </c>
      <c r="D45" s="20"/>
      <c r="E45" s="20"/>
      <c r="F45" s="20"/>
      <c r="G45" s="20">
        <v>27</v>
      </c>
      <c r="H45" s="20"/>
      <c r="I45" s="53">
        <v>33</v>
      </c>
      <c r="M45" s="16" t="s">
        <v>52</v>
      </c>
      <c r="N45" s="53"/>
      <c r="O45" s="53"/>
      <c r="P45" s="53">
        <v>57</v>
      </c>
      <c r="Q45" s="53"/>
      <c r="R45" s="53"/>
      <c r="S45" s="53"/>
      <c r="T45" s="53"/>
      <c r="U45" s="53">
        <v>57</v>
      </c>
    </row>
    <row r="46" spans="1:21" x14ac:dyDescent="0.25">
      <c r="A46" s="16" t="s">
        <v>53</v>
      </c>
      <c r="B46" s="20"/>
      <c r="C46" s="20"/>
      <c r="D46" s="20">
        <v>25</v>
      </c>
      <c r="E46" s="20"/>
      <c r="F46" s="20"/>
      <c r="G46" s="20"/>
      <c r="H46" s="20">
        <v>2</v>
      </c>
      <c r="I46" s="53">
        <v>27</v>
      </c>
      <c r="M46" s="16" t="s">
        <v>59</v>
      </c>
      <c r="N46" s="53"/>
      <c r="O46" s="53"/>
      <c r="P46" s="53"/>
      <c r="Q46" s="53"/>
      <c r="R46" s="53"/>
      <c r="S46" s="53">
        <v>1</v>
      </c>
      <c r="T46" s="53">
        <v>47</v>
      </c>
      <c r="U46" s="53">
        <v>48</v>
      </c>
    </row>
    <row r="47" spans="1:21" x14ac:dyDescent="0.25">
      <c r="A47" s="16" t="s">
        <v>60</v>
      </c>
      <c r="B47" s="20">
        <v>3</v>
      </c>
      <c r="C47" s="20">
        <v>3</v>
      </c>
      <c r="D47" s="20">
        <v>15</v>
      </c>
      <c r="E47" s="20"/>
      <c r="F47" s="20">
        <v>1</v>
      </c>
      <c r="G47" s="20"/>
      <c r="H47" s="20">
        <v>2</v>
      </c>
      <c r="I47" s="53">
        <v>24</v>
      </c>
      <c r="M47" s="16" t="s">
        <v>41</v>
      </c>
      <c r="N47" s="53"/>
      <c r="O47" s="53">
        <v>43</v>
      </c>
      <c r="P47" s="53"/>
      <c r="Q47" s="53"/>
      <c r="R47" s="53"/>
      <c r="S47" s="53"/>
      <c r="T47" s="53"/>
      <c r="U47" s="53">
        <v>43</v>
      </c>
    </row>
    <row r="48" spans="1:21" x14ac:dyDescent="0.25">
      <c r="A48" s="16" t="s">
        <v>56</v>
      </c>
      <c r="B48" s="20">
        <v>7</v>
      </c>
      <c r="C48" s="20">
        <v>5</v>
      </c>
      <c r="D48" s="20"/>
      <c r="E48" s="20"/>
      <c r="F48" s="20">
        <v>4</v>
      </c>
      <c r="G48" s="20"/>
      <c r="H48" s="20"/>
      <c r="I48" s="53">
        <v>16</v>
      </c>
      <c r="M48" s="16" t="s">
        <v>57</v>
      </c>
      <c r="N48" s="53"/>
      <c r="O48" s="53"/>
      <c r="P48" s="53"/>
      <c r="Q48" s="53"/>
      <c r="R48" s="53">
        <v>31</v>
      </c>
      <c r="S48" s="53">
        <v>2</v>
      </c>
      <c r="T48" s="53"/>
      <c r="U48" s="53">
        <v>33</v>
      </c>
    </row>
    <row r="49" spans="1:21" x14ac:dyDescent="0.25">
      <c r="A49" s="16" t="s">
        <v>68</v>
      </c>
      <c r="B49" s="20"/>
      <c r="C49" s="20"/>
      <c r="D49" s="20"/>
      <c r="E49" s="20"/>
      <c r="F49" s="20"/>
      <c r="G49" s="20">
        <v>14</v>
      </c>
      <c r="H49" s="20"/>
      <c r="I49" s="53">
        <v>14</v>
      </c>
      <c r="M49" s="16" t="s">
        <v>65</v>
      </c>
      <c r="N49" s="53"/>
      <c r="O49" s="53"/>
      <c r="P49" s="53"/>
      <c r="Q49" s="53"/>
      <c r="R49" s="53"/>
      <c r="S49" s="53"/>
      <c r="T49" s="53">
        <v>32</v>
      </c>
      <c r="U49" s="53">
        <v>32</v>
      </c>
    </row>
    <row r="50" spans="1:21" x14ac:dyDescent="0.25">
      <c r="A50" s="16" t="s">
        <v>62</v>
      </c>
      <c r="B50" s="20"/>
      <c r="C50" s="20">
        <v>3</v>
      </c>
      <c r="D50" s="20"/>
      <c r="E50" s="20"/>
      <c r="F50" s="20">
        <v>1</v>
      </c>
      <c r="G50" s="20">
        <v>7</v>
      </c>
      <c r="H50" s="20"/>
      <c r="I50" s="53">
        <v>11</v>
      </c>
      <c r="M50" s="16" t="s">
        <v>73</v>
      </c>
      <c r="N50" s="53"/>
      <c r="O50" s="53"/>
      <c r="P50" s="53">
        <v>29</v>
      </c>
      <c r="Q50" s="53"/>
      <c r="R50" s="53"/>
      <c r="S50" s="53"/>
      <c r="T50" s="53"/>
      <c r="U50" s="53">
        <v>29</v>
      </c>
    </row>
    <row r="51" spans="1:21" x14ac:dyDescent="0.25">
      <c r="A51" s="16" t="s">
        <v>55</v>
      </c>
      <c r="B51" s="20"/>
      <c r="C51" s="20"/>
      <c r="D51" s="20">
        <v>1</v>
      </c>
      <c r="E51" s="20"/>
      <c r="F51" s="20"/>
      <c r="G51" s="20">
        <v>9</v>
      </c>
      <c r="H51" s="20"/>
      <c r="I51" s="53">
        <v>10</v>
      </c>
      <c r="M51" s="16" t="s">
        <v>63</v>
      </c>
      <c r="N51" s="53"/>
      <c r="O51" s="53"/>
      <c r="P51" s="53"/>
      <c r="Q51" s="53"/>
      <c r="R51" s="53">
        <v>25</v>
      </c>
      <c r="S51" s="53"/>
      <c r="T51" s="53"/>
      <c r="U51" s="53">
        <v>25</v>
      </c>
    </row>
    <row r="52" spans="1:21" x14ac:dyDescent="0.25">
      <c r="A52" s="16" t="s">
        <v>64</v>
      </c>
      <c r="B52" s="20"/>
      <c r="C52" s="20"/>
      <c r="D52" s="20"/>
      <c r="E52" s="20"/>
      <c r="F52" s="20"/>
      <c r="G52" s="20">
        <v>8</v>
      </c>
      <c r="H52" s="20"/>
      <c r="I52" s="53">
        <v>8</v>
      </c>
      <c r="M52" s="16" t="s">
        <v>71</v>
      </c>
      <c r="N52" s="53"/>
      <c r="O52" s="53"/>
      <c r="P52" s="53"/>
      <c r="Q52" s="53"/>
      <c r="R52" s="53"/>
      <c r="S52" s="53"/>
      <c r="T52" s="53">
        <v>22</v>
      </c>
      <c r="U52" s="53">
        <v>22</v>
      </c>
    </row>
    <row r="53" spans="1:21" x14ac:dyDescent="0.25">
      <c r="A53" s="16" t="s">
        <v>66</v>
      </c>
      <c r="B53" s="20"/>
      <c r="C53" s="20"/>
      <c r="D53" s="20">
        <v>1</v>
      </c>
      <c r="E53" s="20"/>
      <c r="F53" s="20"/>
      <c r="G53" s="20">
        <v>2</v>
      </c>
      <c r="H53" s="20"/>
      <c r="I53" s="53">
        <v>3</v>
      </c>
      <c r="M53" s="16" t="s">
        <v>61</v>
      </c>
      <c r="N53" s="53"/>
      <c r="O53" s="53"/>
      <c r="P53" s="53"/>
      <c r="Q53" s="53"/>
      <c r="R53" s="53">
        <v>21</v>
      </c>
      <c r="S53" s="53"/>
      <c r="T53" s="53"/>
      <c r="U53" s="53">
        <v>21</v>
      </c>
    </row>
    <row r="54" spans="1:21" x14ac:dyDescent="0.25">
      <c r="A54" s="16" t="s">
        <v>80</v>
      </c>
      <c r="B54" s="20"/>
      <c r="C54" s="20">
        <v>1</v>
      </c>
      <c r="D54" s="20"/>
      <c r="E54" s="20"/>
      <c r="F54" s="20">
        <v>1</v>
      </c>
      <c r="G54" s="20"/>
      <c r="H54" s="20"/>
      <c r="I54" s="53">
        <v>2</v>
      </c>
      <c r="M54" s="16" t="s">
        <v>67</v>
      </c>
      <c r="N54" s="53"/>
      <c r="O54" s="53"/>
      <c r="P54" s="53"/>
      <c r="Q54" s="53"/>
      <c r="R54" s="53">
        <v>14</v>
      </c>
      <c r="S54" s="53"/>
      <c r="T54" s="53"/>
      <c r="U54" s="53">
        <v>14</v>
      </c>
    </row>
    <row r="55" spans="1:21" x14ac:dyDescent="0.25">
      <c r="A55" s="16" t="s">
        <v>78</v>
      </c>
      <c r="B55" s="20"/>
      <c r="C55" s="20"/>
      <c r="D55" s="20"/>
      <c r="E55" s="20"/>
      <c r="F55" s="20"/>
      <c r="G55" s="20">
        <v>2</v>
      </c>
      <c r="H55" s="20"/>
      <c r="I55" s="53">
        <v>2</v>
      </c>
      <c r="M55" s="16" t="s">
        <v>69</v>
      </c>
      <c r="N55" s="53"/>
      <c r="O55" s="53"/>
      <c r="P55" s="53"/>
      <c r="Q55" s="53"/>
      <c r="R55" s="53"/>
      <c r="S55" s="53"/>
      <c r="T55" s="53">
        <v>14</v>
      </c>
      <c r="U55" s="20">
        <v>14</v>
      </c>
    </row>
    <row r="56" spans="1:21" x14ac:dyDescent="0.25">
      <c r="A56" s="16" t="s">
        <v>76</v>
      </c>
      <c r="B56" s="20">
        <v>1</v>
      </c>
      <c r="C56" s="20"/>
      <c r="D56" s="20"/>
      <c r="E56" s="20"/>
      <c r="F56" s="20"/>
      <c r="G56" s="20">
        <v>1</v>
      </c>
      <c r="H56" s="20"/>
      <c r="I56" s="53">
        <v>2</v>
      </c>
      <c r="M56" s="16" t="s">
        <v>75</v>
      </c>
      <c r="N56" s="53"/>
      <c r="O56" s="53"/>
      <c r="P56" s="53"/>
      <c r="Q56" s="53"/>
      <c r="R56" s="53">
        <v>11</v>
      </c>
      <c r="S56" s="53">
        <v>1</v>
      </c>
      <c r="T56" s="53"/>
      <c r="U56" s="53">
        <v>12</v>
      </c>
    </row>
    <row r="57" spans="1:21" x14ac:dyDescent="0.25">
      <c r="A57" s="16" t="s">
        <v>72</v>
      </c>
      <c r="B57" s="20"/>
      <c r="C57" s="20"/>
      <c r="D57" s="20"/>
      <c r="E57" s="20"/>
      <c r="F57" s="20"/>
      <c r="G57" s="20">
        <v>2</v>
      </c>
      <c r="H57" s="20"/>
      <c r="I57" s="53">
        <v>2</v>
      </c>
      <c r="M57" s="16" t="s">
        <v>77</v>
      </c>
      <c r="N57" s="53"/>
      <c r="O57" s="53"/>
      <c r="P57" s="53"/>
      <c r="Q57" s="53"/>
      <c r="R57" s="53">
        <v>12</v>
      </c>
      <c r="S57" s="53"/>
      <c r="T57" s="53"/>
      <c r="U57" s="53">
        <v>12</v>
      </c>
    </row>
    <row r="58" spans="1:21" x14ac:dyDescent="0.25">
      <c r="A58" s="16" t="s">
        <v>70</v>
      </c>
      <c r="B58" s="20"/>
      <c r="C58" s="20"/>
      <c r="D58" s="20"/>
      <c r="E58" s="20"/>
      <c r="F58" s="20"/>
      <c r="G58" s="20">
        <v>1</v>
      </c>
      <c r="H58" s="20"/>
      <c r="I58" s="53">
        <v>1</v>
      </c>
      <c r="M58" s="16" t="s">
        <v>81</v>
      </c>
      <c r="N58" s="53"/>
      <c r="O58" s="53"/>
      <c r="P58" s="53"/>
      <c r="Q58" s="53"/>
      <c r="R58" s="53">
        <v>9</v>
      </c>
      <c r="S58" s="53"/>
      <c r="T58" s="53"/>
      <c r="U58" s="53">
        <v>9</v>
      </c>
    </row>
    <row r="59" spans="1:21" x14ac:dyDescent="0.25">
      <c r="A59" s="16" t="s">
        <v>74</v>
      </c>
      <c r="B59" s="20"/>
      <c r="C59" s="20"/>
      <c r="D59" s="20"/>
      <c r="E59" s="20"/>
      <c r="F59" s="20">
        <v>1</v>
      </c>
      <c r="G59" s="20"/>
      <c r="H59" s="20"/>
      <c r="I59" s="53">
        <v>1</v>
      </c>
      <c r="M59" s="16" t="s">
        <v>83</v>
      </c>
      <c r="N59" s="53"/>
      <c r="O59" s="53"/>
      <c r="P59" s="53"/>
      <c r="Q59" s="53"/>
      <c r="R59" s="53">
        <v>7</v>
      </c>
      <c r="S59" s="53"/>
      <c r="T59" s="53">
        <v>2</v>
      </c>
      <c r="U59" s="53">
        <v>9</v>
      </c>
    </row>
    <row r="60" spans="1:21" x14ac:dyDescent="0.25">
      <c r="A60" s="16" t="s">
        <v>10</v>
      </c>
      <c r="B60" s="20">
        <v>170</v>
      </c>
      <c r="C60" s="20">
        <v>32</v>
      </c>
      <c r="D60" s="20">
        <v>43</v>
      </c>
      <c r="E60" s="20">
        <v>88</v>
      </c>
      <c r="F60" s="20">
        <v>10</v>
      </c>
      <c r="G60" s="20">
        <v>214</v>
      </c>
      <c r="H60" s="20">
        <v>4</v>
      </c>
      <c r="I60" s="20">
        <v>561</v>
      </c>
      <c r="M60" s="16" t="s">
        <v>86</v>
      </c>
      <c r="N60" s="53"/>
      <c r="O60" s="53"/>
      <c r="P60" s="53"/>
      <c r="Q60" s="53"/>
      <c r="R60" s="53">
        <v>8</v>
      </c>
      <c r="S60" s="53"/>
      <c r="T60" s="53"/>
      <c r="U60" s="53">
        <v>8</v>
      </c>
    </row>
    <row r="61" spans="1:21" x14ac:dyDescent="0.25">
      <c r="M61" s="16" t="s">
        <v>108</v>
      </c>
      <c r="N61" s="53"/>
      <c r="O61" s="53"/>
      <c r="P61" s="53"/>
      <c r="Q61" s="53"/>
      <c r="R61" s="53"/>
      <c r="S61" s="53"/>
      <c r="T61" s="53">
        <v>8</v>
      </c>
      <c r="U61" s="53">
        <v>8</v>
      </c>
    </row>
    <row r="62" spans="1:21" x14ac:dyDescent="0.25">
      <c r="M62" s="16" t="s">
        <v>87</v>
      </c>
      <c r="N62" s="53"/>
      <c r="O62" s="53"/>
      <c r="P62" s="53"/>
      <c r="Q62" s="53"/>
      <c r="R62" s="53">
        <v>8</v>
      </c>
      <c r="S62" s="53"/>
      <c r="T62" s="53"/>
      <c r="U62" s="53">
        <v>8</v>
      </c>
    </row>
    <row r="63" spans="1:21" x14ac:dyDescent="0.25">
      <c r="J63" s="20"/>
      <c r="K63" s="20"/>
      <c r="L63" s="20"/>
      <c r="M63" s="16" t="s">
        <v>84</v>
      </c>
      <c r="N63" s="53"/>
      <c r="O63" s="53"/>
      <c r="P63" s="53"/>
      <c r="Q63" s="53"/>
      <c r="R63" s="53"/>
      <c r="S63" s="53"/>
      <c r="T63" s="53">
        <v>6</v>
      </c>
      <c r="U63" s="53">
        <v>6</v>
      </c>
    </row>
    <row r="64" spans="1:21" x14ac:dyDescent="0.25">
      <c r="M64" s="16" t="s">
        <v>89</v>
      </c>
      <c r="N64" s="53">
        <v>6</v>
      </c>
      <c r="O64" s="53"/>
      <c r="P64" s="53"/>
      <c r="Q64" s="53"/>
      <c r="R64" s="53"/>
      <c r="S64" s="53"/>
      <c r="T64" s="53"/>
      <c r="U64" s="20">
        <v>6</v>
      </c>
    </row>
    <row r="65" spans="1:21" x14ac:dyDescent="0.25">
      <c r="M65" s="16" t="s">
        <v>100</v>
      </c>
      <c r="N65" s="53"/>
      <c r="O65" s="53"/>
      <c r="P65" s="53"/>
      <c r="Q65" s="53"/>
      <c r="R65" s="53">
        <v>5</v>
      </c>
      <c r="S65" s="53"/>
      <c r="T65" s="53"/>
      <c r="U65" s="53">
        <v>5</v>
      </c>
    </row>
    <row r="66" spans="1:21" x14ac:dyDescent="0.25">
      <c r="K66" s="27"/>
      <c r="L66" s="27"/>
      <c r="M66" s="16" t="s">
        <v>82</v>
      </c>
      <c r="N66" s="53"/>
      <c r="O66" s="53"/>
      <c r="P66" s="53"/>
      <c r="Q66" s="53"/>
      <c r="R66" s="53">
        <v>5</v>
      </c>
      <c r="S66" s="53"/>
      <c r="T66" s="53"/>
      <c r="U66" s="53">
        <v>5</v>
      </c>
    </row>
    <row r="67" spans="1:21" x14ac:dyDescent="0.25">
      <c r="A67" s="50" t="s">
        <v>88</v>
      </c>
      <c r="B67" s="48"/>
      <c r="C67" s="48"/>
      <c r="D67" s="48"/>
      <c r="E67" s="48"/>
      <c r="F67" s="48"/>
      <c r="G67" s="48"/>
      <c r="H67" s="48"/>
      <c r="I67" s="48"/>
      <c r="K67" s="20"/>
      <c r="L67" s="20"/>
      <c r="M67" s="16" t="s">
        <v>99</v>
      </c>
      <c r="N67" s="53">
        <v>3</v>
      </c>
      <c r="O67" s="53"/>
      <c r="P67" s="53"/>
      <c r="Q67" s="53"/>
      <c r="R67" s="53"/>
      <c r="S67" s="53">
        <v>1</v>
      </c>
      <c r="T67" s="53"/>
      <c r="U67" s="20">
        <v>4</v>
      </c>
    </row>
    <row r="68" spans="1:21" x14ac:dyDescent="0.25">
      <c r="A68" s="19" t="s">
        <v>4</v>
      </c>
      <c r="B68" s="21" t="s">
        <v>5</v>
      </c>
      <c r="M68" s="16" t="s">
        <v>90</v>
      </c>
      <c r="N68" s="53">
        <v>4</v>
      </c>
      <c r="O68" s="53"/>
      <c r="P68" s="53"/>
      <c r="Q68" s="53"/>
      <c r="R68" s="53"/>
      <c r="S68" s="53"/>
      <c r="T68" s="53"/>
      <c r="U68" s="53">
        <v>4</v>
      </c>
    </row>
    <row r="69" spans="1:21" x14ac:dyDescent="0.25">
      <c r="A69" s="19" t="s">
        <v>11</v>
      </c>
      <c r="B69" s="15" t="s">
        <v>38</v>
      </c>
      <c r="C69" s="15" t="s">
        <v>24</v>
      </c>
      <c r="D69" s="15" t="s">
        <v>91</v>
      </c>
      <c r="E69" s="15" t="s">
        <v>33</v>
      </c>
      <c r="F69" s="15" t="s">
        <v>92</v>
      </c>
      <c r="G69" s="15" t="s">
        <v>93</v>
      </c>
      <c r="H69" s="15" t="s">
        <v>30</v>
      </c>
      <c r="I69" s="15" t="s">
        <v>18</v>
      </c>
      <c r="J69" s="15" t="s">
        <v>94</v>
      </c>
      <c r="K69" s="38" t="s">
        <v>10</v>
      </c>
      <c r="L69" s="27"/>
      <c r="M69" s="16" t="s">
        <v>551</v>
      </c>
      <c r="N69" s="53"/>
      <c r="O69" s="53"/>
      <c r="P69" s="53"/>
      <c r="Q69" s="53"/>
      <c r="R69" s="53"/>
      <c r="S69" s="53"/>
      <c r="T69" s="53">
        <v>4</v>
      </c>
      <c r="U69" s="53">
        <v>4</v>
      </c>
    </row>
    <row r="70" spans="1:21" x14ac:dyDescent="0.25">
      <c r="A70" s="16" t="s">
        <v>17</v>
      </c>
      <c r="B70" s="36"/>
      <c r="C70" s="36">
        <v>46</v>
      </c>
      <c r="D70" s="36">
        <v>1</v>
      </c>
      <c r="E70" s="36">
        <v>40</v>
      </c>
      <c r="F70" s="36">
        <v>35</v>
      </c>
      <c r="G70" s="36">
        <v>4</v>
      </c>
      <c r="H70" s="36">
        <v>36</v>
      </c>
      <c r="I70" s="36">
        <v>156</v>
      </c>
      <c r="J70" s="36">
        <v>10</v>
      </c>
      <c r="K70" s="36">
        <v>328</v>
      </c>
      <c r="L70" s="20"/>
      <c r="M70" s="16" t="s">
        <v>42</v>
      </c>
      <c r="N70" s="53"/>
      <c r="O70" s="53"/>
      <c r="P70" s="53"/>
      <c r="Q70" s="53">
        <v>4</v>
      </c>
      <c r="R70" s="53"/>
      <c r="S70" s="53"/>
      <c r="T70" s="53"/>
      <c r="U70" s="53">
        <v>4</v>
      </c>
    </row>
    <row r="71" spans="1:21" x14ac:dyDescent="0.25">
      <c r="A71" s="16" t="s">
        <v>19</v>
      </c>
      <c r="B71" s="36"/>
      <c r="C71" s="36">
        <v>9</v>
      </c>
      <c r="D71" s="36"/>
      <c r="E71" s="36"/>
      <c r="F71" s="36"/>
      <c r="G71" s="36"/>
      <c r="H71" s="36">
        <v>6</v>
      </c>
      <c r="I71" s="36">
        <v>18</v>
      </c>
      <c r="J71" s="36"/>
      <c r="K71" s="36">
        <v>33</v>
      </c>
      <c r="L71" s="20"/>
      <c r="M71" s="16" t="s">
        <v>104</v>
      </c>
      <c r="N71" s="53">
        <v>4</v>
      </c>
      <c r="O71" s="53"/>
      <c r="P71" s="53"/>
      <c r="Q71" s="53"/>
      <c r="R71" s="53"/>
      <c r="S71" s="53"/>
      <c r="T71" s="53"/>
      <c r="U71" s="53">
        <v>4</v>
      </c>
    </row>
    <row r="72" spans="1:21" x14ac:dyDescent="0.25">
      <c r="A72" s="16" t="s">
        <v>21</v>
      </c>
      <c r="B72" s="36"/>
      <c r="C72" s="36">
        <v>18</v>
      </c>
      <c r="D72" s="36"/>
      <c r="E72" s="36">
        <v>2</v>
      </c>
      <c r="F72" s="36">
        <v>7</v>
      </c>
      <c r="G72" s="36"/>
      <c r="H72" s="36">
        <v>14</v>
      </c>
      <c r="I72" s="36">
        <v>69</v>
      </c>
      <c r="J72" s="36">
        <v>2</v>
      </c>
      <c r="K72" s="36">
        <v>112</v>
      </c>
      <c r="L72" s="20"/>
      <c r="M72" s="16" t="s">
        <v>98</v>
      </c>
      <c r="N72" s="53"/>
      <c r="O72" s="53"/>
      <c r="P72" s="53"/>
      <c r="Q72" s="53"/>
      <c r="R72" s="53"/>
      <c r="S72" s="53"/>
      <c r="T72" s="53">
        <v>4</v>
      </c>
      <c r="U72" s="53">
        <v>4</v>
      </c>
    </row>
    <row r="73" spans="1:21" x14ac:dyDescent="0.25">
      <c r="A73" s="16" t="s">
        <v>23</v>
      </c>
      <c r="B73" s="36">
        <v>1</v>
      </c>
      <c r="C73" s="36"/>
      <c r="D73" s="36"/>
      <c r="E73" s="36"/>
      <c r="F73" s="36">
        <v>1</v>
      </c>
      <c r="G73" s="36"/>
      <c r="H73" s="36"/>
      <c r="I73" s="36">
        <v>46</v>
      </c>
      <c r="J73" s="36">
        <v>3</v>
      </c>
      <c r="K73" s="36">
        <v>51</v>
      </c>
      <c r="L73" s="20"/>
      <c r="M73" s="16" t="s">
        <v>96</v>
      </c>
      <c r="N73" s="53"/>
      <c r="O73" s="53"/>
      <c r="P73" s="53"/>
      <c r="Q73" s="53"/>
      <c r="R73" s="53"/>
      <c r="S73" s="53"/>
      <c r="T73" s="53">
        <v>4</v>
      </c>
      <c r="U73" s="53">
        <v>4</v>
      </c>
    </row>
    <row r="74" spans="1:21" x14ac:dyDescent="0.25">
      <c r="A74" s="32" t="s">
        <v>25</v>
      </c>
      <c r="B74" s="39"/>
      <c r="C74" s="39"/>
      <c r="D74" s="39"/>
      <c r="E74" s="39"/>
      <c r="F74" s="39"/>
      <c r="G74" s="39"/>
      <c r="H74" s="39">
        <v>1</v>
      </c>
      <c r="I74" s="39">
        <v>18</v>
      </c>
      <c r="J74" s="39"/>
      <c r="K74" s="39">
        <v>19</v>
      </c>
      <c r="L74" s="35"/>
      <c r="M74" s="16" t="s">
        <v>109</v>
      </c>
      <c r="N74" s="53">
        <v>3</v>
      </c>
      <c r="O74" s="53"/>
      <c r="P74" s="53"/>
      <c r="Q74" s="53"/>
      <c r="R74" s="53"/>
      <c r="S74" s="53"/>
      <c r="T74" s="53"/>
      <c r="U74" s="53">
        <v>3</v>
      </c>
    </row>
    <row r="75" spans="1:21" x14ac:dyDescent="0.25">
      <c r="A75" s="32" t="s">
        <v>27</v>
      </c>
      <c r="B75" s="39"/>
      <c r="C75" s="39"/>
      <c r="D75" s="39"/>
      <c r="E75" s="39"/>
      <c r="F75" s="39"/>
      <c r="G75" s="39"/>
      <c r="H75" s="39">
        <v>3</v>
      </c>
      <c r="I75" s="39">
        <v>11</v>
      </c>
      <c r="J75" s="39"/>
      <c r="K75" s="39">
        <v>14</v>
      </c>
      <c r="L75" s="35"/>
      <c r="M75" s="16" t="s">
        <v>97</v>
      </c>
      <c r="N75" s="53">
        <v>3</v>
      </c>
      <c r="O75" s="53"/>
      <c r="P75" s="53"/>
      <c r="Q75" s="53"/>
      <c r="R75" s="53"/>
      <c r="S75" s="53"/>
      <c r="T75" s="53"/>
      <c r="U75" s="53">
        <v>3</v>
      </c>
    </row>
    <row r="76" spans="1:21" x14ac:dyDescent="0.25">
      <c r="A76" s="32" t="s">
        <v>29</v>
      </c>
      <c r="B76" s="39"/>
      <c r="C76" s="39"/>
      <c r="D76" s="39"/>
      <c r="E76" s="39"/>
      <c r="F76" s="39"/>
      <c r="G76" s="39"/>
      <c r="H76" s="39"/>
      <c r="I76" s="39">
        <v>4</v>
      </c>
      <c r="J76" s="39"/>
      <c r="K76" s="39">
        <v>4</v>
      </c>
      <c r="L76" s="20"/>
      <c r="M76" s="16" t="s">
        <v>85</v>
      </c>
      <c r="N76" s="53">
        <v>3</v>
      </c>
      <c r="O76" s="53"/>
      <c r="P76" s="53"/>
      <c r="Q76" s="53"/>
      <c r="R76" s="53"/>
      <c r="S76" s="53"/>
      <c r="T76" s="53"/>
      <c r="U76" s="53">
        <v>3</v>
      </c>
    </row>
    <row r="77" spans="1:21" x14ac:dyDescent="0.25">
      <c r="A77" s="16" t="s">
        <v>10</v>
      </c>
      <c r="B77" s="36">
        <v>1</v>
      </c>
      <c r="C77" s="36">
        <v>73</v>
      </c>
      <c r="D77" s="36">
        <v>1</v>
      </c>
      <c r="E77" s="36">
        <v>42</v>
      </c>
      <c r="F77" s="36">
        <v>43</v>
      </c>
      <c r="G77" s="36">
        <v>4</v>
      </c>
      <c r="H77" s="36">
        <v>60</v>
      </c>
      <c r="I77" s="36">
        <v>322</v>
      </c>
      <c r="J77" s="36">
        <v>15</v>
      </c>
      <c r="K77" s="36">
        <v>561</v>
      </c>
      <c r="M77" s="16" t="s">
        <v>95</v>
      </c>
      <c r="N77" s="53"/>
      <c r="O77" s="53"/>
      <c r="P77" s="53"/>
      <c r="Q77" s="53"/>
      <c r="R77" s="53">
        <v>3</v>
      </c>
      <c r="S77" s="53"/>
      <c r="T77" s="53"/>
      <c r="U77" s="53">
        <v>3</v>
      </c>
    </row>
    <row r="78" spans="1:21" x14ac:dyDescent="0.25">
      <c r="B78" s="36"/>
      <c r="C78" s="36"/>
      <c r="D78" s="36"/>
      <c r="E78" s="36"/>
      <c r="F78" s="36"/>
      <c r="G78" s="36"/>
      <c r="H78" s="36"/>
      <c r="I78" s="36"/>
      <c r="J78" s="36"/>
      <c r="M78" s="16" t="s">
        <v>101</v>
      </c>
      <c r="N78" s="53"/>
      <c r="O78" s="53"/>
      <c r="P78" s="53"/>
      <c r="Q78" s="53"/>
      <c r="R78" s="53">
        <v>3</v>
      </c>
      <c r="S78" s="53"/>
      <c r="T78" s="53"/>
      <c r="U78" s="53">
        <v>3</v>
      </c>
    </row>
    <row r="79" spans="1:21" x14ac:dyDescent="0.25">
      <c r="A79" s="31" t="s">
        <v>105</v>
      </c>
      <c r="M79" s="16" t="s">
        <v>103</v>
      </c>
      <c r="N79" s="53"/>
      <c r="O79" s="53"/>
      <c r="P79" s="53"/>
      <c r="Q79" s="53"/>
      <c r="R79" s="53">
        <v>3</v>
      </c>
      <c r="S79" s="53"/>
      <c r="T79" s="53"/>
      <c r="U79" s="53">
        <v>3</v>
      </c>
    </row>
    <row r="80" spans="1:21" x14ac:dyDescent="0.25">
      <c r="A80" s="19" t="s">
        <v>4</v>
      </c>
      <c r="B80" s="21" t="s">
        <v>5</v>
      </c>
      <c r="L80" s="20"/>
      <c r="M80" s="16" t="s">
        <v>79</v>
      </c>
      <c r="N80" s="53"/>
      <c r="O80" s="53"/>
      <c r="P80" s="53"/>
      <c r="Q80" s="53"/>
      <c r="R80" s="53">
        <v>3</v>
      </c>
      <c r="S80" s="53"/>
      <c r="T80" s="53"/>
      <c r="U80" s="53">
        <v>3</v>
      </c>
    </row>
    <row r="81" spans="1:21" x14ac:dyDescent="0.25">
      <c r="A81" s="19" t="s">
        <v>11</v>
      </c>
      <c r="B81" s="15" t="s">
        <v>38</v>
      </c>
      <c r="C81" s="15" t="s">
        <v>24</v>
      </c>
      <c r="D81" s="15" t="s">
        <v>91</v>
      </c>
      <c r="E81" s="15" t="s">
        <v>33</v>
      </c>
      <c r="F81" s="15" t="s">
        <v>92</v>
      </c>
      <c r="G81" s="15" t="s">
        <v>93</v>
      </c>
      <c r="H81" s="15" t="s">
        <v>30</v>
      </c>
      <c r="I81" s="15" t="s">
        <v>18</v>
      </c>
      <c r="J81" s="15" t="s">
        <v>94</v>
      </c>
      <c r="K81" s="20" t="s">
        <v>10</v>
      </c>
      <c r="L81" s="20"/>
      <c r="M81" s="16" t="s">
        <v>1152</v>
      </c>
      <c r="N81" s="53"/>
      <c r="O81" s="53"/>
      <c r="P81" s="53"/>
      <c r="Q81" s="53"/>
      <c r="R81" s="53"/>
      <c r="S81" s="53"/>
      <c r="T81" s="53">
        <v>3</v>
      </c>
      <c r="U81" s="53">
        <v>3</v>
      </c>
    </row>
    <row r="82" spans="1:21" x14ac:dyDescent="0.25">
      <c r="A82" s="16" t="s">
        <v>9</v>
      </c>
      <c r="B82" s="20"/>
      <c r="C82" s="20"/>
      <c r="D82" s="20"/>
      <c r="E82" s="20">
        <v>3</v>
      </c>
      <c r="F82" s="20"/>
      <c r="G82" s="20"/>
      <c r="H82" s="20">
        <v>60</v>
      </c>
      <c r="I82" s="20">
        <v>170</v>
      </c>
      <c r="J82" s="20">
        <v>5</v>
      </c>
      <c r="K82" s="20">
        <v>238</v>
      </c>
      <c r="L82" s="20"/>
      <c r="M82" s="16" t="s">
        <v>102</v>
      </c>
      <c r="N82" s="53"/>
      <c r="O82" s="53"/>
      <c r="P82" s="53"/>
      <c r="Q82" s="53"/>
      <c r="R82" s="53"/>
      <c r="S82" s="53"/>
      <c r="T82" s="53">
        <v>2</v>
      </c>
      <c r="U82" s="20">
        <v>2</v>
      </c>
    </row>
    <row r="83" spans="1:21" x14ac:dyDescent="0.25">
      <c r="A83" s="16" t="s">
        <v>7</v>
      </c>
      <c r="B83" s="20">
        <v>1</v>
      </c>
      <c r="C83" s="20">
        <v>73</v>
      </c>
      <c r="D83" s="20">
        <v>1</v>
      </c>
      <c r="E83" s="20">
        <v>39</v>
      </c>
      <c r="F83" s="20">
        <v>43</v>
      </c>
      <c r="G83" s="20">
        <v>4</v>
      </c>
      <c r="H83" s="20"/>
      <c r="I83" s="20">
        <v>18</v>
      </c>
      <c r="J83" s="20">
        <v>7</v>
      </c>
      <c r="K83" s="20">
        <v>186</v>
      </c>
      <c r="L83" s="20"/>
      <c r="M83" s="16" t="s">
        <v>107</v>
      </c>
      <c r="N83" s="53">
        <v>2</v>
      </c>
      <c r="O83" s="53"/>
      <c r="P83" s="53"/>
      <c r="Q83" s="53"/>
      <c r="R83" s="53"/>
      <c r="S83" s="53"/>
      <c r="T83" s="53"/>
      <c r="U83" s="53">
        <v>2</v>
      </c>
    </row>
    <row r="84" spans="1:21" x14ac:dyDescent="0.25">
      <c r="A84" s="16" t="s">
        <v>3</v>
      </c>
      <c r="B84" s="20"/>
      <c r="C84" s="20"/>
      <c r="D84" s="20"/>
      <c r="E84" s="20"/>
      <c r="F84" s="20"/>
      <c r="G84" s="20"/>
      <c r="H84" s="20"/>
      <c r="I84" s="20">
        <v>75</v>
      </c>
      <c r="J84" s="20"/>
      <c r="K84" s="20">
        <v>75</v>
      </c>
      <c r="L84" s="20"/>
      <c r="M84" s="16" t="s">
        <v>111</v>
      </c>
      <c r="N84" s="53">
        <v>1</v>
      </c>
      <c r="O84" s="53"/>
      <c r="P84" s="53"/>
      <c r="Q84" s="53"/>
      <c r="R84" s="53"/>
      <c r="S84" s="53">
        <v>1</v>
      </c>
      <c r="T84" s="53"/>
      <c r="U84" s="53">
        <v>2</v>
      </c>
    </row>
    <row r="85" spans="1:21" x14ac:dyDescent="0.25">
      <c r="A85" s="16" t="s">
        <v>8</v>
      </c>
      <c r="B85" s="20"/>
      <c r="C85" s="20"/>
      <c r="D85" s="20"/>
      <c r="E85" s="20"/>
      <c r="F85" s="20"/>
      <c r="G85" s="20"/>
      <c r="H85" s="20"/>
      <c r="I85" s="20">
        <v>59</v>
      </c>
      <c r="J85" s="20">
        <v>3</v>
      </c>
      <c r="K85" s="20">
        <v>62</v>
      </c>
      <c r="L85" s="20"/>
      <c r="M85" s="16" t="s">
        <v>106</v>
      </c>
      <c r="N85" s="53"/>
      <c r="O85" s="53"/>
      <c r="P85" s="53"/>
      <c r="Q85" s="53"/>
      <c r="R85" s="53"/>
      <c r="S85" s="53">
        <v>2</v>
      </c>
      <c r="T85" s="53"/>
      <c r="U85" s="53">
        <v>2</v>
      </c>
    </row>
    <row r="86" spans="1:21" x14ac:dyDescent="0.25">
      <c r="A86" s="16" t="s">
        <v>10</v>
      </c>
      <c r="B86" s="20">
        <v>1</v>
      </c>
      <c r="C86" s="20">
        <v>73</v>
      </c>
      <c r="D86" s="20">
        <v>1</v>
      </c>
      <c r="E86" s="20">
        <v>42</v>
      </c>
      <c r="F86" s="20">
        <v>43</v>
      </c>
      <c r="G86" s="20">
        <v>4</v>
      </c>
      <c r="H86" s="20">
        <v>60</v>
      </c>
      <c r="I86" s="20">
        <v>322</v>
      </c>
      <c r="J86" s="20">
        <v>15</v>
      </c>
      <c r="K86" s="20">
        <v>561</v>
      </c>
      <c r="M86" s="16" t="s">
        <v>1253</v>
      </c>
      <c r="N86" s="53"/>
      <c r="O86" s="53"/>
      <c r="P86" s="53">
        <v>2</v>
      </c>
      <c r="Q86" s="53"/>
      <c r="R86" s="53"/>
      <c r="S86" s="53"/>
      <c r="T86" s="53"/>
      <c r="U86" s="53">
        <v>2</v>
      </c>
    </row>
    <row r="87" spans="1:21" x14ac:dyDescent="0.25">
      <c r="B87" s="20"/>
      <c r="C87" s="20"/>
      <c r="D87" s="20"/>
      <c r="E87" s="20"/>
      <c r="F87" s="20"/>
      <c r="G87" s="20"/>
      <c r="H87" s="20"/>
      <c r="I87" s="20"/>
      <c r="M87" s="16" t="s">
        <v>2004</v>
      </c>
      <c r="N87" s="53"/>
      <c r="O87" s="53"/>
      <c r="P87" s="53"/>
      <c r="Q87" s="53"/>
      <c r="R87" s="53"/>
      <c r="S87" s="53"/>
      <c r="T87" s="53">
        <v>2</v>
      </c>
      <c r="U87" s="53">
        <v>2</v>
      </c>
    </row>
    <row r="88" spans="1:21" x14ac:dyDescent="0.25">
      <c r="M88" s="16" t="s">
        <v>113</v>
      </c>
      <c r="N88" s="53"/>
      <c r="O88" s="53"/>
      <c r="P88" s="53"/>
      <c r="Q88" s="53"/>
      <c r="R88" s="53">
        <v>1</v>
      </c>
      <c r="S88" s="53"/>
      <c r="T88" s="53"/>
      <c r="U88" s="20">
        <v>1</v>
      </c>
    </row>
    <row r="89" spans="1:21" x14ac:dyDescent="0.25">
      <c r="A89" s="31" t="s">
        <v>112</v>
      </c>
      <c r="M89" s="16" t="s">
        <v>110</v>
      </c>
      <c r="N89" s="53"/>
      <c r="O89" s="53"/>
      <c r="P89" s="53"/>
      <c r="Q89" s="53"/>
      <c r="R89" s="53"/>
      <c r="S89" s="53"/>
      <c r="T89" s="53">
        <v>1</v>
      </c>
      <c r="U89" s="53">
        <v>1</v>
      </c>
    </row>
    <row r="90" spans="1:21" x14ac:dyDescent="0.25">
      <c r="A90" s="19" t="s">
        <v>114</v>
      </c>
      <c r="B90" s="21" t="s">
        <v>5</v>
      </c>
      <c r="M90" s="16" t="s">
        <v>115</v>
      </c>
      <c r="N90" s="53">
        <v>1</v>
      </c>
      <c r="O90" s="53"/>
      <c r="P90" s="53"/>
      <c r="Q90" s="53"/>
      <c r="R90" s="53"/>
      <c r="S90" s="53"/>
      <c r="T90" s="53"/>
      <c r="U90" s="53">
        <v>1</v>
      </c>
    </row>
    <row r="91" spans="1:21" x14ac:dyDescent="0.25">
      <c r="A91" s="19" t="s">
        <v>11</v>
      </c>
      <c r="B91" s="20" t="s">
        <v>12</v>
      </c>
      <c r="C91" s="20" t="s">
        <v>13</v>
      </c>
      <c r="D91" s="20" t="s">
        <v>41</v>
      </c>
      <c r="E91" s="20" t="s">
        <v>14</v>
      </c>
      <c r="F91" s="20" t="s">
        <v>15</v>
      </c>
      <c r="G91" s="20" t="s">
        <v>16</v>
      </c>
      <c r="H91" s="20" t="s">
        <v>42</v>
      </c>
      <c r="I91" s="20" t="s">
        <v>10</v>
      </c>
      <c r="M91" s="16" t="s">
        <v>129</v>
      </c>
      <c r="N91" s="53">
        <v>1</v>
      </c>
      <c r="O91" s="53"/>
      <c r="P91" s="53"/>
      <c r="Q91" s="53"/>
      <c r="R91" s="53"/>
      <c r="S91" s="53"/>
      <c r="T91" s="53"/>
      <c r="U91" s="53">
        <v>1</v>
      </c>
    </row>
    <row r="92" spans="1:21" x14ac:dyDescent="0.25">
      <c r="A92" s="16" t="s">
        <v>119</v>
      </c>
      <c r="B92" s="20"/>
      <c r="C92" s="20"/>
      <c r="D92" s="20"/>
      <c r="E92" s="20"/>
      <c r="F92" s="20"/>
      <c r="G92" s="20">
        <v>59</v>
      </c>
      <c r="H92" s="20"/>
      <c r="I92" s="20">
        <v>59</v>
      </c>
      <c r="M92" s="15" t="s">
        <v>118</v>
      </c>
      <c r="N92" s="53"/>
      <c r="O92" s="53"/>
      <c r="P92" s="53"/>
      <c r="Q92" s="53"/>
      <c r="R92" s="53"/>
      <c r="S92" s="53"/>
      <c r="T92" s="53">
        <v>1</v>
      </c>
      <c r="U92" s="53">
        <v>1</v>
      </c>
    </row>
    <row r="93" spans="1:21" x14ac:dyDescent="0.25">
      <c r="A93" s="16" t="s">
        <v>117</v>
      </c>
      <c r="B93" s="20"/>
      <c r="C93" s="20"/>
      <c r="D93" s="20"/>
      <c r="E93" s="20">
        <v>57</v>
      </c>
      <c r="F93" s="20"/>
      <c r="G93" s="20"/>
      <c r="H93" s="20"/>
      <c r="I93" s="20">
        <v>57</v>
      </c>
      <c r="M93" s="15" t="s">
        <v>126</v>
      </c>
      <c r="N93" s="53"/>
      <c r="O93" s="53"/>
      <c r="P93" s="53"/>
      <c r="Q93" s="53"/>
      <c r="R93" s="53"/>
      <c r="S93" s="53">
        <v>1</v>
      </c>
      <c r="T93" s="53"/>
      <c r="U93" s="53">
        <v>1</v>
      </c>
    </row>
    <row r="94" spans="1:21" x14ac:dyDescent="0.25">
      <c r="A94" s="16" t="s">
        <v>123</v>
      </c>
      <c r="B94" s="20"/>
      <c r="C94" s="20"/>
      <c r="D94" s="20"/>
      <c r="E94" s="20"/>
      <c r="F94" s="20">
        <v>1</v>
      </c>
      <c r="G94" s="20">
        <v>47</v>
      </c>
      <c r="H94" s="20"/>
      <c r="I94" s="20">
        <v>48</v>
      </c>
      <c r="M94" s="16" t="s">
        <v>124</v>
      </c>
      <c r="N94" s="53"/>
      <c r="O94" s="53"/>
      <c r="P94" s="53"/>
      <c r="Q94" s="53"/>
      <c r="R94" s="53">
        <v>1</v>
      </c>
      <c r="S94" s="53"/>
      <c r="T94" s="53"/>
      <c r="U94" s="53">
        <v>1</v>
      </c>
    </row>
    <row r="95" spans="1:21" x14ac:dyDescent="0.25">
      <c r="A95" s="16" t="s">
        <v>121</v>
      </c>
      <c r="B95" s="20"/>
      <c r="C95" s="20"/>
      <c r="D95" s="20">
        <v>35</v>
      </c>
      <c r="E95" s="20"/>
      <c r="F95" s="20"/>
      <c r="G95" s="20"/>
      <c r="H95" s="20"/>
      <c r="I95" s="20">
        <v>35</v>
      </c>
      <c r="M95" s="16" t="s">
        <v>91</v>
      </c>
      <c r="N95" s="53"/>
      <c r="O95" s="53"/>
      <c r="P95" s="53"/>
      <c r="Q95" s="53"/>
      <c r="R95" s="53"/>
      <c r="S95" s="53">
        <v>1</v>
      </c>
      <c r="T95" s="53"/>
      <c r="U95" s="53">
        <v>1</v>
      </c>
    </row>
    <row r="96" spans="1:21" x14ac:dyDescent="0.25">
      <c r="A96" s="16" t="s">
        <v>131</v>
      </c>
      <c r="B96" s="20"/>
      <c r="C96" s="20"/>
      <c r="D96" s="20"/>
      <c r="E96" s="20"/>
      <c r="F96" s="20"/>
      <c r="G96" s="20">
        <v>32</v>
      </c>
      <c r="H96" s="20"/>
      <c r="I96" s="20">
        <v>32</v>
      </c>
      <c r="M96" s="16" t="s">
        <v>122</v>
      </c>
      <c r="N96" s="53">
        <v>1</v>
      </c>
      <c r="O96" s="53"/>
      <c r="P96" s="53"/>
      <c r="Q96" s="53"/>
      <c r="R96" s="53"/>
      <c r="S96" s="53"/>
      <c r="T96" s="53"/>
      <c r="U96" s="53">
        <v>1</v>
      </c>
    </row>
    <row r="97" spans="1:21" x14ac:dyDescent="0.25">
      <c r="A97" s="16" t="s">
        <v>133</v>
      </c>
      <c r="B97" s="20"/>
      <c r="C97" s="20"/>
      <c r="D97" s="20"/>
      <c r="E97" s="20">
        <v>29</v>
      </c>
      <c r="F97" s="20"/>
      <c r="G97" s="20"/>
      <c r="H97" s="20"/>
      <c r="I97" s="20">
        <v>29</v>
      </c>
      <c r="M97" s="16" t="s">
        <v>116</v>
      </c>
      <c r="N97" s="53"/>
      <c r="O97" s="53"/>
      <c r="P97" s="53"/>
      <c r="Q97" s="53"/>
      <c r="R97" s="53"/>
      <c r="S97" s="53"/>
      <c r="T97" s="53">
        <v>1</v>
      </c>
      <c r="U97" s="53">
        <v>1</v>
      </c>
    </row>
    <row r="98" spans="1:21" x14ac:dyDescent="0.25">
      <c r="A98" s="16" t="s">
        <v>127</v>
      </c>
      <c r="B98" s="20">
        <v>26</v>
      </c>
      <c r="C98" s="20"/>
      <c r="D98" s="20"/>
      <c r="E98" s="20"/>
      <c r="F98" s="20"/>
      <c r="G98" s="20"/>
      <c r="H98" s="20"/>
      <c r="I98" s="20">
        <v>26</v>
      </c>
      <c r="M98" s="16" t="s">
        <v>626</v>
      </c>
      <c r="N98" s="53"/>
      <c r="O98" s="53"/>
      <c r="P98" s="53"/>
      <c r="Q98" s="53"/>
      <c r="R98" s="53"/>
      <c r="S98" s="53"/>
      <c r="T98" s="53">
        <v>1</v>
      </c>
      <c r="U98" s="53">
        <v>1</v>
      </c>
    </row>
    <row r="99" spans="1:21" x14ac:dyDescent="0.25">
      <c r="A99" s="16" t="s">
        <v>128</v>
      </c>
      <c r="B99" s="20">
        <v>25</v>
      </c>
      <c r="C99" s="20"/>
      <c r="D99" s="20"/>
      <c r="E99" s="20"/>
      <c r="F99" s="20"/>
      <c r="G99" s="20"/>
      <c r="H99" s="20"/>
      <c r="I99" s="20">
        <v>25</v>
      </c>
      <c r="M99" s="16" t="s">
        <v>120</v>
      </c>
      <c r="N99" s="53"/>
      <c r="O99" s="53"/>
      <c r="P99" s="53"/>
      <c r="Q99" s="53"/>
      <c r="R99" s="53"/>
      <c r="S99" s="53"/>
      <c r="T99" s="53">
        <v>1</v>
      </c>
      <c r="U99" s="53">
        <v>1</v>
      </c>
    </row>
    <row r="100" spans="1:21" x14ac:dyDescent="0.25">
      <c r="A100" s="16" t="s">
        <v>125</v>
      </c>
      <c r="B100" s="20">
        <v>21</v>
      </c>
      <c r="C100" s="20"/>
      <c r="D100" s="20"/>
      <c r="E100" s="20"/>
      <c r="F100" s="20"/>
      <c r="G100" s="20"/>
      <c r="H100" s="20"/>
      <c r="I100" s="20">
        <v>21</v>
      </c>
      <c r="M100" s="16" t="s">
        <v>10</v>
      </c>
      <c r="N100" s="53">
        <v>32</v>
      </c>
      <c r="O100" s="53">
        <v>43</v>
      </c>
      <c r="P100" s="53">
        <v>88</v>
      </c>
      <c r="Q100" s="53">
        <v>4</v>
      </c>
      <c r="R100" s="53">
        <v>170</v>
      </c>
      <c r="S100" s="53">
        <v>10</v>
      </c>
      <c r="T100" s="53">
        <v>214</v>
      </c>
      <c r="U100" s="53">
        <v>561</v>
      </c>
    </row>
    <row r="101" spans="1:21" x14ac:dyDescent="0.25">
      <c r="A101" s="16" t="s">
        <v>130</v>
      </c>
      <c r="B101" s="20">
        <v>17</v>
      </c>
      <c r="C101" s="20"/>
      <c r="D101" s="20"/>
      <c r="E101" s="20"/>
      <c r="F101" s="20"/>
      <c r="G101" s="20"/>
      <c r="H101" s="20"/>
      <c r="I101" s="20">
        <v>17</v>
      </c>
    </row>
    <row r="102" spans="1:21" x14ac:dyDescent="0.25">
      <c r="A102" s="16" t="s">
        <v>132</v>
      </c>
      <c r="B102" s="20"/>
      <c r="C102" s="20"/>
      <c r="D102" s="20"/>
      <c r="E102" s="20"/>
      <c r="F102" s="20"/>
      <c r="G102" s="20">
        <v>14</v>
      </c>
      <c r="H102" s="20"/>
      <c r="I102" s="20">
        <v>14</v>
      </c>
    </row>
    <row r="103" spans="1:21" x14ac:dyDescent="0.25">
      <c r="A103" s="16" t="s">
        <v>134</v>
      </c>
      <c r="B103" s="20">
        <v>11</v>
      </c>
      <c r="C103" s="20"/>
      <c r="D103" s="20"/>
      <c r="E103" s="20"/>
      <c r="F103" s="20">
        <v>1</v>
      </c>
      <c r="G103" s="20"/>
      <c r="H103" s="20"/>
      <c r="I103" s="20">
        <v>12</v>
      </c>
    </row>
    <row r="104" spans="1:21" x14ac:dyDescent="0.25">
      <c r="A104" s="16" t="s">
        <v>135</v>
      </c>
      <c r="B104" s="20">
        <v>12</v>
      </c>
      <c r="C104" s="20"/>
      <c r="D104" s="20"/>
      <c r="E104" s="20"/>
      <c r="F104" s="20"/>
      <c r="G104" s="20"/>
      <c r="H104" s="20"/>
      <c r="I104" s="20">
        <v>12</v>
      </c>
    </row>
    <row r="105" spans="1:21" x14ac:dyDescent="0.25">
      <c r="A105" s="16" t="s">
        <v>137</v>
      </c>
      <c r="B105" s="20">
        <v>10</v>
      </c>
      <c r="C105" s="20"/>
      <c r="D105" s="20"/>
      <c r="E105" s="20"/>
      <c r="F105" s="20"/>
      <c r="G105" s="20"/>
      <c r="H105" s="20"/>
      <c r="I105" s="20">
        <v>10</v>
      </c>
    </row>
    <row r="106" spans="1:21" x14ac:dyDescent="0.25">
      <c r="A106" s="16" t="s">
        <v>142</v>
      </c>
      <c r="B106" s="20">
        <v>8</v>
      </c>
      <c r="C106" s="20"/>
      <c r="D106" s="20"/>
      <c r="E106" s="20"/>
      <c r="F106" s="20"/>
      <c r="G106" s="20"/>
      <c r="H106" s="20"/>
      <c r="I106" s="20">
        <v>8</v>
      </c>
    </row>
    <row r="107" spans="1:21" x14ac:dyDescent="0.25">
      <c r="A107" s="16" t="s">
        <v>143</v>
      </c>
      <c r="B107" s="20">
        <v>8</v>
      </c>
      <c r="C107" s="20"/>
      <c r="D107" s="20"/>
      <c r="E107" s="20"/>
      <c r="F107" s="20"/>
      <c r="G107" s="20"/>
      <c r="H107" s="20"/>
      <c r="I107" s="20">
        <v>8</v>
      </c>
    </row>
    <row r="108" spans="1:21" x14ac:dyDescent="0.25">
      <c r="A108" s="16" t="s">
        <v>172</v>
      </c>
      <c r="B108" s="20"/>
      <c r="C108" s="20"/>
      <c r="D108" s="20"/>
      <c r="E108" s="20"/>
      <c r="F108" s="20"/>
      <c r="G108" s="20">
        <v>8</v>
      </c>
      <c r="H108" s="20"/>
      <c r="I108" s="20">
        <v>8</v>
      </c>
    </row>
    <row r="109" spans="1:21" x14ac:dyDescent="0.25">
      <c r="A109" s="16" t="s">
        <v>140</v>
      </c>
      <c r="B109" s="20"/>
      <c r="C109" s="20"/>
      <c r="D109" s="20"/>
      <c r="E109" s="20"/>
      <c r="F109" s="20"/>
      <c r="G109" s="20">
        <v>6</v>
      </c>
      <c r="H109" s="20"/>
      <c r="I109" s="20">
        <v>6</v>
      </c>
    </row>
    <row r="110" spans="1:21" x14ac:dyDescent="0.25">
      <c r="A110" s="16" t="s">
        <v>146</v>
      </c>
      <c r="B110" s="20"/>
      <c r="C110" s="20"/>
      <c r="D110" s="20"/>
      <c r="E110" s="20"/>
      <c r="F110" s="20"/>
      <c r="G110" s="20">
        <v>5</v>
      </c>
      <c r="H110" s="20"/>
      <c r="I110" s="20">
        <v>5</v>
      </c>
    </row>
    <row r="111" spans="1:21" x14ac:dyDescent="0.25">
      <c r="A111" s="16" t="s">
        <v>152</v>
      </c>
      <c r="B111" s="20"/>
      <c r="C111" s="20"/>
      <c r="D111" s="20"/>
      <c r="E111" s="20"/>
      <c r="F111" s="20"/>
      <c r="G111" s="20">
        <v>5</v>
      </c>
      <c r="H111" s="20"/>
      <c r="I111" s="20">
        <v>5</v>
      </c>
    </row>
    <row r="112" spans="1:21" x14ac:dyDescent="0.25">
      <c r="A112" s="16" t="s">
        <v>138</v>
      </c>
      <c r="B112" s="20"/>
      <c r="C112" s="20">
        <v>3</v>
      </c>
      <c r="D112" s="20"/>
      <c r="E112" s="20"/>
      <c r="F112" s="20">
        <v>2</v>
      </c>
      <c r="G112" s="20"/>
      <c r="H112" s="20"/>
      <c r="I112" s="20">
        <v>5</v>
      </c>
    </row>
    <row r="113" spans="1:20" x14ac:dyDescent="0.25">
      <c r="A113" s="16" t="s">
        <v>168</v>
      </c>
      <c r="B113" s="20"/>
      <c r="C113" s="20"/>
      <c r="D113" s="20"/>
      <c r="E113" s="20"/>
      <c r="F113" s="20"/>
      <c r="G113" s="20">
        <v>5</v>
      </c>
      <c r="H113" s="20"/>
      <c r="I113" s="20">
        <v>5</v>
      </c>
    </row>
    <row r="114" spans="1:20" x14ac:dyDescent="0.25">
      <c r="A114" s="16" t="s">
        <v>167</v>
      </c>
      <c r="B114" s="20">
        <v>3</v>
      </c>
      <c r="C114" s="20"/>
      <c r="D114" s="20"/>
      <c r="E114" s="20"/>
      <c r="F114" s="20">
        <v>2</v>
      </c>
      <c r="G114" s="20"/>
      <c r="H114" s="20"/>
      <c r="I114" s="20">
        <v>5</v>
      </c>
    </row>
    <row r="115" spans="1:20" x14ac:dyDescent="0.25">
      <c r="A115" s="16" t="s">
        <v>147</v>
      </c>
      <c r="B115" s="20">
        <v>5</v>
      </c>
      <c r="C115" s="20"/>
      <c r="D115" s="20"/>
      <c r="E115" s="20"/>
      <c r="F115" s="20"/>
      <c r="G115" s="20"/>
      <c r="H115" s="20"/>
      <c r="I115" s="20">
        <v>5</v>
      </c>
    </row>
    <row r="116" spans="1:20" x14ac:dyDescent="0.25">
      <c r="A116" s="16" t="s">
        <v>524</v>
      </c>
      <c r="B116" s="20"/>
      <c r="C116" s="20"/>
      <c r="D116" s="20">
        <v>5</v>
      </c>
      <c r="E116" s="20"/>
      <c r="F116" s="20"/>
      <c r="G116" s="20"/>
      <c r="H116" s="20"/>
      <c r="I116" s="20">
        <v>5</v>
      </c>
    </row>
    <row r="117" spans="1:20" x14ac:dyDescent="0.25">
      <c r="A117" s="16" t="s">
        <v>141</v>
      </c>
      <c r="B117" s="20">
        <v>5</v>
      </c>
      <c r="C117" s="20"/>
      <c r="D117" s="20"/>
      <c r="E117" s="20"/>
      <c r="F117" s="20"/>
      <c r="G117" s="20"/>
      <c r="H117" s="20"/>
      <c r="I117" s="20">
        <v>5</v>
      </c>
    </row>
    <row r="118" spans="1:20" x14ac:dyDescent="0.25">
      <c r="A118" s="16" t="s">
        <v>156</v>
      </c>
      <c r="B118" s="20"/>
      <c r="C118" s="20">
        <v>4</v>
      </c>
      <c r="D118" s="20"/>
      <c r="E118" s="20"/>
      <c r="F118" s="20"/>
      <c r="G118" s="20"/>
      <c r="H118" s="20"/>
      <c r="I118" s="20">
        <v>4</v>
      </c>
    </row>
    <row r="119" spans="1:20" x14ac:dyDescent="0.25">
      <c r="A119" s="16" t="s">
        <v>139</v>
      </c>
      <c r="B119" s="20"/>
      <c r="C119" s="20"/>
      <c r="D119" s="20"/>
      <c r="E119" s="20"/>
      <c r="F119" s="20"/>
      <c r="G119" s="20"/>
      <c r="H119" s="20">
        <v>4</v>
      </c>
      <c r="I119" s="20">
        <v>4</v>
      </c>
      <c r="M119" s="17" t="s">
        <v>150</v>
      </c>
      <c r="N119" s="15" t="s">
        <v>151</v>
      </c>
      <c r="P119" s="18" t="s">
        <v>150</v>
      </c>
      <c r="Q119" s="15" t="s">
        <v>151</v>
      </c>
      <c r="S119" s="18" t="s">
        <v>150</v>
      </c>
      <c r="T119" s="15" t="s">
        <v>151</v>
      </c>
    </row>
    <row r="120" spans="1:20" x14ac:dyDescent="0.25">
      <c r="A120" s="16" t="s">
        <v>548</v>
      </c>
      <c r="B120" s="20"/>
      <c r="C120" s="20"/>
      <c r="D120" s="20"/>
      <c r="E120" s="20"/>
      <c r="F120" s="20"/>
      <c r="G120" s="20">
        <v>4</v>
      </c>
      <c r="H120" s="20"/>
      <c r="I120" s="20">
        <v>4</v>
      </c>
      <c r="M120" s="50" t="s">
        <v>153</v>
      </c>
      <c r="N120" s="48"/>
      <c r="P120" s="50" t="s">
        <v>154</v>
      </c>
      <c r="Q120" s="48"/>
      <c r="S120" s="50" t="s">
        <v>155</v>
      </c>
      <c r="T120" s="48"/>
    </row>
    <row r="121" spans="1:20" x14ac:dyDescent="0.25">
      <c r="A121" s="16" t="s">
        <v>148</v>
      </c>
      <c r="B121" s="20"/>
      <c r="C121" s="20">
        <v>3</v>
      </c>
      <c r="D121" s="20"/>
      <c r="E121" s="20"/>
      <c r="F121" s="20">
        <v>1</v>
      </c>
      <c r="G121" s="20"/>
      <c r="H121" s="20"/>
      <c r="I121" s="20">
        <v>4</v>
      </c>
      <c r="M121" s="19" t="s">
        <v>11</v>
      </c>
      <c r="N121" s="22" t="s">
        <v>157</v>
      </c>
      <c r="P121" s="21" t="s">
        <v>11</v>
      </c>
      <c r="Q121" s="22" t="s">
        <v>157</v>
      </c>
      <c r="S121" s="19" t="s">
        <v>11</v>
      </c>
      <c r="T121" s="15" t="s">
        <v>157</v>
      </c>
    </row>
    <row r="122" spans="1:20" x14ac:dyDescent="0.25">
      <c r="A122" s="16" t="s">
        <v>149</v>
      </c>
      <c r="B122" s="20"/>
      <c r="C122" s="20"/>
      <c r="D122" s="20"/>
      <c r="E122" s="20"/>
      <c r="F122" s="20"/>
      <c r="G122" s="20">
        <v>4</v>
      </c>
      <c r="H122" s="20"/>
      <c r="I122" s="20">
        <v>4</v>
      </c>
      <c r="M122" s="16" t="s">
        <v>17</v>
      </c>
      <c r="N122" s="23">
        <v>14460.01</v>
      </c>
      <c r="P122" s="16" t="s">
        <v>159</v>
      </c>
      <c r="Q122" s="22">
        <v>26044.019999999997</v>
      </c>
      <c r="S122" s="16" t="s">
        <v>159</v>
      </c>
      <c r="T122" s="22">
        <v>26044.019999999997</v>
      </c>
    </row>
    <row r="123" spans="1:20" x14ac:dyDescent="0.25">
      <c r="A123" s="16" t="s">
        <v>158</v>
      </c>
      <c r="B123" s="20"/>
      <c r="C123" s="20"/>
      <c r="D123" s="20"/>
      <c r="E123" s="20"/>
      <c r="F123" s="20"/>
      <c r="G123" s="20">
        <v>4</v>
      </c>
      <c r="H123" s="20"/>
      <c r="I123" s="20">
        <v>4</v>
      </c>
      <c r="M123" s="16" t="s">
        <v>19</v>
      </c>
      <c r="N123" s="23">
        <v>2320</v>
      </c>
      <c r="P123" s="40" t="s">
        <v>161</v>
      </c>
      <c r="Q123" s="22">
        <v>2625</v>
      </c>
      <c r="S123" s="40" t="s">
        <v>161</v>
      </c>
      <c r="T123" s="22">
        <v>2355</v>
      </c>
    </row>
    <row r="124" spans="1:20" x14ac:dyDescent="0.25">
      <c r="A124" s="16" t="s">
        <v>169</v>
      </c>
      <c r="B124" s="20"/>
      <c r="C124" s="20">
        <v>4</v>
      </c>
      <c r="D124" s="20"/>
      <c r="E124" s="20"/>
      <c r="F124" s="20"/>
      <c r="G124" s="20"/>
      <c r="H124" s="20"/>
      <c r="I124" s="20">
        <v>4</v>
      </c>
      <c r="M124" s="16" t="s">
        <v>21</v>
      </c>
      <c r="N124" s="23">
        <v>3701.01</v>
      </c>
      <c r="P124" s="41" t="s">
        <v>163</v>
      </c>
      <c r="Q124" s="22">
        <v>23419.019999999997</v>
      </c>
      <c r="S124" s="41" t="s">
        <v>163</v>
      </c>
      <c r="T124" s="22">
        <v>23689.019999999997</v>
      </c>
    </row>
    <row r="125" spans="1:20" x14ac:dyDescent="0.25">
      <c r="A125" s="16" t="s">
        <v>145</v>
      </c>
      <c r="B125" s="20"/>
      <c r="C125" s="20">
        <v>4</v>
      </c>
      <c r="D125" s="20"/>
      <c r="E125" s="20"/>
      <c r="F125" s="20"/>
      <c r="G125" s="20"/>
      <c r="H125" s="20"/>
      <c r="I125" s="20">
        <v>4</v>
      </c>
      <c r="M125" s="16" t="s">
        <v>23</v>
      </c>
      <c r="N125" s="23">
        <v>1080</v>
      </c>
      <c r="P125" s="16" t="s">
        <v>10</v>
      </c>
      <c r="Q125" s="22">
        <v>26044.019999999997</v>
      </c>
      <c r="S125" s="15" t="s">
        <v>165</v>
      </c>
      <c r="T125" s="22"/>
    </row>
    <row r="126" spans="1:20" x14ac:dyDescent="0.25">
      <c r="A126" s="16" t="s">
        <v>1150</v>
      </c>
      <c r="B126" s="20"/>
      <c r="C126" s="20"/>
      <c r="D126" s="20"/>
      <c r="E126" s="20"/>
      <c r="F126" s="20"/>
      <c r="G126" s="20">
        <v>3</v>
      </c>
      <c r="H126" s="20"/>
      <c r="I126" s="20">
        <v>3</v>
      </c>
      <c r="M126" s="16" t="s">
        <v>25</v>
      </c>
      <c r="N126" s="23">
        <v>230</v>
      </c>
      <c r="S126" s="41" t="s">
        <v>165</v>
      </c>
      <c r="T126" s="22"/>
    </row>
    <row r="127" spans="1:20" x14ac:dyDescent="0.25">
      <c r="A127" s="16" t="s">
        <v>166</v>
      </c>
      <c r="B127" s="20">
        <v>3</v>
      </c>
      <c r="C127" s="20"/>
      <c r="D127" s="20"/>
      <c r="E127" s="20"/>
      <c r="F127" s="20"/>
      <c r="G127" s="20"/>
      <c r="H127" s="20"/>
      <c r="I127" s="20">
        <v>3</v>
      </c>
      <c r="M127" s="16" t="s">
        <v>10</v>
      </c>
      <c r="N127" s="23">
        <v>21791.020000000004</v>
      </c>
      <c r="S127" s="24" t="s">
        <v>10</v>
      </c>
      <c r="T127" s="22">
        <v>26044.019999999997</v>
      </c>
    </row>
    <row r="128" spans="1:20" x14ac:dyDescent="0.25">
      <c r="A128" s="16" t="s">
        <v>144</v>
      </c>
      <c r="B128" s="20">
        <v>3</v>
      </c>
      <c r="C128" s="20"/>
      <c r="D128" s="20"/>
      <c r="E128" s="20"/>
      <c r="F128" s="20"/>
      <c r="G128" s="20"/>
      <c r="H128" s="20"/>
      <c r="I128" s="20">
        <v>3</v>
      </c>
    </row>
    <row r="129" spans="1:9" x14ac:dyDescent="0.25">
      <c r="A129" s="16" t="s">
        <v>160</v>
      </c>
      <c r="B129" s="20">
        <v>3</v>
      </c>
      <c r="C129" s="20"/>
      <c r="D129" s="20"/>
      <c r="E129" s="20"/>
      <c r="F129" s="20"/>
      <c r="G129" s="20"/>
      <c r="H129" s="20"/>
      <c r="I129" s="20">
        <v>3</v>
      </c>
    </row>
    <row r="130" spans="1:9" x14ac:dyDescent="0.25">
      <c r="A130" s="16" t="s">
        <v>351</v>
      </c>
      <c r="B130" s="20"/>
      <c r="C130" s="20"/>
      <c r="D130" s="20"/>
      <c r="E130" s="20"/>
      <c r="F130" s="20"/>
      <c r="G130" s="20">
        <v>3</v>
      </c>
      <c r="H130" s="20"/>
      <c r="I130" s="20">
        <v>3</v>
      </c>
    </row>
    <row r="131" spans="1:9" x14ac:dyDescent="0.25">
      <c r="A131" s="16" t="s">
        <v>162</v>
      </c>
      <c r="B131" s="20">
        <v>3</v>
      </c>
      <c r="C131" s="20"/>
      <c r="D131" s="20"/>
      <c r="E131" s="20"/>
      <c r="F131" s="20"/>
      <c r="G131" s="20"/>
      <c r="H131" s="20"/>
      <c r="I131" s="20">
        <v>3</v>
      </c>
    </row>
    <row r="132" spans="1:9" x14ac:dyDescent="0.25">
      <c r="A132" s="16" t="s">
        <v>136</v>
      </c>
      <c r="B132" s="20">
        <v>3</v>
      </c>
      <c r="C132" s="20"/>
      <c r="D132" s="20"/>
      <c r="E132" s="20"/>
      <c r="F132" s="20"/>
      <c r="G132" s="20"/>
      <c r="H132" s="20"/>
      <c r="I132" s="20">
        <v>3</v>
      </c>
    </row>
    <row r="133" spans="1:9" x14ac:dyDescent="0.25">
      <c r="A133" s="16" t="s">
        <v>178</v>
      </c>
      <c r="B133" s="20"/>
      <c r="C133" s="20">
        <v>3</v>
      </c>
      <c r="D133" s="20"/>
      <c r="E133" s="20"/>
      <c r="F133" s="20"/>
      <c r="G133" s="20"/>
      <c r="H133" s="20"/>
      <c r="I133" s="20">
        <v>3</v>
      </c>
    </row>
    <row r="134" spans="1:9" x14ac:dyDescent="0.25">
      <c r="A134" s="16" t="s">
        <v>186</v>
      </c>
      <c r="B134" s="20"/>
      <c r="C134" s="20">
        <v>1</v>
      </c>
      <c r="D134" s="20"/>
      <c r="E134" s="20"/>
      <c r="F134" s="20"/>
      <c r="G134" s="20">
        <v>1</v>
      </c>
      <c r="H134" s="20"/>
      <c r="I134" s="20">
        <v>2</v>
      </c>
    </row>
    <row r="135" spans="1:9" x14ac:dyDescent="0.25">
      <c r="A135" s="16" t="s">
        <v>175</v>
      </c>
      <c r="B135" s="20"/>
      <c r="C135" s="20"/>
      <c r="D135" s="20"/>
      <c r="E135" s="20"/>
      <c r="F135" s="20"/>
      <c r="G135" s="20">
        <v>2</v>
      </c>
      <c r="H135" s="20"/>
      <c r="I135" s="20">
        <v>2</v>
      </c>
    </row>
    <row r="136" spans="1:9" x14ac:dyDescent="0.25">
      <c r="A136" s="16" t="s">
        <v>2002</v>
      </c>
      <c r="B136" s="20"/>
      <c r="C136" s="20"/>
      <c r="D136" s="20"/>
      <c r="E136" s="20"/>
      <c r="F136" s="20"/>
      <c r="G136" s="20">
        <v>2</v>
      </c>
      <c r="H136" s="20"/>
      <c r="I136" s="20">
        <v>2</v>
      </c>
    </row>
    <row r="137" spans="1:9" x14ac:dyDescent="0.25">
      <c r="A137" s="16" t="s">
        <v>535</v>
      </c>
      <c r="B137" s="20"/>
      <c r="C137" s="20"/>
      <c r="D137" s="20">
        <v>2</v>
      </c>
      <c r="E137" s="20"/>
      <c r="F137" s="20"/>
      <c r="G137" s="20"/>
      <c r="H137" s="20"/>
      <c r="I137" s="20">
        <v>2</v>
      </c>
    </row>
    <row r="138" spans="1:9" x14ac:dyDescent="0.25">
      <c r="A138" s="16" t="s">
        <v>174</v>
      </c>
      <c r="B138" s="20"/>
      <c r="C138" s="20">
        <v>2</v>
      </c>
      <c r="D138" s="20"/>
      <c r="E138" s="20"/>
      <c r="F138" s="20"/>
      <c r="G138" s="20"/>
      <c r="H138" s="20"/>
      <c r="I138" s="20">
        <v>2</v>
      </c>
    </row>
    <row r="139" spans="1:9" x14ac:dyDescent="0.25">
      <c r="A139" s="16" t="s">
        <v>173</v>
      </c>
      <c r="B139" s="20"/>
      <c r="C139" s="20"/>
      <c r="D139" s="20"/>
      <c r="E139" s="20"/>
      <c r="F139" s="20"/>
      <c r="G139" s="20">
        <v>2</v>
      </c>
      <c r="H139" s="20"/>
      <c r="I139" s="20">
        <v>2</v>
      </c>
    </row>
    <row r="140" spans="1:9" x14ac:dyDescent="0.25">
      <c r="A140" s="16" t="s">
        <v>176</v>
      </c>
      <c r="B140" s="20">
        <v>1</v>
      </c>
      <c r="C140" s="20"/>
      <c r="D140" s="20"/>
      <c r="E140" s="20"/>
      <c r="F140" s="20">
        <v>1</v>
      </c>
      <c r="G140" s="20"/>
      <c r="H140" s="20"/>
      <c r="I140" s="20">
        <v>2</v>
      </c>
    </row>
    <row r="141" spans="1:9" x14ac:dyDescent="0.25">
      <c r="A141" s="16" t="s">
        <v>170</v>
      </c>
      <c r="B141" s="20"/>
      <c r="C141" s="20">
        <v>2</v>
      </c>
      <c r="D141" s="20"/>
      <c r="E141" s="20"/>
      <c r="F141" s="20"/>
      <c r="G141" s="20"/>
      <c r="H141" s="20"/>
      <c r="I141" s="20">
        <v>2</v>
      </c>
    </row>
    <row r="142" spans="1:9" x14ac:dyDescent="0.25">
      <c r="A142" s="16" t="s">
        <v>187</v>
      </c>
      <c r="B142" s="20"/>
      <c r="C142" s="20"/>
      <c r="D142" s="20"/>
      <c r="E142" s="20">
        <v>2</v>
      </c>
      <c r="F142" s="20"/>
      <c r="G142" s="20"/>
      <c r="H142" s="20"/>
      <c r="I142" s="20">
        <v>2</v>
      </c>
    </row>
    <row r="143" spans="1:9" x14ac:dyDescent="0.25">
      <c r="A143" s="16" t="s">
        <v>190</v>
      </c>
      <c r="B143" s="20"/>
      <c r="C143" s="20">
        <v>1</v>
      </c>
      <c r="D143" s="20"/>
      <c r="E143" s="20"/>
      <c r="F143" s="20">
        <v>1</v>
      </c>
      <c r="G143" s="20"/>
      <c r="H143" s="20"/>
      <c r="I143" s="20">
        <v>2</v>
      </c>
    </row>
    <row r="144" spans="1:9" x14ac:dyDescent="0.25">
      <c r="A144" s="16" t="s">
        <v>182</v>
      </c>
      <c r="B144" s="20"/>
      <c r="C144" s="20">
        <v>1</v>
      </c>
      <c r="D144" s="20"/>
      <c r="E144" s="20"/>
      <c r="F144" s="20"/>
      <c r="G144" s="20"/>
      <c r="H144" s="20"/>
      <c r="I144" s="20">
        <v>1</v>
      </c>
    </row>
    <row r="145" spans="1:9" x14ac:dyDescent="0.25">
      <c r="A145" s="16" t="s">
        <v>1159</v>
      </c>
      <c r="B145" s="20"/>
      <c r="C145" s="20">
        <v>1</v>
      </c>
      <c r="D145" s="20"/>
      <c r="E145" s="20"/>
      <c r="F145" s="20"/>
      <c r="G145" s="20"/>
      <c r="H145" s="20"/>
      <c r="I145" s="20">
        <v>1</v>
      </c>
    </row>
    <row r="146" spans="1:9" x14ac:dyDescent="0.25">
      <c r="A146" s="16" t="s">
        <v>171</v>
      </c>
      <c r="B146" s="20"/>
      <c r="C146" s="20"/>
      <c r="D146" s="20"/>
      <c r="E146" s="20"/>
      <c r="F146" s="20"/>
      <c r="G146" s="20">
        <v>1</v>
      </c>
      <c r="H146" s="20"/>
      <c r="I146" s="20">
        <v>1</v>
      </c>
    </row>
    <row r="147" spans="1:9" x14ac:dyDescent="0.25">
      <c r="A147" s="16" t="s">
        <v>189</v>
      </c>
      <c r="B147" s="20"/>
      <c r="C147" s="20">
        <v>1</v>
      </c>
      <c r="D147" s="20"/>
      <c r="E147" s="20"/>
      <c r="F147" s="20"/>
      <c r="G147" s="20"/>
      <c r="H147" s="20"/>
      <c r="I147" s="20">
        <v>1</v>
      </c>
    </row>
    <row r="148" spans="1:9" x14ac:dyDescent="0.25">
      <c r="A148" s="16" t="s">
        <v>183</v>
      </c>
      <c r="B148" s="20"/>
      <c r="C148" s="20"/>
      <c r="D148" s="20"/>
      <c r="E148" s="20"/>
      <c r="F148" s="20"/>
      <c r="G148" s="20">
        <v>1</v>
      </c>
      <c r="H148" s="20"/>
      <c r="I148" s="20">
        <v>1</v>
      </c>
    </row>
    <row r="149" spans="1:9" x14ac:dyDescent="0.25">
      <c r="A149" s="16" t="s">
        <v>83</v>
      </c>
      <c r="B149" s="20"/>
      <c r="C149" s="20"/>
      <c r="D149" s="20">
        <v>1</v>
      </c>
      <c r="E149" s="20"/>
      <c r="F149" s="20"/>
      <c r="G149" s="20"/>
      <c r="H149" s="20"/>
      <c r="I149" s="20">
        <v>1</v>
      </c>
    </row>
    <row r="150" spans="1:9" x14ac:dyDescent="0.25">
      <c r="A150" s="16" t="s">
        <v>179</v>
      </c>
      <c r="B150" s="20"/>
      <c r="C150" s="20"/>
      <c r="D150" s="20"/>
      <c r="E150" s="20"/>
      <c r="F150" s="20"/>
      <c r="G150" s="20">
        <v>1</v>
      </c>
      <c r="H150" s="20"/>
      <c r="I150" s="20">
        <v>1</v>
      </c>
    </row>
    <row r="151" spans="1:9" x14ac:dyDescent="0.25">
      <c r="A151" s="16" t="s">
        <v>191</v>
      </c>
      <c r="B151" s="20">
        <v>1</v>
      </c>
      <c r="C151" s="20"/>
      <c r="D151" s="20"/>
      <c r="E151" s="20"/>
      <c r="F151" s="20"/>
      <c r="G151" s="20"/>
      <c r="H151" s="20"/>
      <c r="I151" s="20">
        <v>1</v>
      </c>
    </row>
    <row r="152" spans="1:9" x14ac:dyDescent="0.25">
      <c r="A152" s="16" t="s">
        <v>296</v>
      </c>
      <c r="B152" s="20"/>
      <c r="C152" s="20"/>
      <c r="D152" s="20"/>
      <c r="E152" s="20"/>
      <c r="F152" s="20">
        <v>1</v>
      </c>
      <c r="G152" s="20"/>
      <c r="H152" s="20"/>
      <c r="I152" s="20">
        <v>1</v>
      </c>
    </row>
    <row r="153" spans="1:9" x14ac:dyDescent="0.25">
      <c r="A153" s="16" t="s">
        <v>185</v>
      </c>
      <c r="B153" s="20"/>
      <c r="C153" s="20">
        <v>1</v>
      </c>
      <c r="D153" s="20"/>
      <c r="E153" s="20"/>
      <c r="F153" s="20"/>
      <c r="G153" s="20"/>
      <c r="H153" s="20"/>
      <c r="I153" s="20">
        <v>1</v>
      </c>
    </row>
    <row r="154" spans="1:9" x14ac:dyDescent="0.25">
      <c r="A154" s="16" t="s">
        <v>184</v>
      </c>
      <c r="B154" s="20"/>
      <c r="C154" s="20"/>
      <c r="D154" s="20"/>
      <c r="E154" s="20"/>
      <c r="F154" s="20"/>
      <c r="G154" s="20">
        <v>1</v>
      </c>
      <c r="H154" s="20"/>
      <c r="I154" s="20">
        <v>1</v>
      </c>
    </row>
    <row r="155" spans="1:9" x14ac:dyDescent="0.25">
      <c r="A155" s="16" t="s">
        <v>164</v>
      </c>
      <c r="B155" s="20">
        <v>1</v>
      </c>
      <c r="C155" s="20"/>
      <c r="D155" s="20"/>
      <c r="E155" s="20"/>
      <c r="F155" s="20"/>
      <c r="G155" s="20"/>
      <c r="H155" s="20"/>
      <c r="I155" s="20">
        <v>1</v>
      </c>
    </row>
    <row r="156" spans="1:9" x14ac:dyDescent="0.25">
      <c r="A156" s="16" t="s">
        <v>188</v>
      </c>
      <c r="B156" s="20"/>
      <c r="C156" s="20">
        <v>1</v>
      </c>
      <c r="D156" s="20"/>
      <c r="E156" s="20"/>
      <c r="F156" s="20"/>
      <c r="G156" s="20"/>
      <c r="H156" s="20"/>
      <c r="I156" s="20">
        <v>1</v>
      </c>
    </row>
    <row r="157" spans="1:9" x14ac:dyDescent="0.25">
      <c r="A157" s="16" t="s">
        <v>181</v>
      </c>
      <c r="B157" s="20"/>
      <c r="C157" s="20"/>
      <c r="D157" s="20"/>
      <c r="E157" s="20"/>
      <c r="F157" s="20"/>
      <c r="G157" s="20">
        <v>1</v>
      </c>
      <c r="H157" s="20"/>
      <c r="I157" s="20">
        <v>1</v>
      </c>
    </row>
    <row r="158" spans="1:9" x14ac:dyDescent="0.25">
      <c r="A158" s="16" t="s">
        <v>192</v>
      </c>
      <c r="B158" s="20">
        <v>1</v>
      </c>
      <c r="C158" s="20"/>
      <c r="D158" s="20"/>
      <c r="E158" s="20"/>
      <c r="F158" s="20"/>
      <c r="G158" s="20"/>
      <c r="H158" s="20"/>
      <c r="I158" s="20">
        <v>1</v>
      </c>
    </row>
    <row r="159" spans="1:9" x14ac:dyDescent="0.25">
      <c r="A159" s="16" t="s">
        <v>180</v>
      </c>
      <c r="B159" s="20"/>
      <c r="C159" s="20"/>
      <c r="D159" s="20"/>
      <c r="E159" s="20"/>
      <c r="F159" s="20"/>
      <c r="G159" s="20">
        <v>1</v>
      </c>
      <c r="H159" s="20"/>
      <c r="I159" s="20">
        <v>1</v>
      </c>
    </row>
    <row r="160" spans="1:9" x14ac:dyDescent="0.25">
      <c r="A160" s="16" t="s">
        <v>280</v>
      </c>
      <c r="B160" s="20"/>
      <c r="C160" s="20"/>
      <c r="D160" s="20"/>
      <c r="E160" s="20"/>
      <c r="F160" s="20"/>
      <c r="G160" s="20">
        <v>1</v>
      </c>
      <c r="H160" s="20"/>
      <c r="I160" s="20">
        <v>1</v>
      </c>
    </row>
    <row r="161" spans="1:9" x14ac:dyDescent="0.25">
      <c r="A161" s="16" t="s">
        <v>177</v>
      </c>
      <c r="B161" s="20"/>
      <c r="C161" s="20"/>
      <c r="D161" s="20"/>
      <c r="E161" s="20"/>
      <c r="F161" s="20"/>
      <c r="G161" s="20">
        <v>1</v>
      </c>
      <c r="H161" s="20"/>
      <c r="I161" s="20">
        <v>1</v>
      </c>
    </row>
    <row r="162" spans="1:9" x14ac:dyDescent="0.25">
      <c r="A162" s="16" t="s">
        <v>10</v>
      </c>
      <c r="B162" s="20">
        <v>170</v>
      </c>
      <c r="C162" s="20">
        <v>32</v>
      </c>
      <c r="D162" s="20">
        <v>43</v>
      </c>
      <c r="E162" s="20">
        <v>88</v>
      </c>
      <c r="F162" s="20">
        <v>10</v>
      </c>
      <c r="G162" s="20">
        <v>214</v>
      </c>
      <c r="H162" s="20">
        <v>4</v>
      </c>
      <c r="I162" s="20">
        <v>561</v>
      </c>
    </row>
    <row r="166" spans="1:9" x14ac:dyDescent="0.25">
      <c r="A166" s="6"/>
    </row>
    <row r="167" spans="1:9" x14ac:dyDescent="0.25">
      <c r="A167" s="6"/>
    </row>
    <row r="168" spans="1:9" x14ac:dyDescent="0.25">
      <c r="A168" s="6"/>
    </row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</sheetData>
  <mergeCells count="12">
    <mergeCell ref="A1:U1"/>
    <mergeCell ref="M3:U3"/>
    <mergeCell ref="A67:I67"/>
    <mergeCell ref="M120:N120"/>
    <mergeCell ref="A18:F18"/>
    <mergeCell ref="M41:R41"/>
    <mergeCell ref="A3:F3"/>
    <mergeCell ref="A16:E16"/>
    <mergeCell ref="P120:Q120"/>
    <mergeCell ref="A15:E15"/>
    <mergeCell ref="S120:T120"/>
    <mergeCell ref="S41:U41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452" width="9.140625" style="1" customWidth="1"/>
    <col min="453" max="16384" width="9.140625" style="1"/>
  </cols>
  <sheetData>
    <row r="1" spans="1:5" x14ac:dyDescent="0.2">
      <c r="A1" s="5" t="s">
        <v>193</v>
      </c>
      <c r="B1" s="5" t="s">
        <v>194</v>
      </c>
      <c r="C1" s="5" t="s">
        <v>195</v>
      </c>
      <c r="D1" s="5" t="s">
        <v>196</v>
      </c>
      <c r="E1" s="5" t="s">
        <v>197</v>
      </c>
    </row>
    <row r="2" spans="1:5" x14ac:dyDescent="0.2">
      <c r="A2" s="2">
        <f>Dashboard!F15</f>
        <v>168</v>
      </c>
      <c r="B2" s="5" t="s">
        <v>12</v>
      </c>
      <c r="C2" s="5">
        <f>IFERROR(GETPIVOTDATA("RESPONSÁVEL",Dashboard!$M$4,"OBTS","ARGO(TMS)"),0)</f>
        <v>162</v>
      </c>
      <c r="D2" s="9">
        <v>2488</v>
      </c>
      <c r="E2" s="4" t="e">
        <f t="shared" ref="E2:E8" si="0">C2/$C$9</f>
        <v>#REF!</v>
      </c>
    </row>
    <row r="3" spans="1:5" x14ac:dyDescent="0.2">
      <c r="B3" s="5" t="s">
        <v>13</v>
      </c>
      <c r="C3" s="5">
        <f>IFERROR(GETPIVOTDATA("RESPONSÁVEL",Dashboard!$M$4,"OBTS","GOVER"),0)</f>
        <v>32</v>
      </c>
      <c r="D3" s="9">
        <v>1935</v>
      </c>
      <c r="E3" s="4" t="e">
        <f t="shared" si="0"/>
        <v>#REF!</v>
      </c>
    </row>
    <row r="4" spans="1:5" x14ac:dyDescent="0.2">
      <c r="B4" s="5" t="s">
        <v>41</v>
      </c>
      <c r="C4" s="5">
        <f>IFERROR(GETPIVOTDATA("RESPONSÁVEL",Dashboard!$M$4,"OBTS","KONTRIP"),0)</f>
        <v>0</v>
      </c>
      <c r="D4" s="9">
        <v>457</v>
      </c>
      <c r="E4" s="4" t="e">
        <f t="shared" si="0"/>
        <v>#REF!</v>
      </c>
    </row>
    <row r="5" spans="1:5" x14ac:dyDescent="0.2">
      <c r="B5" s="5" t="s">
        <v>14</v>
      </c>
      <c r="C5" s="5">
        <f>IFERROR(GETPIVOTDATA("RESPONSÁVEL",Dashboard!$M$4,"OBTS","LEMONTECH"),0)</f>
        <v>88</v>
      </c>
      <c r="D5" s="9">
        <v>741</v>
      </c>
      <c r="E5" s="4" t="e">
        <f t="shared" si="0"/>
        <v>#REF!</v>
      </c>
    </row>
    <row r="6" spans="1:5" x14ac:dyDescent="0.2">
      <c r="B6" s="5" t="s">
        <v>15</v>
      </c>
      <c r="C6" s="5">
        <f>IFERROR(GETPIVOTDATA("RESPONSÁVEL",Dashboard!$M$4,"OBTS","MANUAL"),0)</f>
        <v>4</v>
      </c>
      <c r="D6" s="9">
        <v>330</v>
      </c>
      <c r="E6" s="4" t="e">
        <f t="shared" si="0"/>
        <v>#REF!</v>
      </c>
    </row>
    <row r="7" spans="1:5" x14ac:dyDescent="0.2">
      <c r="B7" s="5" t="s">
        <v>16</v>
      </c>
      <c r="C7" s="5">
        <f>IFERROR(GETPIVOTDATA("RESPONSÁVEL",Dashboard!$M$4,"OBTS","SABRE"),0)</f>
        <v>212</v>
      </c>
      <c r="D7" s="9">
        <v>637</v>
      </c>
      <c r="E7" s="4" t="e">
        <f t="shared" si="0"/>
        <v>#REF!</v>
      </c>
    </row>
    <row r="8" spans="1:5" x14ac:dyDescent="0.2">
      <c r="B8" s="5" t="s">
        <v>42</v>
      </c>
      <c r="C8" s="5" t="e">
        <f>GETPIVOTDATA("RESPONSÁVEL",Dashboard!$M$4,"OBTS","ZUPPER")</f>
        <v>#REF!</v>
      </c>
      <c r="D8" s="9">
        <v>3440</v>
      </c>
      <c r="E8" s="4" t="e">
        <f t="shared" si="0"/>
        <v>#REF!</v>
      </c>
    </row>
    <row r="9" spans="1:5" x14ac:dyDescent="0.2">
      <c r="B9" s="7" t="s">
        <v>10</v>
      </c>
      <c r="C9" s="7" t="e">
        <f>SUM(C2:C8)</f>
        <v>#REF!</v>
      </c>
      <c r="D9" s="3">
        <f>SUM(D2:D8)</f>
        <v>10028</v>
      </c>
      <c r="E9" s="8" t="e">
        <f>C9/D9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AQ562"/>
  <sheetViews>
    <sheetView zoomScaleNormal="100" workbookViewId="0">
      <pane ySplit="1" topLeftCell="A2" activePane="bottomLeft" state="frozen"/>
      <selection pane="bottomLeft" activeCell="E10" sqref="E10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5.7109375" style="6" bestFit="1" customWidth="1"/>
    <col min="9" max="9" width="11.85546875" style="6" bestFit="1" customWidth="1"/>
    <col min="10" max="10" width="34" style="6" customWidth="1"/>
    <col min="11" max="11" width="24" style="6" customWidth="1"/>
    <col min="12" max="12" width="24.5703125" style="12" customWidth="1"/>
    <col min="13" max="13" width="18.28515625" style="6" bestFit="1" customWidth="1"/>
    <col min="14" max="14" width="23.85546875" style="6" bestFit="1" customWidth="1"/>
    <col min="15" max="15" width="80.140625" style="6" bestFit="1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53" style="6" bestFit="1" customWidth="1"/>
    <col min="23" max="23" width="17.85546875" style="6" bestFit="1" customWidth="1"/>
    <col min="24" max="24" width="33.2851562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1" style="6" bestFit="1" customWidth="1"/>
    <col min="29" max="29" width="8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7" style="6" bestFit="1" customWidth="1"/>
    <col min="35" max="35" width="59.140625" style="6" bestFit="1" customWidth="1"/>
    <col min="36" max="36" width="132.42578125" style="6" bestFit="1" customWidth="1"/>
    <col min="37" max="37" width="11.85546875" style="6" bestFit="1" customWidth="1"/>
    <col min="38" max="38" width="37.42578125" style="6" bestFit="1" customWidth="1"/>
    <col min="39" max="39" width="31.5703125" style="6" bestFit="1" customWidth="1"/>
    <col min="40" max="40" width="28.140625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144" width="13.5703125" style="6" customWidth="1"/>
    <col min="145" max="16384" width="13.5703125" style="6"/>
  </cols>
  <sheetData>
    <row r="1" spans="1:43" x14ac:dyDescent="0.25">
      <c r="A1" s="43" t="s">
        <v>198</v>
      </c>
      <c r="B1" s="44" t="s">
        <v>199</v>
      </c>
      <c r="C1" s="44" t="s">
        <v>200</v>
      </c>
      <c r="D1" s="44" t="s">
        <v>201</v>
      </c>
      <c r="E1" s="44" t="s">
        <v>202</v>
      </c>
      <c r="F1" s="45" t="s">
        <v>6</v>
      </c>
      <c r="G1" s="45" t="s">
        <v>203</v>
      </c>
      <c r="H1" s="44" t="s">
        <v>204</v>
      </c>
      <c r="I1" s="44" t="s">
        <v>205</v>
      </c>
      <c r="J1" s="44" t="s">
        <v>206</v>
      </c>
      <c r="K1" s="44" t="s">
        <v>207</v>
      </c>
      <c r="L1" s="44" t="s">
        <v>208</v>
      </c>
      <c r="M1" s="44" t="s">
        <v>209</v>
      </c>
      <c r="N1" s="44" t="s">
        <v>210</v>
      </c>
      <c r="O1" s="44" t="s">
        <v>211</v>
      </c>
      <c r="P1" s="44" t="s">
        <v>212</v>
      </c>
      <c r="Q1" s="44" t="s">
        <v>213</v>
      </c>
      <c r="R1" s="44" t="s">
        <v>214</v>
      </c>
      <c r="S1" s="44" t="s">
        <v>3</v>
      </c>
      <c r="T1" s="44" t="s">
        <v>215</v>
      </c>
      <c r="U1" s="44" t="s">
        <v>216</v>
      </c>
      <c r="V1" s="44" t="s">
        <v>217</v>
      </c>
      <c r="W1" s="44" t="s">
        <v>218</v>
      </c>
      <c r="X1" s="44" t="s">
        <v>219</v>
      </c>
      <c r="Y1" s="44" t="s">
        <v>220</v>
      </c>
      <c r="Z1" s="44" t="s">
        <v>221</v>
      </c>
      <c r="AA1" s="44" t="s">
        <v>222</v>
      </c>
      <c r="AB1" s="44" t="s">
        <v>150</v>
      </c>
      <c r="AC1" s="44" t="s">
        <v>223</v>
      </c>
      <c r="AD1" s="44" t="s">
        <v>224</v>
      </c>
      <c r="AE1" s="44" t="s">
        <v>225</v>
      </c>
      <c r="AF1" s="44" t="s">
        <v>226</v>
      </c>
      <c r="AG1" s="44" t="s">
        <v>227</v>
      </c>
      <c r="AH1" s="44" t="s">
        <v>228</v>
      </c>
      <c r="AI1" s="44" t="s">
        <v>229</v>
      </c>
      <c r="AJ1" s="44" t="s">
        <v>230</v>
      </c>
      <c r="AK1" s="45" t="s">
        <v>194</v>
      </c>
      <c r="AL1" s="45" t="s">
        <v>231</v>
      </c>
      <c r="AM1" s="45" t="s">
        <v>232</v>
      </c>
      <c r="AN1" s="45" t="s">
        <v>233</v>
      </c>
      <c r="AO1" s="45" t="s">
        <v>234</v>
      </c>
      <c r="AP1" s="45" t="s">
        <v>235</v>
      </c>
      <c r="AQ1" s="45" t="s">
        <v>236</v>
      </c>
    </row>
    <row r="2" spans="1:43" x14ac:dyDescent="0.25">
      <c r="A2" s="6">
        <v>22730874</v>
      </c>
      <c r="B2" s="6">
        <v>23528364</v>
      </c>
      <c r="C2" s="6" t="s">
        <v>237</v>
      </c>
      <c r="D2" s="14">
        <v>45881.680613425917</v>
      </c>
      <c r="E2" s="14">
        <v>45881.687893518523</v>
      </c>
      <c r="F2" s="6" t="s">
        <v>17</v>
      </c>
      <c r="G2" s="6" t="s">
        <v>17</v>
      </c>
      <c r="H2" s="6" t="s">
        <v>238</v>
      </c>
      <c r="I2" s="6" t="s">
        <v>16</v>
      </c>
      <c r="J2" s="6" t="s">
        <v>239</v>
      </c>
      <c r="K2" s="6" t="s">
        <v>240</v>
      </c>
      <c r="L2" s="6" t="s">
        <v>241</v>
      </c>
      <c r="M2" s="14">
        <v>45881</v>
      </c>
      <c r="N2" s="6" t="s">
        <v>238</v>
      </c>
      <c r="O2" s="6" t="s">
        <v>83</v>
      </c>
      <c r="P2" s="6" t="s">
        <v>242</v>
      </c>
      <c r="Q2" s="6" t="s">
        <v>243</v>
      </c>
      <c r="R2" s="6" t="s">
        <v>244</v>
      </c>
      <c r="S2" s="6" t="s">
        <v>7</v>
      </c>
      <c r="T2" s="6" t="s">
        <v>245</v>
      </c>
      <c r="U2" s="6" t="s">
        <v>186</v>
      </c>
      <c r="V2" s="6" t="s">
        <v>246</v>
      </c>
      <c r="W2" s="6" t="s">
        <v>83</v>
      </c>
      <c r="X2" s="6" t="s">
        <v>247</v>
      </c>
      <c r="Y2" s="6">
        <v>2952815408</v>
      </c>
      <c r="Z2" s="6" t="s">
        <v>83</v>
      </c>
      <c r="AA2" s="6" t="s">
        <v>83</v>
      </c>
      <c r="AB2" s="6">
        <v>482.71</v>
      </c>
      <c r="AC2" s="6">
        <v>139.9</v>
      </c>
      <c r="AD2" s="6">
        <v>416.15</v>
      </c>
      <c r="AE2" s="6">
        <v>0</v>
      </c>
      <c r="AF2" s="6">
        <v>139.9</v>
      </c>
      <c r="AG2" s="6">
        <v>0</v>
      </c>
      <c r="AH2" s="6">
        <v>0</v>
      </c>
      <c r="AI2" s="6" t="s">
        <v>248</v>
      </c>
      <c r="AJ2" s="6" t="s">
        <v>249</v>
      </c>
      <c r="AK2" s="6" t="s">
        <v>16</v>
      </c>
      <c r="AL2" s="6" t="s">
        <v>58</v>
      </c>
      <c r="AM2" s="6" t="s">
        <v>74</v>
      </c>
      <c r="AN2" s="6" t="s">
        <v>20</v>
      </c>
      <c r="AO2" s="6" t="s">
        <v>250</v>
      </c>
      <c r="AP2" s="6" t="s">
        <v>251</v>
      </c>
      <c r="AQ2" s="6" t="s">
        <v>94</v>
      </c>
    </row>
    <row r="3" spans="1:43" x14ac:dyDescent="0.25">
      <c r="A3" s="6">
        <v>22725410</v>
      </c>
      <c r="B3" s="6">
        <v>23523637</v>
      </c>
      <c r="C3" s="6" t="s">
        <v>237</v>
      </c>
      <c r="D3" s="14">
        <v>45880.797164351847</v>
      </c>
      <c r="E3" s="14">
        <v>45880.84107638889</v>
      </c>
      <c r="F3" s="6" t="s">
        <v>17</v>
      </c>
      <c r="G3" s="6" t="s">
        <v>17</v>
      </c>
      <c r="H3" s="6" t="s">
        <v>252</v>
      </c>
      <c r="I3" s="6" t="s">
        <v>253</v>
      </c>
      <c r="J3" s="6" t="s">
        <v>254</v>
      </c>
      <c r="K3" s="6" t="s">
        <v>255</v>
      </c>
      <c r="L3" s="6" t="s">
        <v>255</v>
      </c>
      <c r="M3" s="14">
        <v>45880.620138888888</v>
      </c>
      <c r="N3" s="6">
        <v>76405</v>
      </c>
      <c r="O3" s="6" t="s">
        <v>83</v>
      </c>
      <c r="P3" s="6" t="s">
        <v>242</v>
      </c>
      <c r="Q3" s="6" t="s">
        <v>256</v>
      </c>
      <c r="R3" s="6" t="s">
        <v>256</v>
      </c>
      <c r="S3" s="6" t="s">
        <v>9</v>
      </c>
      <c r="T3" s="6" t="s">
        <v>245</v>
      </c>
      <c r="U3" s="6" t="s">
        <v>127</v>
      </c>
      <c r="V3" s="6" t="s">
        <v>257</v>
      </c>
      <c r="W3" s="6" t="s">
        <v>83</v>
      </c>
      <c r="X3" s="6" t="s">
        <v>83</v>
      </c>
      <c r="Y3" s="6" t="s">
        <v>83</v>
      </c>
      <c r="Z3" s="6" t="s">
        <v>83</v>
      </c>
      <c r="AA3" s="6" t="s">
        <v>83</v>
      </c>
      <c r="AB3" s="6">
        <v>189.75</v>
      </c>
      <c r="AC3" s="6">
        <v>0</v>
      </c>
      <c r="AD3" s="6">
        <v>0</v>
      </c>
      <c r="AE3" s="6">
        <v>0</v>
      </c>
      <c r="AF3" s="6">
        <v>0</v>
      </c>
      <c r="AG3" s="6">
        <v>7.59</v>
      </c>
      <c r="AH3" s="6">
        <v>0</v>
      </c>
      <c r="AI3" s="6" t="s">
        <v>258</v>
      </c>
      <c r="AJ3" s="6" t="s">
        <v>259</v>
      </c>
      <c r="AK3" s="6" t="s">
        <v>12</v>
      </c>
      <c r="AL3" s="6" t="s">
        <v>50</v>
      </c>
      <c r="AM3" s="6" t="s">
        <v>260</v>
      </c>
      <c r="AN3" s="6" t="s">
        <v>20</v>
      </c>
      <c r="AO3" s="6" t="s">
        <v>261</v>
      </c>
      <c r="AP3" s="6" t="s">
        <v>262</v>
      </c>
      <c r="AQ3" s="6" t="s">
        <v>30</v>
      </c>
    </row>
    <row r="4" spans="1:43" x14ac:dyDescent="0.25">
      <c r="A4" s="6">
        <v>22729732</v>
      </c>
      <c r="B4" s="6">
        <v>23527275</v>
      </c>
      <c r="C4" s="6" t="s">
        <v>237</v>
      </c>
      <c r="D4" s="14">
        <v>45881.525000000001</v>
      </c>
      <c r="E4" s="14">
        <v>45881.559374999997</v>
      </c>
      <c r="F4" s="6" t="s">
        <v>17</v>
      </c>
      <c r="G4" s="6" t="s">
        <v>17</v>
      </c>
      <c r="H4" s="6" t="s">
        <v>263</v>
      </c>
      <c r="I4" s="6" t="s">
        <v>253</v>
      </c>
      <c r="J4" s="6" t="s">
        <v>264</v>
      </c>
      <c r="K4" s="6" t="s">
        <v>255</v>
      </c>
      <c r="L4" s="6" t="s">
        <v>255</v>
      </c>
      <c r="M4" s="14">
        <v>45881.424305555563</v>
      </c>
      <c r="N4" s="6">
        <v>76929</v>
      </c>
      <c r="O4" s="6" t="s">
        <v>83</v>
      </c>
      <c r="P4" s="6" t="s">
        <v>242</v>
      </c>
      <c r="Q4" s="6" t="s">
        <v>256</v>
      </c>
      <c r="R4" s="6" t="s">
        <v>256</v>
      </c>
      <c r="S4" s="6" t="s">
        <v>9</v>
      </c>
      <c r="T4" s="6" t="s">
        <v>245</v>
      </c>
      <c r="U4" s="6" t="s">
        <v>127</v>
      </c>
      <c r="V4" s="6" t="s">
        <v>257</v>
      </c>
      <c r="W4" s="6" t="s">
        <v>83</v>
      </c>
      <c r="X4" s="6" t="s">
        <v>83</v>
      </c>
      <c r="Y4" s="6" t="s">
        <v>83</v>
      </c>
      <c r="Z4" s="6" t="s">
        <v>83</v>
      </c>
      <c r="AA4" s="6" t="s">
        <v>83</v>
      </c>
      <c r="AB4" s="6">
        <v>253.27</v>
      </c>
      <c r="AC4" s="6">
        <v>0</v>
      </c>
      <c r="AD4" s="6">
        <v>0</v>
      </c>
      <c r="AE4" s="6">
        <v>0</v>
      </c>
      <c r="AF4" s="6">
        <v>0</v>
      </c>
      <c r="AG4" s="6">
        <v>10.130000000000001</v>
      </c>
      <c r="AH4" s="6">
        <v>0</v>
      </c>
      <c r="AI4" s="6" t="s">
        <v>265</v>
      </c>
      <c r="AJ4" s="6" t="s">
        <v>259</v>
      </c>
      <c r="AK4" s="6" t="s">
        <v>12</v>
      </c>
      <c r="AL4" s="6" t="s">
        <v>50</v>
      </c>
      <c r="AM4" s="6" t="s">
        <v>260</v>
      </c>
      <c r="AN4" s="6" t="s">
        <v>20</v>
      </c>
      <c r="AO4" s="6" t="s">
        <v>261</v>
      </c>
      <c r="AP4" s="6" t="s">
        <v>262</v>
      </c>
      <c r="AQ4" s="6" t="s">
        <v>30</v>
      </c>
    </row>
    <row r="5" spans="1:43" x14ac:dyDescent="0.25">
      <c r="A5" s="6">
        <v>22729737</v>
      </c>
      <c r="B5" s="6">
        <v>23527279</v>
      </c>
      <c r="C5" s="6" t="s">
        <v>237</v>
      </c>
      <c r="D5" s="14">
        <v>45881.525138888886</v>
      </c>
      <c r="E5" s="14">
        <v>45881.559374999997</v>
      </c>
      <c r="F5" s="6" t="s">
        <v>17</v>
      </c>
      <c r="G5" s="6" t="s">
        <v>17</v>
      </c>
      <c r="H5" s="6" t="s">
        <v>266</v>
      </c>
      <c r="I5" s="6" t="s">
        <v>253</v>
      </c>
      <c r="J5" s="6" t="s">
        <v>267</v>
      </c>
      <c r="K5" s="6" t="s">
        <v>255</v>
      </c>
      <c r="L5" s="6" t="s">
        <v>255</v>
      </c>
      <c r="M5" s="14">
        <v>45881.421527777777</v>
      </c>
      <c r="N5" s="6">
        <v>76921</v>
      </c>
      <c r="O5" s="6" t="s">
        <v>83</v>
      </c>
      <c r="P5" s="6" t="s">
        <v>242</v>
      </c>
      <c r="Q5" s="6" t="s">
        <v>256</v>
      </c>
      <c r="R5" s="6" t="s">
        <v>256</v>
      </c>
      <c r="S5" s="6" t="s">
        <v>9</v>
      </c>
      <c r="T5" s="6" t="s">
        <v>245</v>
      </c>
      <c r="U5" s="6" t="s">
        <v>127</v>
      </c>
      <c r="V5" s="6" t="s">
        <v>257</v>
      </c>
      <c r="W5" s="6" t="s">
        <v>83</v>
      </c>
      <c r="X5" s="6" t="s">
        <v>83</v>
      </c>
      <c r="Y5" s="6" t="s">
        <v>83</v>
      </c>
      <c r="Z5" s="6" t="s">
        <v>83</v>
      </c>
      <c r="AA5" s="6" t="s">
        <v>83</v>
      </c>
      <c r="AB5" s="6">
        <v>227.95</v>
      </c>
      <c r="AC5" s="6">
        <v>0</v>
      </c>
      <c r="AD5" s="6">
        <v>0</v>
      </c>
      <c r="AE5" s="6">
        <v>0</v>
      </c>
      <c r="AF5" s="6">
        <v>0</v>
      </c>
      <c r="AG5" s="6">
        <v>9.1199999999999992</v>
      </c>
      <c r="AH5" s="6">
        <v>0</v>
      </c>
      <c r="AI5" s="6" t="s">
        <v>268</v>
      </c>
      <c r="AJ5" s="6" t="s">
        <v>259</v>
      </c>
      <c r="AK5" s="6" t="s">
        <v>12</v>
      </c>
      <c r="AL5" s="6" t="s">
        <v>50</v>
      </c>
      <c r="AM5" s="6" t="s">
        <v>260</v>
      </c>
      <c r="AN5" s="6" t="s">
        <v>20</v>
      </c>
      <c r="AO5" s="6" t="s">
        <v>261</v>
      </c>
      <c r="AP5" s="6" t="s">
        <v>262</v>
      </c>
      <c r="AQ5" s="6" t="s">
        <v>30</v>
      </c>
    </row>
    <row r="6" spans="1:43" x14ac:dyDescent="0.25">
      <c r="A6" s="6">
        <v>22729635</v>
      </c>
      <c r="B6" s="6">
        <v>23527179</v>
      </c>
      <c r="C6" s="6" t="s">
        <v>237</v>
      </c>
      <c r="D6" s="14">
        <v>45881.520381944443</v>
      </c>
      <c r="E6" s="14">
        <v>45882.257187499999</v>
      </c>
      <c r="F6" s="6" t="s">
        <v>17</v>
      </c>
      <c r="G6" s="6" t="s">
        <v>17</v>
      </c>
      <c r="H6" s="6" t="s">
        <v>269</v>
      </c>
      <c r="I6" s="6" t="s">
        <v>253</v>
      </c>
      <c r="J6" s="6" t="s">
        <v>270</v>
      </c>
      <c r="K6" s="6" t="s">
        <v>271</v>
      </c>
      <c r="L6" s="6" t="s">
        <v>271</v>
      </c>
      <c r="M6" s="14">
        <v>45881.388194444437</v>
      </c>
      <c r="N6" s="6">
        <v>75831</v>
      </c>
      <c r="O6" s="6" t="s">
        <v>83</v>
      </c>
      <c r="P6" s="6" t="s">
        <v>272</v>
      </c>
      <c r="Q6" s="6" t="s">
        <v>243</v>
      </c>
      <c r="R6" s="6" t="s">
        <v>244</v>
      </c>
      <c r="S6" s="6" t="s">
        <v>3</v>
      </c>
      <c r="T6" s="6" t="s">
        <v>245</v>
      </c>
      <c r="U6" s="6" t="s">
        <v>130</v>
      </c>
      <c r="V6" s="6" t="s">
        <v>273</v>
      </c>
      <c r="W6" s="6" t="s">
        <v>83</v>
      </c>
      <c r="X6" s="6" t="s">
        <v>83</v>
      </c>
      <c r="Y6" s="6" t="s">
        <v>83</v>
      </c>
      <c r="Z6" s="6" t="s">
        <v>83</v>
      </c>
      <c r="AA6" s="6" t="s">
        <v>83</v>
      </c>
      <c r="AB6" s="6">
        <v>182.79</v>
      </c>
      <c r="AC6" s="6">
        <v>9.9499999999999993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 t="s">
        <v>274</v>
      </c>
      <c r="AJ6" s="6" t="s">
        <v>259</v>
      </c>
      <c r="AK6" s="6" t="s">
        <v>12</v>
      </c>
      <c r="AL6" s="6" t="s">
        <v>50</v>
      </c>
      <c r="AM6" s="6" t="s">
        <v>260</v>
      </c>
      <c r="AN6" s="6" t="s">
        <v>20</v>
      </c>
      <c r="AO6" s="6" t="s">
        <v>250</v>
      </c>
      <c r="AP6" s="6" t="s">
        <v>251</v>
      </c>
      <c r="AQ6" s="6" t="s">
        <v>18</v>
      </c>
    </row>
    <row r="7" spans="1:43" x14ac:dyDescent="0.25">
      <c r="A7" s="6">
        <v>22734794</v>
      </c>
      <c r="B7" s="6">
        <v>23531755</v>
      </c>
      <c r="C7" s="6" t="s">
        <v>237</v>
      </c>
      <c r="D7" s="14">
        <v>45882.253541666672</v>
      </c>
      <c r="E7" s="14">
        <v>45882.260798611111</v>
      </c>
      <c r="F7" s="6" t="s">
        <v>17</v>
      </c>
      <c r="G7" s="6" t="s">
        <v>17</v>
      </c>
      <c r="H7" s="6" t="s">
        <v>275</v>
      </c>
      <c r="I7" s="6" t="s">
        <v>253</v>
      </c>
      <c r="J7" s="6" t="s">
        <v>270</v>
      </c>
      <c r="K7" s="6" t="s">
        <v>255</v>
      </c>
      <c r="L7" s="6" t="s">
        <v>255</v>
      </c>
      <c r="M7" s="14">
        <v>45881.370138888888</v>
      </c>
      <c r="N7" s="6">
        <v>75902</v>
      </c>
      <c r="O7" s="6" t="s">
        <v>83</v>
      </c>
      <c r="P7" s="6" t="s">
        <v>272</v>
      </c>
      <c r="Q7" s="6" t="s">
        <v>243</v>
      </c>
      <c r="R7" s="6" t="s">
        <v>244</v>
      </c>
      <c r="S7" s="6" t="s">
        <v>3</v>
      </c>
      <c r="T7" s="6" t="s">
        <v>245</v>
      </c>
      <c r="U7" s="6" t="s">
        <v>130</v>
      </c>
      <c r="V7" s="6" t="s">
        <v>273</v>
      </c>
      <c r="W7" s="6" t="s">
        <v>83</v>
      </c>
      <c r="X7" s="6" t="s">
        <v>83</v>
      </c>
      <c r="Y7" s="6" t="s">
        <v>83</v>
      </c>
      <c r="Z7" s="6" t="s">
        <v>83</v>
      </c>
      <c r="AA7" s="6" t="s">
        <v>83</v>
      </c>
      <c r="AB7" s="6">
        <v>44.4</v>
      </c>
      <c r="AC7" s="6">
        <v>7.1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 t="s">
        <v>276</v>
      </c>
      <c r="AJ7" s="6" t="s">
        <v>259</v>
      </c>
      <c r="AK7" s="6" t="s">
        <v>12</v>
      </c>
      <c r="AL7" s="6" t="s">
        <v>50</v>
      </c>
      <c r="AM7" s="6" t="s">
        <v>260</v>
      </c>
      <c r="AN7" s="6" t="s">
        <v>20</v>
      </c>
      <c r="AO7" s="6" t="s">
        <v>250</v>
      </c>
      <c r="AP7" s="6" t="s">
        <v>251</v>
      </c>
      <c r="AQ7" s="6" t="s">
        <v>18</v>
      </c>
    </row>
    <row r="8" spans="1:43" x14ac:dyDescent="0.25">
      <c r="A8" s="6">
        <v>22730897</v>
      </c>
      <c r="B8" s="6">
        <v>23528406</v>
      </c>
      <c r="C8" s="6" t="s">
        <v>237</v>
      </c>
      <c r="D8" s="14">
        <v>45881.682523148149</v>
      </c>
      <c r="E8" s="14">
        <v>45881.688032407408</v>
      </c>
      <c r="F8" s="6" t="s">
        <v>17</v>
      </c>
      <c r="G8" s="6" t="s">
        <v>17</v>
      </c>
      <c r="H8" s="6" t="s">
        <v>277</v>
      </c>
      <c r="I8" s="6" t="s">
        <v>16</v>
      </c>
      <c r="J8" s="6" t="s">
        <v>278</v>
      </c>
      <c r="K8" s="6" t="s">
        <v>279</v>
      </c>
      <c r="L8" s="6" t="s">
        <v>241</v>
      </c>
      <c r="M8" s="14">
        <v>45881</v>
      </c>
      <c r="N8" s="6" t="s">
        <v>277</v>
      </c>
      <c r="O8" s="6" t="s">
        <v>83</v>
      </c>
      <c r="P8" s="6" t="s">
        <v>242</v>
      </c>
      <c r="Q8" s="6" t="s">
        <v>256</v>
      </c>
      <c r="R8" s="6" t="s">
        <v>256</v>
      </c>
      <c r="S8" s="6" t="s">
        <v>7</v>
      </c>
      <c r="T8" s="6" t="s">
        <v>245</v>
      </c>
      <c r="U8" s="6" t="s">
        <v>280</v>
      </c>
      <c r="V8" s="6" t="s">
        <v>281</v>
      </c>
      <c r="W8" s="6" t="s">
        <v>83</v>
      </c>
      <c r="X8" s="6" t="s">
        <v>282</v>
      </c>
      <c r="Y8" s="6">
        <v>2952820366</v>
      </c>
      <c r="Z8" s="6" t="s">
        <v>83</v>
      </c>
      <c r="AA8" s="6" t="s">
        <v>83</v>
      </c>
      <c r="AB8" s="6">
        <v>1590.61</v>
      </c>
      <c r="AC8" s="6">
        <v>59.54</v>
      </c>
      <c r="AD8" s="6">
        <v>527.49</v>
      </c>
      <c r="AE8" s="6">
        <v>0</v>
      </c>
      <c r="AF8" s="6">
        <v>59.54</v>
      </c>
      <c r="AG8" s="6">
        <v>0</v>
      </c>
      <c r="AH8" s="6">
        <v>0</v>
      </c>
      <c r="AI8" s="6" t="s">
        <v>248</v>
      </c>
      <c r="AJ8" s="6" t="s">
        <v>283</v>
      </c>
      <c r="AK8" s="6" t="s">
        <v>16</v>
      </c>
      <c r="AL8" s="6" t="s">
        <v>58</v>
      </c>
      <c r="AM8" s="6" t="s">
        <v>74</v>
      </c>
      <c r="AN8" s="6" t="s">
        <v>20</v>
      </c>
      <c r="AO8" s="6" t="s">
        <v>250</v>
      </c>
      <c r="AP8" s="6" t="s">
        <v>251</v>
      </c>
      <c r="AQ8" s="6" t="s">
        <v>94</v>
      </c>
    </row>
    <row r="9" spans="1:43" x14ac:dyDescent="0.25">
      <c r="A9" s="6">
        <v>22682882</v>
      </c>
      <c r="B9" s="6">
        <v>23487228</v>
      </c>
      <c r="C9" s="6" t="s">
        <v>237</v>
      </c>
      <c r="D9" s="14">
        <v>45874.003252314818</v>
      </c>
      <c r="E9" s="14">
        <v>45874.010682870372</v>
      </c>
      <c r="F9" s="6" t="s">
        <v>21</v>
      </c>
      <c r="G9" s="6" t="s">
        <v>21</v>
      </c>
      <c r="H9" s="6" t="s">
        <v>284</v>
      </c>
      <c r="I9" s="6" t="s">
        <v>253</v>
      </c>
      <c r="J9" s="6" t="s">
        <v>285</v>
      </c>
      <c r="K9" s="6" t="s">
        <v>286</v>
      </c>
      <c r="L9" s="6" t="s">
        <v>286</v>
      </c>
      <c r="M9" s="14">
        <v>45873.794444444437</v>
      </c>
      <c r="N9" s="6">
        <v>276</v>
      </c>
      <c r="O9" s="6" t="s">
        <v>83</v>
      </c>
      <c r="P9" s="6" t="s">
        <v>272</v>
      </c>
      <c r="Q9" s="6" t="s">
        <v>243</v>
      </c>
      <c r="R9" s="6" t="s">
        <v>244</v>
      </c>
      <c r="S9" s="6" t="s">
        <v>9</v>
      </c>
      <c r="T9" s="6" t="s">
        <v>245</v>
      </c>
      <c r="U9" s="6" t="s">
        <v>137</v>
      </c>
      <c r="V9" s="6" t="s">
        <v>287</v>
      </c>
      <c r="W9" s="6" t="s">
        <v>83</v>
      </c>
      <c r="X9" s="6" t="s">
        <v>83</v>
      </c>
      <c r="Y9" s="6" t="s">
        <v>83</v>
      </c>
      <c r="Z9" s="6" t="s">
        <v>83</v>
      </c>
      <c r="AA9" s="6" t="s">
        <v>83</v>
      </c>
      <c r="AB9" s="6">
        <v>415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 t="s">
        <v>288</v>
      </c>
      <c r="AJ9" s="6" t="s">
        <v>259</v>
      </c>
      <c r="AK9" s="6" t="s">
        <v>12</v>
      </c>
      <c r="AL9" s="6" t="s">
        <v>50</v>
      </c>
      <c r="AM9" s="6" t="s">
        <v>260</v>
      </c>
      <c r="AN9" s="6" t="s">
        <v>20</v>
      </c>
      <c r="AO9" s="6" t="s">
        <v>250</v>
      </c>
      <c r="AP9" s="6" t="s">
        <v>251</v>
      </c>
      <c r="AQ9" s="6" t="s">
        <v>18</v>
      </c>
    </row>
    <row r="10" spans="1:43" x14ac:dyDescent="0.25">
      <c r="A10" s="6">
        <v>22726978</v>
      </c>
      <c r="B10" s="6">
        <v>23525054</v>
      </c>
      <c r="C10" s="6" t="s">
        <v>237</v>
      </c>
      <c r="D10" s="14">
        <v>45881.010231481479</v>
      </c>
      <c r="E10" s="14">
        <v>45882.257187499999</v>
      </c>
      <c r="F10" s="6" t="s">
        <v>17</v>
      </c>
      <c r="G10" s="6" t="s">
        <v>17</v>
      </c>
      <c r="H10" s="6" t="s">
        <v>289</v>
      </c>
      <c r="I10" s="6" t="s">
        <v>253</v>
      </c>
      <c r="J10" s="6" t="s">
        <v>290</v>
      </c>
      <c r="K10" s="6" t="s">
        <v>255</v>
      </c>
      <c r="L10" s="6" t="s">
        <v>255</v>
      </c>
      <c r="M10" s="14">
        <v>45880.548611111109</v>
      </c>
      <c r="N10" s="6">
        <v>75640</v>
      </c>
      <c r="O10" s="6" t="s">
        <v>83</v>
      </c>
      <c r="P10" s="6" t="s">
        <v>272</v>
      </c>
      <c r="Q10" s="6" t="s">
        <v>243</v>
      </c>
      <c r="R10" s="6" t="s">
        <v>244</v>
      </c>
      <c r="S10" s="6" t="s">
        <v>3</v>
      </c>
      <c r="T10" s="6" t="s">
        <v>245</v>
      </c>
      <c r="U10" s="6" t="s">
        <v>130</v>
      </c>
      <c r="V10" s="6" t="s">
        <v>273</v>
      </c>
      <c r="W10" s="6" t="s">
        <v>83</v>
      </c>
      <c r="X10" s="6" t="s">
        <v>83</v>
      </c>
      <c r="Y10" s="6" t="s">
        <v>83</v>
      </c>
      <c r="Z10" s="6" t="s">
        <v>83</v>
      </c>
      <c r="AA10" s="6" t="s">
        <v>83</v>
      </c>
      <c r="AB10" s="6">
        <v>44.4</v>
      </c>
      <c r="AC10" s="6">
        <v>7.1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 t="s">
        <v>291</v>
      </c>
      <c r="AJ10" s="6" t="s">
        <v>259</v>
      </c>
      <c r="AK10" s="6" t="s">
        <v>12</v>
      </c>
      <c r="AL10" s="6" t="s">
        <v>50</v>
      </c>
      <c r="AM10" s="6" t="s">
        <v>260</v>
      </c>
      <c r="AN10" s="6" t="s">
        <v>20</v>
      </c>
      <c r="AO10" s="6" t="s">
        <v>250</v>
      </c>
      <c r="AP10" s="6" t="s">
        <v>251</v>
      </c>
      <c r="AQ10" s="6" t="s">
        <v>18</v>
      </c>
    </row>
    <row r="11" spans="1:43" x14ac:dyDescent="0.25">
      <c r="A11" s="6">
        <v>22728403</v>
      </c>
      <c r="B11" s="6">
        <v>23526021</v>
      </c>
      <c r="C11" s="6" t="s">
        <v>292</v>
      </c>
      <c r="D11" s="14">
        <v>45881.405682870369</v>
      </c>
      <c r="E11" s="14">
        <v>45881.414409722223</v>
      </c>
      <c r="F11" s="6" t="s">
        <v>17</v>
      </c>
      <c r="G11" s="6" t="s">
        <v>17</v>
      </c>
      <c r="H11" s="6" t="s">
        <v>293</v>
      </c>
      <c r="I11" s="6" t="s">
        <v>15</v>
      </c>
      <c r="J11" s="6" t="s">
        <v>294</v>
      </c>
      <c r="K11" s="6" t="s">
        <v>295</v>
      </c>
      <c r="L11" s="6" t="s">
        <v>295</v>
      </c>
      <c r="M11" s="14">
        <v>45881.405555555553</v>
      </c>
      <c r="N11" s="6" t="s">
        <v>83</v>
      </c>
      <c r="O11" s="6" t="s">
        <v>83</v>
      </c>
      <c r="P11" s="6" t="s">
        <v>272</v>
      </c>
      <c r="Q11" s="6" t="s">
        <v>256</v>
      </c>
      <c r="R11" s="6" t="s">
        <v>256</v>
      </c>
      <c r="S11" s="6" t="s">
        <v>7</v>
      </c>
      <c r="T11" s="6" t="s">
        <v>245</v>
      </c>
      <c r="U11" s="6" t="s">
        <v>296</v>
      </c>
      <c r="V11" s="6" t="s">
        <v>297</v>
      </c>
      <c r="W11" s="6" t="s">
        <v>83</v>
      </c>
      <c r="X11" s="6" t="s">
        <v>247</v>
      </c>
      <c r="Y11" s="6">
        <v>2952818682</v>
      </c>
      <c r="Z11" s="6" t="s">
        <v>91</v>
      </c>
      <c r="AA11" s="6">
        <v>169348</v>
      </c>
      <c r="AB11" s="6">
        <v>3472.02</v>
      </c>
      <c r="AC11" s="6">
        <v>81.08</v>
      </c>
      <c r="AD11" s="6">
        <v>0</v>
      </c>
      <c r="AE11" s="6">
        <v>347.2</v>
      </c>
      <c r="AF11" s="6">
        <v>0</v>
      </c>
      <c r="AG11" s="6">
        <v>0</v>
      </c>
      <c r="AH11" s="6">
        <v>54.72</v>
      </c>
      <c r="AI11" s="6" t="s">
        <v>83</v>
      </c>
      <c r="AJ11" s="6" t="s">
        <v>298</v>
      </c>
      <c r="AK11" s="6" t="s">
        <v>15</v>
      </c>
      <c r="AL11" s="6" t="s">
        <v>74</v>
      </c>
      <c r="AM11" s="6" t="s">
        <v>299</v>
      </c>
      <c r="AN11" s="6" t="s">
        <v>45</v>
      </c>
      <c r="AO11" s="6" t="s">
        <v>250</v>
      </c>
      <c r="AP11" s="6" t="s">
        <v>91</v>
      </c>
      <c r="AQ11" s="6" t="s">
        <v>91</v>
      </c>
    </row>
    <row r="12" spans="1:43" x14ac:dyDescent="0.25">
      <c r="A12" s="6">
        <v>22730377</v>
      </c>
      <c r="B12" s="6">
        <v>23527875</v>
      </c>
      <c r="C12" s="6" t="s">
        <v>237</v>
      </c>
      <c r="D12" s="14">
        <v>45881.610578703701</v>
      </c>
      <c r="E12" s="14">
        <v>45881.611157407409</v>
      </c>
      <c r="F12" s="6" t="s">
        <v>17</v>
      </c>
      <c r="G12" s="6" t="s">
        <v>17</v>
      </c>
      <c r="H12" s="6" t="s">
        <v>300</v>
      </c>
      <c r="I12" s="6" t="s">
        <v>301</v>
      </c>
      <c r="J12" s="6" t="s">
        <v>302</v>
      </c>
      <c r="K12" s="6" t="s">
        <v>303</v>
      </c>
      <c r="L12" s="6" t="s">
        <v>303</v>
      </c>
      <c r="M12" s="14">
        <v>45881.609722222223</v>
      </c>
      <c r="N12" s="6">
        <v>6807340</v>
      </c>
      <c r="O12" s="6" t="s">
        <v>83</v>
      </c>
      <c r="P12" s="6" t="s">
        <v>272</v>
      </c>
      <c r="Q12" s="6" t="s">
        <v>243</v>
      </c>
      <c r="R12" s="6" t="s">
        <v>304</v>
      </c>
      <c r="S12" s="6" t="s">
        <v>7</v>
      </c>
      <c r="T12" s="6" t="s">
        <v>245</v>
      </c>
      <c r="U12" s="6" t="s">
        <v>139</v>
      </c>
      <c r="V12" s="6" t="s">
        <v>305</v>
      </c>
      <c r="W12" s="6" t="s">
        <v>83</v>
      </c>
      <c r="X12" s="6" t="s">
        <v>306</v>
      </c>
      <c r="Y12" s="6">
        <v>2143299117</v>
      </c>
      <c r="Z12" s="6" t="s">
        <v>42</v>
      </c>
      <c r="AA12" s="6" t="s">
        <v>83</v>
      </c>
      <c r="AB12" s="6">
        <v>522.9</v>
      </c>
      <c r="AC12" s="6">
        <v>33.64</v>
      </c>
      <c r="AD12" s="6">
        <v>0</v>
      </c>
      <c r="AE12" s="6">
        <v>52.29</v>
      </c>
      <c r="AF12" s="6">
        <v>0</v>
      </c>
      <c r="AG12" s="6">
        <v>0</v>
      </c>
      <c r="AH12" s="6">
        <v>0</v>
      </c>
      <c r="AI12" s="6" t="s">
        <v>83</v>
      </c>
      <c r="AJ12" s="6" t="s">
        <v>307</v>
      </c>
      <c r="AK12" s="6" t="s">
        <v>42</v>
      </c>
      <c r="AL12" s="6" t="s">
        <v>60</v>
      </c>
      <c r="AM12" s="6" t="s">
        <v>308</v>
      </c>
      <c r="AN12" s="6" t="s">
        <v>26</v>
      </c>
      <c r="AO12" s="6" t="s">
        <v>250</v>
      </c>
      <c r="AP12" s="6" t="s">
        <v>309</v>
      </c>
      <c r="AQ12" s="6" t="s">
        <v>93</v>
      </c>
    </row>
    <row r="13" spans="1:43" x14ac:dyDescent="0.25">
      <c r="A13" s="6">
        <v>22734093</v>
      </c>
      <c r="B13" s="6">
        <v>23531368</v>
      </c>
      <c r="C13" s="6" t="s">
        <v>237</v>
      </c>
      <c r="D13" s="14">
        <v>45882.029421296298</v>
      </c>
      <c r="E13" s="14">
        <v>45882.031724537039</v>
      </c>
      <c r="F13" s="6" t="s">
        <v>17</v>
      </c>
      <c r="G13" s="6" t="s">
        <v>17</v>
      </c>
      <c r="H13" s="6" t="s">
        <v>310</v>
      </c>
      <c r="I13" s="6" t="s">
        <v>301</v>
      </c>
      <c r="J13" s="6" t="s">
        <v>311</v>
      </c>
      <c r="K13" s="6" t="s">
        <v>303</v>
      </c>
      <c r="L13" s="6" t="s">
        <v>303</v>
      </c>
      <c r="M13" s="14">
        <v>45882.02847222222</v>
      </c>
      <c r="N13" s="6">
        <v>6808127</v>
      </c>
      <c r="O13" s="6" t="s">
        <v>83</v>
      </c>
      <c r="P13" s="6" t="s">
        <v>272</v>
      </c>
      <c r="Q13" s="6" t="s">
        <v>243</v>
      </c>
      <c r="R13" s="6" t="s">
        <v>304</v>
      </c>
      <c r="S13" s="6" t="s">
        <v>7</v>
      </c>
      <c r="T13" s="6" t="s">
        <v>245</v>
      </c>
      <c r="U13" s="6" t="s">
        <v>139</v>
      </c>
      <c r="V13" s="6" t="s">
        <v>312</v>
      </c>
      <c r="W13" s="6" t="s">
        <v>83</v>
      </c>
      <c r="X13" s="6" t="s">
        <v>247</v>
      </c>
      <c r="Y13" s="6">
        <v>2245618947</v>
      </c>
      <c r="Z13" s="6" t="s">
        <v>42</v>
      </c>
      <c r="AA13" s="6" t="s">
        <v>83</v>
      </c>
      <c r="AB13" s="6">
        <v>444.72</v>
      </c>
      <c r="AC13" s="6">
        <v>33.64</v>
      </c>
      <c r="AD13" s="6">
        <v>0</v>
      </c>
      <c r="AE13" s="6">
        <v>0</v>
      </c>
      <c r="AF13" s="6">
        <v>0</v>
      </c>
      <c r="AG13" s="6">
        <v>0</v>
      </c>
      <c r="AH13" s="6">
        <v>64.040000000000006</v>
      </c>
      <c r="AI13" s="6" t="s">
        <v>83</v>
      </c>
      <c r="AJ13" s="6" t="s">
        <v>313</v>
      </c>
      <c r="AK13" s="6" t="s">
        <v>42</v>
      </c>
      <c r="AL13" s="6" t="s">
        <v>53</v>
      </c>
      <c r="AM13" s="6" t="s">
        <v>314</v>
      </c>
      <c r="AN13" s="6" t="s">
        <v>35</v>
      </c>
      <c r="AO13" s="6" t="s">
        <v>250</v>
      </c>
      <c r="AP13" s="6" t="s">
        <v>309</v>
      </c>
      <c r="AQ13" s="6" t="s">
        <v>93</v>
      </c>
    </row>
    <row r="14" spans="1:43" x14ac:dyDescent="0.25">
      <c r="A14" s="6">
        <v>22734114</v>
      </c>
      <c r="B14" s="6">
        <v>23531379</v>
      </c>
      <c r="C14" s="6" t="s">
        <v>237</v>
      </c>
      <c r="D14" s="14">
        <v>45882.031400462962</v>
      </c>
      <c r="E14" s="14">
        <v>45882.033680555563</v>
      </c>
      <c r="F14" s="6" t="s">
        <v>17</v>
      </c>
      <c r="G14" s="6" t="s">
        <v>17</v>
      </c>
      <c r="H14" s="6" t="s">
        <v>315</v>
      </c>
      <c r="I14" s="6" t="s">
        <v>301</v>
      </c>
      <c r="J14" s="6" t="s">
        <v>316</v>
      </c>
      <c r="K14" s="6" t="s">
        <v>303</v>
      </c>
      <c r="L14" s="6" t="s">
        <v>303</v>
      </c>
      <c r="M14" s="14">
        <v>45882.030555555553</v>
      </c>
      <c r="N14" s="6">
        <v>6808139</v>
      </c>
      <c r="O14" s="6" t="s">
        <v>83</v>
      </c>
      <c r="P14" s="6" t="s">
        <v>272</v>
      </c>
      <c r="Q14" s="6" t="s">
        <v>243</v>
      </c>
      <c r="R14" s="6" t="s">
        <v>304</v>
      </c>
      <c r="S14" s="6" t="s">
        <v>7</v>
      </c>
      <c r="T14" s="6" t="s">
        <v>245</v>
      </c>
      <c r="U14" s="6" t="s">
        <v>139</v>
      </c>
      <c r="V14" s="6" t="s">
        <v>317</v>
      </c>
      <c r="W14" s="6" t="s">
        <v>83</v>
      </c>
      <c r="X14" s="6" t="s">
        <v>318</v>
      </c>
      <c r="Y14" s="6">
        <v>183917540</v>
      </c>
      <c r="Z14" s="6" t="s">
        <v>42</v>
      </c>
      <c r="AA14" s="6" t="s">
        <v>83</v>
      </c>
      <c r="AB14" s="6">
        <v>1032.3</v>
      </c>
      <c r="AC14" s="6">
        <v>58.89</v>
      </c>
      <c r="AD14" s="6">
        <v>0</v>
      </c>
      <c r="AE14" s="6">
        <v>0</v>
      </c>
      <c r="AF14" s="6">
        <v>0</v>
      </c>
      <c r="AG14" s="6">
        <v>0</v>
      </c>
      <c r="AH14" s="6">
        <v>147.27000000000001</v>
      </c>
      <c r="AI14" s="6" t="s">
        <v>83</v>
      </c>
      <c r="AJ14" s="6" t="s">
        <v>319</v>
      </c>
      <c r="AK14" s="6" t="s">
        <v>42</v>
      </c>
      <c r="AL14" s="6" t="s">
        <v>53</v>
      </c>
      <c r="AM14" s="6" t="s">
        <v>314</v>
      </c>
      <c r="AN14" s="6" t="s">
        <v>35</v>
      </c>
      <c r="AO14" s="6" t="s">
        <v>250</v>
      </c>
      <c r="AP14" s="6" t="s">
        <v>309</v>
      </c>
      <c r="AQ14" s="6" t="s">
        <v>93</v>
      </c>
    </row>
    <row r="15" spans="1:43" x14ac:dyDescent="0.25">
      <c r="A15" s="6">
        <v>22733433</v>
      </c>
      <c r="B15" s="6">
        <v>23530759</v>
      </c>
      <c r="C15" s="6" t="s">
        <v>237</v>
      </c>
      <c r="D15" s="14">
        <v>45881.947442129633</v>
      </c>
      <c r="E15" s="14">
        <v>45881.94872685185</v>
      </c>
      <c r="F15" s="6" t="s">
        <v>17</v>
      </c>
      <c r="G15" s="6" t="s">
        <v>17</v>
      </c>
      <c r="H15" s="6" t="s">
        <v>320</v>
      </c>
      <c r="I15" s="6" t="s">
        <v>301</v>
      </c>
      <c r="J15" s="6" t="s">
        <v>321</v>
      </c>
      <c r="K15" s="6" t="s">
        <v>303</v>
      </c>
      <c r="L15" s="6" t="s">
        <v>303</v>
      </c>
      <c r="M15" s="14">
        <v>45881.946527777778</v>
      </c>
      <c r="N15" s="6">
        <v>6807991</v>
      </c>
      <c r="O15" s="6" t="s">
        <v>83</v>
      </c>
      <c r="P15" s="6" t="s">
        <v>272</v>
      </c>
      <c r="Q15" s="6" t="s">
        <v>243</v>
      </c>
      <c r="R15" s="6" t="s">
        <v>304</v>
      </c>
      <c r="S15" s="6" t="s">
        <v>7</v>
      </c>
      <c r="T15" s="6" t="s">
        <v>245</v>
      </c>
      <c r="U15" s="6" t="s">
        <v>139</v>
      </c>
      <c r="V15" s="6" t="s">
        <v>322</v>
      </c>
      <c r="W15" s="6" t="s">
        <v>83</v>
      </c>
      <c r="X15" s="6" t="s">
        <v>247</v>
      </c>
      <c r="Y15" s="6">
        <v>2245603129</v>
      </c>
      <c r="Z15" s="6" t="s">
        <v>42</v>
      </c>
      <c r="AA15" s="6" t="s">
        <v>83</v>
      </c>
      <c r="AB15" s="6">
        <v>848.64</v>
      </c>
      <c r="AC15" s="6">
        <v>92.53</v>
      </c>
      <c r="AD15" s="6">
        <v>0</v>
      </c>
      <c r="AE15" s="6">
        <v>0</v>
      </c>
      <c r="AF15" s="6">
        <v>0</v>
      </c>
      <c r="AG15" s="6">
        <v>0</v>
      </c>
      <c r="AH15" s="6">
        <v>122.2</v>
      </c>
      <c r="AI15" s="6" t="s">
        <v>83</v>
      </c>
      <c r="AJ15" s="6" t="s">
        <v>307</v>
      </c>
      <c r="AK15" s="6" t="s">
        <v>42</v>
      </c>
      <c r="AL15" s="6" t="s">
        <v>60</v>
      </c>
      <c r="AM15" s="6" t="s">
        <v>308</v>
      </c>
      <c r="AN15" s="6" t="s">
        <v>26</v>
      </c>
      <c r="AO15" s="6" t="s">
        <v>250</v>
      </c>
      <c r="AP15" s="6" t="s">
        <v>309</v>
      </c>
      <c r="AQ15" s="6" t="s">
        <v>93</v>
      </c>
    </row>
    <row r="16" spans="1:43" x14ac:dyDescent="0.25">
      <c r="A16" s="6">
        <v>22462516</v>
      </c>
      <c r="B16" s="6">
        <v>23302108</v>
      </c>
      <c r="C16" s="6" t="s">
        <v>237</v>
      </c>
      <c r="D16" s="14">
        <v>45834.851944444446</v>
      </c>
      <c r="E16" s="14">
        <v>45868.482534722221</v>
      </c>
      <c r="F16" s="6" t="s">
        <v>23</v>
      </c>
      <c r="G16" s="6" t="s">
        <v>29</v>
      </c>
      <c r="H16" s="6" t="s">
        <v>323</v>
      </c>
      <c r="I16" s="6" t="s">
        <v>15</v>
      </c>
      <c r="J16" s="6" t="s">
        <v>324</v>
      </c>
      <c r="K16" s="6" t="s">
        <v>325</v>
      </c>
      <c r="L16" s="6" t="s">
        <v>325</v>
      </c>
      <c r="M16" s="14">
        <v>45834.851388888892</v>
      </c>
      <c r="N16" s="6" t="s">
        <v>326</v>
      </c>
      <c r="O16" s="6" t="s">
        <v>83</v>
      </c>
      <c r="P16" s="6" t="s">
        <v>272</v>
      </c>
      <c r="Q16" s="6" t="s">
        <v>256</v>
      </c>
      <c r="R16" s="6" t="s">
        <v>256</v>
      </c>
      <c r="S16" s="6" t="s">
        <v>9</v>
      </c>
      <c r="T16" s="6" t="s">
        <v>245</v>
      </c>
      <c r="U16" s="6" t="s">
        <v>138</v>
      </c>
      <c r="V16" s="6" t="s">
        <v>327</v>
      </c>
      <c r="W16" s="6" t="s">
        <v>83</v>
      </c>
      <c r="X16" s="6" t="s">
        <v>328</v>
      </c>
      <c r="Y16" s="6" t="s">
        <v>83</v>
      </c>
      <c r="Z16" s="6" t="s">
        <v>106</v>
      </c>
      <c r="AA16" s="6" t="s">
        <v>83</v>
      </c>
      <c r="AB16" s="6">
        <v>250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 t="s">
        <v>329</v>
      </c>
      <c r="AJ16" s="6" t="s">
        <v>330</v>
      </c>
      <c r="AK16" s="6" t="s">
        <v>15</v>
      </c>
      <c r="AL16" s="6" t="s">
        <v>56</v>
      </c>
      <c r="AM16" s="6" t="s">
        <v>331</v>
      </c>
      <c r="AN16" s="6" t="s">
        <v>20</v>
      </c>
      <c r="AO16" s="6" t="s">
        <v>250</v>
      </c>
      <c r="AP16" s="6" t="s">
        <v>251</v>
      </c>
      <c r="AQ16" s="6" t="s">
        <v>94</v>
      </c>
    </row>
    <row r="17" spans="1:43" x14ac:dyDescent="0.25">
      <c r="A17" s="6">
        <v>22689919</v>
      </c>
      <c r="B17" s="6">
        <v>23493494</v>
      </c>
      <c r="C17" s="6" t="s">
        <v>237</v>
      </c>
      <c r="D17" s="14">
        <v>45874.943449074082</v>
      </c>
      <c r="E17" s="14">
        <v>45874.951585648138</v>
      </c>
      <c r="F17" s="6" t="s">
        <v>21</v>
      </c>
      <c r="G17" s="6" t="s">
        <v>21</v>
      </c>
      <c r="H17" s="6" t="s">
        <v>332</v>
      </c>
      <c r="I17" s="6" t="s">
        <v>15</v>
      </c>
      <c r="J17" s="6" t="s">
        <v>333</v>
      </c>
      <c r="K17" s="6" t="s">
        <v>334</v>
      </c>
      <c r="L17" s="6" t="s">
        <v>334</v>
      </c>
      <c r="M17" s="14">
        <v>45874.943055555559</v>
      </c>
      <c r="N17" s="6" t="s">
        <v>83</v>
      </c>
      <c r="O17" s="6" t="s">
        <v>83</v>
      </c>
      <c r="P17" s="6" t="s">
        <v>272</v>
      </c>
      <c r="Q17" s="6" t="s">
        <v>256</v>
      </c>
      <c r="R17" s="6" t="s">
        <v>256</v>
      </c>
      <c r="S17" s="6" t="s">
        <v>9</v>
      </c>
      <c r="T17" s="6" t="s">
        <v>245</v>
      </c>
      <c r="U17" s="6" t="s">
        <v>138</v>
      </c>
      <c r="V17" s="6" t="s">
        <v>327</v>
      </c>
      <c r="W17" s="6" t="s">
        <v>83</v>
      </c>
      <c r="X17" s="6" t="s">
        <v>335</v>
      </c>
      <c r="Y17" s="6" t="s">
        <v>83</v>
      </c>
      <c r="Z17" s="6" t="s">
        <v>106</v>
      </c>
      <c r="AA17" s="6" t="s">
        <v>83</v>
      </c>
      <c r="AB17" s="6">
        <v>445.2</v>
      </c>
      <c r="AC17" s="6">
        <v>445.2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 t="s">
        <v>83</v>
      </c>
      <c r="AJ17" s="6" t="s">
        <v>330</v>
      </c>
      <c r="AK17" s="6" t="s">
        <v>15</v>
      </c>
      <c r="AL17" s="6" t="s">
        <v>56</v>
      </c>
      <c r="AM17" s="6" t="s">
        <v>331</v>
      </c>
      <c r="AN17" s="6" t="s">
        <v>20</v>
      </c>
      <c r="AO17" s="6" t="s">
        <v>250</v>
      </c>
      <c r="AP17" s="6" t="s">
        <v>251</v>
      </c>
      <c r="AQ17" s="6" t="s">
        <v>94</v>
      </c>
    </row>
    <row r="18" spans="1:43" x14ac:dyDescent="0.25">
      <c r="A18" s="6">
        <v>22309387</v>
      </c>
      <c r="B18" s="6">
        <v>23166592</v>
      </c>
      <c r="C18" s="6" t="s">
        <v>237</v>
      </c>
      <c r="D18" s="14">
        <v>45813.438981481479</v>
      </c>
      <c r="E18" s="14">
        <v>45880.783576388887</v>
      </c>
      <c r="F18" s="6" t="s">
        <v>17</v>
      </c>
      <c r="G18" s="6" t="s">
        <v>29</v>
      </c>
      <c r="H18" s="6" t="s">
        <v>336</v>
      </c>
      <c r="I18" s="6" t="s">
        <v>16</v>
      </c>
      <c r="J18" s="6" t="s">
        <v>337</v>
      </c>
      <c r="K18" s="6" t="s">
        <v>338</v>
      </c>
      <c r="L18" s="6" t="s">
        <v>338</v>
      </c>
      <c r="M18" s="14">
        <v>45804</v>
      </c>
      <c r="N18" s="6" t="s">
        <v>336</v>
      </c>
      <c r="O18" s="6" t="s">
        <v>83</v>
      </c>
      <c r="P18" s="6" t="s">
        <v>242</v>
      </c>
      <c r="Q18" s="6" t="s">
        <v>243</v>
      </c>
      <c r="R18" s="6" t="s">
        <v>339</v>
      </c>
      <c r="S18" s="6" t="s">
        <v>7</v>
      </c>
      <c r="T18" s="6" t="s">
        <v>245</v>
      </c>
      <c r="U18" s="6" t="s">
        <v>180</v>
      </c>
      <c r="V18" s="6" t="s">
        <v>340</v>
      </c>
      <c r="W18" s="6" t="s">
        <v>83</v>
      </c>
      <c r="X18" s="6" t="s">
        <v>247</v>
      </c>
      <c r="Y18" s="6">
        <v>2971216362</v>
      </c>
      <c r="Z18" s="6" t="s">
        <v>116</v>
      </c>
      <c r="AA18" s="6" t="s">
        <v>83</v>
      </c>
      <c r="AB18" s="6">
        <v>2176.2916</v>
      </c>
      <c r="AC18" s="6">
        <v>0</v>
      </c>
      <c r="AD18" s="6">
        <v>1139.25</v>
      </c>
      <c r="AE18" s="6">
        <v>0</v>
      </c>
      <c r="AF18" s="6">
        <v>31.44</v>
      </c>
      <c r="AG18" s="6">
        <v>0</v>
      </c>
      <c r="AH18" s="6">
        <v>0</v>
      </c>
      <c r="AI18" s="6" t="s">
        <v>248</v>
      </c>
      <c r="AJ18" s="6" t="s">
        <v>341</v>
      </c>
      <c r="AK18" s="6" t="s">
        <v>16</v>
      </c>
      <c r="AL18" s="6" t="s">
        <v>51</v>
      </c>
      <c r="AM18" s="6" t="s">
        <v>342</v>
      </c>
      <c r="AN18" s="6" t="s">
        <v>26</v>
      </c>
      <c r="AO18" s="6" t="s">
        <v>250</v>
      </c>
      <c r="AP18" s="6" t="s">
        <v>262</v>
      </c>
      <c r="AQ18" s="6" t="s">
        <v>24</v>
      </c>
    </row>
    <row r="19" spans="1:43" x14ac:dyDescent="0.25">
      <c r="A19" s="6">
        <v>22728225</v>
      </c>
      <c r="B19" s="6">
        <v>23525830</v>
      </c>
      <c r="C19" s="6" t="s">
        <v>237</v>
      </c>
      <c r="D19" s="14">
        <v>45881.376238425917</v>
      </c>
      <c r="E19" s="14">
        <v>45881.389687499999</v>
      </c>
      <c r="F19" s="6" t="s">
        <v>17</v>
      </c>
      <c r="G19" s="6" t="s">
        <v>17</v>
      </c>
      <c r="H19" s="6" t="s">
        <v>343</v>
      </c>
      <c r="I19" s="6" t="s">
        <v>16</v>
      </c>
      <c r="J19" s="6" t="s">
        <v>344</v>
      </c>
      <c r="K19" s="6" t="s">
        <v>345</v>
      </c>
      <c r="L19" s="6" t="s">
        <v>345</v>
      </c>
      <c r="M19" s="14">
        <v>45881.276388888888</v>
      </c>
      <c r="N19" s="6" t="s">
        <v>346</v>
      </c>
      <c r="O19" s="6" t="s">
        <v>83</v>
      </c>
      <c r="P19" s="6" t="s">
        <v>272</v>
      </c>
      <c r="Q19" s="6" t="s">
        <v>256</v>
      </c>
      <c r="R19" s="6" t="s">
        <v>256</v>
      </c>
      <c r="S19" s="6" t="s">
        <v>7</v>
      </c>
      <c r="T19" s="6" t="s">
        <v>245</v>
      </c>
      <c r="U19" s="6" t="s">
        <v>179</v>
      </c>
      <c r="V19" s="6" t="s">
        <v>347</v>
      </c>
      <c r="W19" s="6" t="s">
        <v>83</v>
      </c>
      <c r="X19" s="6" t="s">
        <v>318</v>
      </c>
      <c r="Y19" s="6">
        <v>7700075295</v>
      </c>
      <c r="Z19" s="6" t="s">
        <v>71</v>
      </c>
      <c r="AA19" s="6" t="s">
        <v>83</v>
      </c>
      <c r="AB19" s="6">
        <v>4629.18</v>
      </c>
      <c r="AC19" s="6">
        <v>102.74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 t="s">
        <v>248</v>
      </c>
      <c r="AJ19" s="6" t="s">
        <v>348</v>
      </c>
      <c r="AK19" s="6" t="s">
        <v>16</v>
      </c>
      <c r="AL19" s="6" t="s">
        <v>58</v>
      </c>
      <c r="AM19" s="6" t="s">
        <v>74</v>
      </c>
      <c r="AN19" s="6" t="s">
        <v>20</v>
      </c>
      <c r="AO19" s="6" t="s">
        <v>250</v>
      </c>
      <c r="AP19" s="6" t="s">
        <v>251</v>
      </c>
      <c r="AQ19" s="6" t="s">
        <v>33</v>
      </c>
    </row>
    <row r="20" spans="1:43" x14ac:dyDescent="0.25">
      <c r="A20" s="6">
        <v>22728294</v>
      </c>
      <c r="B20" s="6">
        <v>23525888</v>
      </c>
      <c r="C20" s="6" t="s">
        <v>237</v>
      </c>
      <c r="D20" s="14">
        <v>45881.386099537027</v>
      </c>
      <c r="E20" s="14">
        <v>45882.198761574073</v>
      </c>
      <c r="F20" s="6" t="s">
        <v>17</v>
      </c>
      <c r="G20" s="6" t="s">
        <v>17</v>
      </c>
      <c r="H20" s="6" t="s">
        <v>349</v>
      </c>
      <c r="I20" s="6" t="s">
        <v>16</v>
      </c>
      <c r="J20" s="6" t="s">
        <v>350</v>
      </c>
      <c r="K20" s="6" t="s">
        <v>345</v>
      </c>
      <c r="L20" s="6" t="s">
        <v>345</v>
      </c>
      <c r="M20" s="14">
        <v>45870.295138888891</v>
      </c>
      <c r="N20" s="6" t="s">
        <v>346</v>
      </c>
      <c r="O20" s="6" t="s">
        <v>83</v>
      </c>
      <c r="P20" s="6" t="s">
        <v>272</v>
      </c>
      <c r="Q20" s="6" t="s">
        <v>256</v>
      </c>
      <c r="R20" s="6" t="s">
        <v>256</v>
      </c>
      <c r="S20" s="6" t="s">
        <v>7</v>
      </c>
      <c r="T20" s="6" t="s">
        <v>245</v>
      </c>
      <c r="U20" s="6" t="s">
        <v>351</v>
      </c>
      <c r="V20" s="6" t="s">
        <v>352</v>
      </c>
      <c r="W20" s="6" t="s">
        <v>353</v>
      </c>
      <c r="X20" s="6" t="s">
        <v>318</v>
      </c>
      <c r="Y20" s="6">
        <v>7700075296</v>
      </c>
      <c r="Z20" s="6" t="s">
        <v>71</v>
      </c>
      <c r="AA20" s="6" t="s">
        <v>83</v>
      </c>
      <c r="AB20" s="6">
        <v>4865.1499999999996</v>
      </c>
      <c r="AC20" s="6">
        <v>10316</v>
      </c>
      <c r="AD20" s="6">
        <v>0</v>
      </c>
      <c r="AE20" s="6">
        <v>0</v>
      </c>
      <c r="AF20" s="6">
        <v>0</v>
      </c>
      <c r="AG20" s="6">
        <v>0</v>
      </c>
      <c r="AH20" s="6">
        <v>42</v>
      </c>
      <c r="AI20" s="6" t="s">
        <v>248</v>
      </c>
      <c r="AJ20" s="6" t="s">
        <v>354</v>
      </c>
      <c r="AK20" s="6" t="s">
        <v>16</v>
      </c>
      <c r="AL20" s="6" t="s">
        <v>58</v>
      </c>
      <c r="AM20" s="6" t="s">
        <v>74</v>
      </c>
      <c r="AN20" s="6" t="s">
        <v>20</v>
      </c>
      <c r="AO20" s="6" t="s">
        <v>250</v>
      </c>
      <c r="AP20" s="6" t="s">
        <v>251</v>
      </c>
      <c r="AQ20" s="6" t="s">
        <v>33</v>
      </c>
    </row>
    <row r="21" spans="1:43" x14ac:dyDescent="0.25">
      <c r="A21" s="6">
        <v>22728296</v>
      </c>
      <c r="B21" s="6">
        <v>23525891</v>
      </c>
      <c r="C21" s="6" t="s">
        <v>237</v>
      </c>
      <c r="D21" s="14">
        <v>45881.386261574073</v>
      </c>
      <c r="E21" s="14">
        <v>45882.198773148149</v>
      </c>
      <c r="F21" s="6" t="s">
        <v>17</v>
      </c>
      <c r="G21" s="6" t="s">
        <v>17</v>
      </c>
      <c r="H21" s="6" t="s">
        <v>355</v>
      </c>
      <c r="I21" s="6" t="s">
        <v>16</v>
      </c>
      <c r="J21" s="6" t="s">
        <v>356</v>
      </c>
      <c r="K21" s="6" t="s">
        <v>345</v>
      </c>
      <c r="L21" s="6" t="s">
        <v>345</v>
      </c>
      <c r="M21" s="14">
        <v>45870.302777777782</v>
      </c>
      <c r="N21" s="6" t="s">
        <v>346</v>
      </c>
      <c r="O21" s="6" t="s">
        <v>83</v>
      </c>
      <c r="P21" s="6" t="s">
        <v>272</v>
      </c>
      <c r="Q21" s="6" t="s">
        <v>256</v>
      </c>
      <c r="R21" s="6" t="s">
        <v>256</v>
      </c>
      <c r="S21" s="6" t="s">
        <v>7</v>
      </c>
      <c r="T21" s="6" t="s">
        <v>245</v>
      </c>
      <c r="U21" s="6" t="s">
        <v>351</v>
      </c>
      <c r="V21" s="6" t="s">
        <v>352</v>
      </c>
      <c r="W21" s="6" t="s">
        <v>353</v>
      </c>
      <c r="X21" s="6" t="s">
        <v>318</v>
      </c>
      <c r="Y21" s="6">
        <v>7700075297</v>
      </c>
      <c r="Z21" s="6" t="s">
        <v>71</v>
      </c>
      <c r="AA21" s="6" t="s">
        <v>83</v>
      </c>
      <c r="AB21" s="6">
        <v>4568.18</v>
      </c>
      <c r="AC21" s="6">
        <v>103.16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 t="s">
        <v>248</v>
      </c>
      <c r="AJ21" s="6" t="s">
        <v>354</v>
      </c>
      <c r="AK21" s="6" t="s">
        <v>16</v>
      </c>
      <c r="AL21" s="6" t="s">
        <v>58</v>
      </c>
      <c r="AM21" s="6" t="s">
        <v>74</v>
      </c>
      <c r="AN21" s="6" t="s">
        <v>20</v>
      </c>
      <c r="AO21" s="6" t="s">
        <v>250</v>
      </c>
      <c r="AP21" s="6" t="s">
        <v>251</v>
      </c>
      <c r="AQ21" s="6" t="s">
        <v>33</v>
      </c>
    </row>
    <row r="22" spans="1:43" x14ac:dyDescent="0.25">
      <c r="A22" s="6">
        <v>22730895</v>
      </c>
      <c r="B22" s="6">
        <v>23528404</v>
      </c>
      <c r="C22" s="6" t="s">
        <v>237</v>
      </c>
      <c r="D22" s="14">
        <v>45881.68240740741</v>
      </c>
      <c r="E22" s="14">
        <v>45881.685787037037</v>
      </c>
      <c r="F22" s="6" t="s">
        <v>17</v>
      </c>
      <c r="G22" s="6" t="s">
        <v>17</v>
      </c>
      <c r="H22" s="6" t="s">
        <v>357</v>
      </c>
      <c r="I22" s="6" t="s">
        <v>16</v>
      </c>
      <c r="J22" s="6" t="s">
        <v>358</v>
      </c>
      <c r="K22" s="6" t="s">
        <v>359</v>
      </c>
      <c r="L22" s="6" t="s">
        <v>360</v>
      </c>
      <c r="M22" s="14">
        <v>45881</v>
      </c>
      <c r="N22" s="6" t="s">
        <v>357</v>
      </c>
      <c r="O22" s="6" t="s">
        <v>83</v>
      </c>
      <c r="P22" s="6" t="s">
        <v>242</v>
      </c>
      <c r="Q22" s="6" t="s">
        <v>361</v>
      </c>
      <c r="R22" s="6" t="s">
        <v>339</v>
      </c>
      <c r="S22" s="6" t="s">
        <v>7</v>
      </c>
      <c r="T22" s="6" t="s">
        <v>245</v>
      </c>
      <c r="U22" s="6" t="s">
        <v>351</v>
      </c>
      <c r="V22" s="6" t="s">
        <v>352</v>
      </c>
      <c r="W22" s="6" t="s">
        <v>353</v>
      </c>
      <c r="X22" s="6" t="s">
        <v>247</v>
      </c>
      <c r="Y22" s="6">
        <v>2952834977</v>
      </c>
      <c r="Z22" s="6" t="s">
        <v>71</v>
      </c>
      <c r="AA22" s="6" t="s">
        <v>83</v>
      </c>
      <c r="AB22" s="6">
        <v>0</v>
      </c>
      <c r="AC22" s="6">
        <v>0</v>
      </c>
      <c r="AD22" s="6">
        <v>450</v>
      </c>
      <c r="AE22" s="6">
        <v>0</v>
      </c>
      <c r="AF22" s="6">
        <v>0</v>
      </c>
      <c r="AG22" s="6">
        <v>0</v>
      </c>
      <c r="AH22" s="6">
        <v>0</v>
      </c>
      <c r="AI22" s="6" t="s">
        <v>248</v>
      </c>
      <c r="AJ22" s="6" t="s">
        <v>362</v>
      </c>
      <c r="AK22" s="6" t="s">
        <v>16</v>
      </c>
      <c r="AL22" s="6" t="s">
        <v>62</v>
      </c>
      <c r="AM22" s="6" t="s">
        <v>363</v>
      </c>
      <c r="AN22" s="6" t="s">
        <v>20</v>
      </c>
      <c r="AO22" s="6" t="s">
        <v>250</v>
      </c>
      <c r="AP22" s="6" t="s">
        <v>251</v>
      </c>
      <c r="AQ22" s="6" t="s">
        <v>33</v>
      </c>
    </row>
    <row r="23" spans="1:43" x14ac:dyDescent="0.25">
      <c r="A23" s="6">
        <v>22730898</v>
      </c>
      <c r="B23" s="6">
        <v>23528407</v>
      </c>
      <c r="C23" s="6" t="s">
        <v>237</v>
      </c>
      <c r="D23" s="14">
        <v>45881.682719907411</v>
      </c>
      <c r="E23" s="14">
        <v>45881.685810185183</v>
      </c>
      <c r="F23" s="6" t="s">
        <v>17</v>
      </c>
      <c r="G23" s="6" t="s">
        <v>17</v>
      </c>
      <c r="H23" s="6" t="s">
        <v>364</v>
      </c>
      <c r="I23" s="6" t="s">
        <v>16</v>
      </c>
      <c r="J23" s="6" t="s">
        <v>365</v>
      </c>
      <c r="K23" s="6" t="s">
        <v>366</v>
      </c>
      <c r="L23" s="6" t="s">
        <v>367</v>
      </c>
      <c r="M23" s="14">
        <v>45881.349305555559</v>
      </c>
      <c r="N23" s="6" t="s">
        <v>364</v>
      </c>
      <c r="O23" s="6" t="s">
        <v>83</v>
      </c>
      <c r="P23" s="6" t="s">
        <v>242</v>
      </c>
      <c r="Q23" s="6" t="s">
        <v>361</v>
      </c>
      <c r="R23" s="6" t="s">
        <v>339</v>
      </c>
      <c r="S23" s="6" t="s">
        <v>7</v>
      </c>
      <c r="T23" s="6" t="s">
        <v>245</v>
      </c>
      <c r="U23" s="6" t="s">
        <v>146</v>
      </c>
      <c r="V23" s="6" t="s">
        <v>368</v>
      </c>
      <c r="W23" s="6" t="s">
        <v>83</v>
      </c>
      <c r="X23" s="6" t="s">
        <v>247</v>
      </c>
      <c r="Y23" s="6">
        <v>2952834979</v>
      </c>
      <c r="Z23" s="6" t="s">
        <v>71</v>
      </c>
      <c r="AA23" s="6" t="s">
        <v>83</v>
      </c>
      <c r="AB23" s="6">
        <v>0</v>
      </c>
      <c r="AC23" s="6">
        <v>0</v>
      </c>
      <c r="AD23" s="6">
        <v>450</v>
      </c>
      <c r="AE23" s="6">
        <v>0</v>
      </c>
      <c r="AF23" s="6">
        <v>72.260000000000005</v>
      </c>
      <c r="AG23" s="6">
        <v>0</v>
      </c>
      <c r="AH23" s="6">
        <v>0</v>
      </c>
      <c r="AI23" s="6" t="s">
        <v>248</v>
      </c>
      <c r="AJ23" s="6" t="s">
        <v>369</v>
      </c>
      <c r="AK23" s="6" t="s">
        <v>16</v>
      </c>
      <c r="AL23" s="6" t="s">
        <v>72</v>
      </c>
      <c r="AM23" s="6" t="s">
        <v>74</v>
      </c>
      <c r="AN23" s="6" t="s">
        <v>20</v>
      </c>
      <c r="AO23" s="6" t="s">
        <v>250</v>
      </c>
      <c r="AP23" s="6" t="s">
        <v>251</v>
      </c>
      <c r="AQ23" s="6" t="s">
        <v>33</v>
      </c>
    </row>
    <row r="24" spans="1:43" x14ac:dyDescent="0.25">
      <c r="A24" s="6">
        <v>22708899</v>
      </c>
      <c r="B24" s="6">
        <v>23510314</v>
      </c>
      <c r="C24" s="6" t="s">
        <v>237</v>
      </c>
      <c r="D24" s="14">
        <v>45877.626134259262</v>
      </c>
      <c r="E24" s="14">
        <v>45877.62940972222</v>
      </c>
      <c r="F24" s="6" t="s">
        <v>19</v>
      </c>
      <c r="G24" s="6" t="s">
        <v>19</v>
      </c>
      <c r="H24" s="6" t="s">
        <v>370</v>
      </c>
      <c r="I24" s="6" t="s">
        <v>16</v>
      </c>
      <c r="J24" s="6" t="s">
        <v>371</v>
      </c>
      <c r="K24" s="6" t="s">
        <v>372</v>
      </c>
      <c r="L24" s="6" t="s">
        <v>372</v>
      </c>
      <c r="M24" s="14">
        <v>45877.426388888889</v>
      </c>
      <c r="N24" s="6">
        <v>1935413581</v>
      </c>
      <c r="O24" s="6" t="s">
        <v>83</v>
      </c>
      <c r="P24" s="6" t="s">
        <v>242</v>
      </c>
      <c r="Q24" s="6" t="s">
        <v>243</v>
      </c>
      <c r="R24" s="6" t="s">
        <v>244</v>
      </c>
      <c r="S24" s="6" t="s">
        <v>9</v>
      </c>
      <c r="T24" s="6" t="s">
        <v>245</v>
      </c>
      <c r="U24" s="6" t="s">
        <v>146</v>
      </c>
      <c r="V24" s="6" t="s">
        <v>373</v>
      </c>
      <c r="W24" s="6" t="s">
        <v>83</v>
      </c>
      <c r="X24" s="6" t="s">
        <v>83</v>
      </c>
      <c r="Y24" s="6" t="s">
        <v>83</v>
      </c>
      <c r="Z24" s="6" t="s">
        <v>71</v>
      </c>
      <c r="AA24" s="6" t="s">
        <v>83</v>
      </c>
      <c r="AB24" s="6">
        <v>1240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 t="s">
        <v>248</v>
      </c>
      <c r="AJ24" s="6" t="s">
        <v>259</v>
      </c>
      <c r="AK24" s="6" t="s">
        <v>16</v>
      </c>
      <c r="AL24" s="6" t="s">
        <v>50</v>
      </c>
      <c r="AM24" s="6" t="s">
        <v>260</v>
      </c>
      <c r="AN24" s="6" t="s">
        <v>20</v>
      </c>
      <c r="AO24" s="6" t="s">
        <v>261</v>
      </c>
      <c r="AP24" s="6" t="s">
        <v>262</v>
      </c>
      <c r="AQ24" s="6" t="s">
        <v>30</v>
      </c>
    </row>
    <row r="25" spans="1:43" x14ac:dyDescent="0.25">
      <c r="A25" s="6">
        <v>22724073</v>
      </c>
      <c r="B25" s="6">
        <v>23522327</v>
      </c>
      <c r="C25" s="6" t="s">
        <v>237</v>
      </c>
      <c r="D25" s="14">
        <v>45880.741238425922</v>
      </c>
      <c r="E25" s="14">
        <v>45880.742013888892</v>
      </c>
      <c r="F25" s="6" t="s">
        <v>17</v>
      </c>
      <c r="G25" s="6" t="s">
        <v>17</v>
      </c>
      <c r="H25" s="6" t="s">
        <v>374</v>
      </c>
      <c r="I25" s="6" t="s">
        <v>16</v>
      </c>
      <c r="J25" s="6" t="s">
        <v>375</v>
      </c>
      <c r="K25" s="6" t="s">
        <v>372</v>
      </c>
      <c r="L25" s="6" t="s">
        <v>372</v>
      </c>
      <c r="M25" s="14">
        <v>45880.4</v>
      </c>
      <c r="N25" s="6">
        <v>1937624737</v>
      </c>
      <c r="O25" s="6" t="s">
        <v>83</v>
      </c>
      <c r="P25" s="6" t="s">
        <v>242</v>
      </c>
      <c r="Q25" s="6" t="s">
        <v>256</v>
      </c>
      <c r="R25" s="6" t="s">
        <v>256</v>
      </c>
      <c r="S25" s="6" t="s">
        <v>9</v>
      </c>
      <c r="T25" s="6" t="s">
        <v>245</v>
      </c>
      <c r="U25" s="6" t="s">
        <v>146</v>
      </c>
      <c r="V25" s="6" t="s">
        <v>368</v>
      </c>
      <c r="W25" s="6" t="s">
        <v>83</v>
      </c>
      <c r="X25" s="6" t="s">
        <v>376</v>
      </c>
      <c r="Y25" s="6" t="s">
        <v>83</v>
      </c>
      <c r="Z25" s="6" t="s">
        <v>71</v>
      </c>
      <c r="AA25" s="6" t="s">
        <v>83</v>
      </c>
      <c r="AB25" s="6">
        <v>299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 t="s">
        <v>248</v>
      </c>
      <c r="AJ25" s="6" t="s">
        <v>377</v>
      </c>
      <c r="AK25" s="6" t="s">
        <v>16</v>
      </c>
      <c r="AL25" s="6" t="s">
        <v>50</v>
      </c>
      <c r="AM25" s="6" t="s">
        <v>260</v>
      </c>
      <c r="AN25" s="6" t="s">
        <v>20</v>
      </c>
      <c r="AO25" s="6" t="s">
        <v>261</v>
      </c>
      <c r="AP25" s="6" t="s">
        <v>262</v>
      </c>
      <c r="AQ25" s="6" t="s">
        <v>30</v>
      </c>
    </row>
    <row r="26" spans="1:43" x14ac:dyDescent="0.25">
      <c r="A26" s="6">
        <v>22724073</v>
      </c>
      <c r="B26" s="6">
        <v>23522328</v>
      </c>
      <c r="C26" s="6" t="s">
        <v>378</v>
      </c>
      <c r="D26" s="14">
        <v>45880.741238425922</v>
      </c>
      <c r="E26" s="14">
        <v>45880.742013888892</v>
      </c>
      <c r="F26" s="6" t="s">
        <v>17</v>
      </c>
      <c r="G26" s="6" t="s">
        <v>17</v>
      </c>
      <c r="H26" s="6" t="s">
        <v>374</v>
      </c>
      <c r="I26" s="6" t="s">
        <v>16</v>
      </c>
      <c r="J26" s="6" t="s">
        <v>375</v>
      </c>
      <c r="K26" s="6" t="s">
        <v>372</v>
      </c>
      <c r="L26" s="6" t="s">
        <v>372</v>
      </c>
      <c r="M26" s="14">
        <v>45880.4</v>
      </c>
      <c r="N26" s="6">
        <v>1937624737</v>
      </c>
      <c r="O26" s="6" t="s">
        <v>83</v>
      </c>
      <c r="P26" s="6" t="s">
        <v>242</v>
      </c>
      <c r="Q26" s="6" t="s">
        <v>256</v>
      </c>
      <c r="R26" s="6" t="s">
        <v>256</v>
      </c>
      <c r="S26" s="6" t="s">
        <v>9</v>
      </c>
      <c r="T26" s="6" t="s">
        <v>245</v>
      </c>
      <c r="U26" s="6" t="s">
        <v>146</v>
      </c>
      <c r="V26" s="6" t="s">
        <v>368</v>
      </c>
      <c r="W26" s="6" t="s">
        <v>83</v>
      </c>
      <c r="X26" s="6" t="s">
        <v>83</v>
      </c>
      <c r="Y26" s="6" t="s">
        <v>83</v>
      </c>
      <c r="Z26" s="6" t="s">
        <v>71</v>
      </c>
      <c r="AA26" s="6" t="s">
        <v>83</v>
      </c>
      <c r="AB26" s="6">
        <v>180</v>
      </c>
      <c r="AC26" s="6">
        <v>9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 t="s">
        <v>248</v>
      </c>
      <c r="AJ26" s="6" t="s">
        <v>377</v>
      </c>
      <c r="AK26" s="6" t="s">
        <v>16</v>
      </c>
      <c r="AL26" s="6" t="s">
        <v>50</v>
      </c>
      <c r="AM26" s="6" t="s">
        <v>260</v>
      </c>
      <c r="AN26" s="6" t="s">
        <v>20</v>
      </c>
      <c r="AO26" s="6" t="s">
        <v>261</v>
      </c>
      <c r="AP26" s="6" t="s">
        <v>262</v>
      </c>
      <c r="AQ26" s="6" t="s">
        <v>30</v>
      </c>
    </row>
    <row r="27" spans="1:43" x14ac:dyDescent="0.25">
      <c r="A27" s="6">
        <v>22731523</v>
      </c>
      <c r="B27" s="6">
        <v>23528989</v>
      </c>
      <c r="C27" s="6" t="s">
        <v>237</v>
      </c>
      <c r="D27" s="14">
        <v>45881.751932870371</v>
      </c>
      <c r="E27" s="14">
        <v>45881.753576388888</v>
      </c>
      <c r="F27" s="6" t="s">
        <v>17</v>
      </c>
      <c r="G27" s="6" t="s">
        <v>17</v>
      </c>
      <c r="H27" s="6" t="s">
        <v>379</v>
      </c>
      <c r="I27" s="6" t="s">
        <v>16</v>
      </c>
      <c r="J27" s="6" t="s">
        <v>380</v>
      </c>
      <c r="K27" s="6" t="s">
        <v>366</v>
      </c>
      <c r="L27" s="6" t="s">
        <v>372</v>
      </c>
      <c r="M27" s="14">
        <v>45881.292361111111</v>
      </c>
      <c r="N27" s="6">
        <v>1939043609</v>
      </c>
      <c r="O27" s="6" t="s">
        <v>83</v>
      </c>
      <c r="P27" s="6" t="s">
        <v>242</v>
      </c>
      <c r="Q27" s="6" t="s">
        <v>361</v>
      </c>
      <c r="R27" s="6" t="s">
        <v>339</v>
      </c>
      <c r="S27" s="6" t="s">
        <v>7</v>
      </c>
      <c r="T27" s="6" t="s">
        <v>245</v>
      </c>
      <c r="U27" s="6" t="s">
        <v>146</v>
      </c>
      <c r="V27" s="6" t="s">
        <v>368</v>
      </c>
      <c r="W27" s="6" t="s">
        <v>83</v>
      </c>
      <c r="X27" s="6" t="s">
        <v>247</v>
      </c>
      <c r="Y27" s="6">
        <v>2952834985</v>
      </c>
      <c r="Z27" s="6" t="s">
        <v>71</v>
      </c>
      <c r="AA27" s="6" t="s">
        <v>83</v>
      </c>
      <c r="AB27" s="6">
        <v>0</v>
      </c>
      <c r="AC27" s="6">
        <v>0</v>
      </c>
      <c r="AD27" s="6">
        <v>427.1</v>
      </c>
      <c r="AE27" s="6">
        <v>0</v>
      </c>
      <c r="AF27" s="6">
        <v>18.43</v>
      </c>
      <c r="AG27" s="6">
        <v>0</v>
      </c>
      <c r="AH27" s="6">
        <v>0</v>
      </c>
      <c r="AI27" s="6" t="s">
        <v>248</v>
      </c>
      <c r="AJ27" s="6" t="s">
        <v>381</v>
      </c>
      <c r="AK27" s="6" t="s">
        <v>16</v>
      </c>
      <c r="AL27" s="6" t="s">
        <v>55</v>
      </c>
      <c r="AM27" s="6" t="s">
        <v>363</v>
      </c>
      <c r="AN27" s="6" t="s">
        <v>20</v>
      </c>
      <c r="AO27" s="6" t="s">
        <v>250</v>
      </c>
      <c r="AP27" s="6" t="s">
        <v>251</v>
      </c>
      <c r="AQ27" s="6" t="s">
        <v>33</v>
      </c>
    </row>
    <row r="28" spans="1:43" x14ac:dyDescent="0.25">
      <c r="A28" s="6">
        <v>22684720</v>
      </c>
      <c r="B28" s="6">
        <v>23488563</v>
      </c>
      <c r="C28" s="6" t="s">
        <v>237</v>
      </c>
      <c r="D28" s="14">
        <v>45874.418043981481</v>
      </c>
      <c r="E28" s="14">
        <v>45874.431701388887</v>
      </c>
      <c r="F28" s="6" t="s">
        <v>21</v>
      </c>
      <c r="G28" s="6" t="s">
        <v>21</v>
      </c>
      <c r="H28" s="6" t="s">
        <v>382</v>
      </c>
      <c r="I28" s="6" t="s">
        <v>16</v>
      </c>
      <c r="J28" s="6" t="s">
        <v>383</v>
      </c>
      <c r="K28" s="6" t="s">
        <v>360</v>
      </c>
      <c r="L28" s="6" t="s">
        <v>360</v>
      </c>
      <c r="M28" s="14">
        <v>45873.550694444442</v>
      </c>
      <c r="N28" s="6" t="s">
        <v>384</v>
      </c>
      <c r="O28" s="6" t="s">
        <v>83</v>
      </c>
      <c r="P28" s="6" t="s">
        <v>242</v>
      </c>
      <c r="Q28" s="6" t="s">
        <v>256</v>
      </c>
      <c r="R28" s="6" t="s">
        <v>256</v>
      </c>
      <c r="S28" s="6" t="s">
        <v>7</v>
      </c>
      <c r="T28" s="6" t="s">
        <v>245</v>
      </c>
      <c r="U28" s="6" t="s">
        <v>175</v>
      </c>
      <c r="V28" s="6" t="s">
        <v>385</v>
      </c>
      <c r="W28" s="6" t="s">
        <v>83</v>
      </c>
      <c r="X28" s="6" t="s">
        <v>306</v>
      </c>
      <c r="Y28" s="6">
        <v>2142678674</v>
      </c>
      <c r="Z28" s="6" t="s">
        <v>71</v>
      </c>
      <c r="AA28" s="6" t="s">
        <v>83</v>
      </c>
      <c r="AB28" s="6">
        <v>1302.01</v>
      </c>
      <c r="AC28" s="6">
        <v>85.3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 t="s">
        <v>248</v>
      </c>
      <c r="AJ28" s="6" t="s">
        <v>386</v>
      </c>
      <c r="AK28" s="6" t="s">
        <v>16</v>
      </c>
      <c r="AL28" s="6" t="s">
        <v>58</v>
      </c>
      <c r="AM28" s="6" t="s">
        <v>74</v>
      </c>
      <c r="AN28" s="6" t="s">
        <v>20</v>
      </c>
      <c r="AO28" s="6" t="s">
        <v>250</v>
      </c>
      <c r="AP28" s="6" t="s">
        <v>251</v>
      </c>
      <c r="AQ28" s="6" t="s">
        <v>18</v>
      </c>
    </row>
    <row r="29" spans="1:43" x14ac:dyDescent="0.25">
      <c r="A29" s="6">
        <v>22667864</v>
      </c>
      <c r="B29" s="6">
        <v>23475643</v>
      </c>
      <c r="C29" s="6" t="s">
        <v>237</v>
      </c>
      <c r="D29" s="14">
        <v>45870.823807870373</v>
      </c>
      <c r="E29" s="14">
        <v>45874.316886574074</v>
      </c>
      <c r="F29" s="6" t="s">
        <v>21</v>
      </c>
      <c r="G29" s="6" t="s">
        <v>23</v>
      </c>
      <c r="H29" s="6" t="s">
        <v>387</v>
      </c>
      <c r="I29" s="6" t="s">
        <v>16</v>
      </c>
      <c r="J29" s="6" t="s">
        <v>388</v>
      </c>
      <c r="K29" s="6" t="s">
        <v>360</v>
      </c>
      <c r="L29" s="6" t="s">
        <v>360</v>
      </c>
      <c r="M29" s="14">
        <v>45870.558333333327</v>
      </c>
      <c r="N29" s="6" t="s">
        <v>389</v>
      </c>
      <c r="O29" s="6" t="s">
        <v>83</v>
      </c>
      <c r="P29" s="6" t="s">
        <v>242</v>
      </c>
      <c r="Q29" s="6" t="s">
        <v>256</v>
      </c>
      <c r="R29" s="6" t="s">
        <v>256</v>
      </c>
      <c r="S29" s="6" t="s">
        <v>9</v>
      </c>
      <c r="T29" s="6" t="s">
        <v>245</v>
      </c>
      <c r="U29" s="6" t="s">
        <v>175</v>
      </c>
      <c r="V29" s="6" t="s">
        <v>385</v>
      </c>
      <c r="W29" s="6" t="s">
        <v>83</v>
      </c>
      <c r="X29" s="6" t="s">
        <v>390</v>
      </c>
      <c r="Y29" s="6" t="s">
        <v>83</v>
      </c>
      <c r="Z29" s="6" t="s">
        <v>71</v>
      </c>
      <c r="AA29" s="6" t="s">
        <v>83</v>
      </c>
      <c r="AB29" s="6">
        <v>540.54999999999995</v>
      </c>
      <c r="AC29" s="6">
        <v>27.03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 t="s">
        <v>248</v>
      </c>
      <c r="AJ29" s="6" t="s">
        <v>391</v>
      </c>
      <c r="AK29" s="6" t="s">
        <v>16</v>
      </c>
      <c r="AL29" s="6" t="s">
        <v>76</v>
      </c>
      <c r="AM29" s="6" t="s">
        <v>74</v>
      </c>
      <c r="AN29" s="6" t="s">
        <v>20</v>
      </c>
      <c r="AO29" s="6" t="s">
        <v>250</v>
      </c>
      <c r="AP29" s="6" t="s">
        <v>251</v>
      </c>
      <c r="AQ29" s="6" t="s">
        <v>18</v>
      </c>
    </row>
    <row r="30" spans="1:43" x14ac:dyDescent="0.25">
      <c r="A30" s="6">
        <v>22692217</v>
      </c>
      <c r="B30" s="6">
        <v>23495214</v>
      </c>
      <c r="C30" s="6" t="s">
        <v>237</v>
      </c>
      <c r="D30" s="14">
        <v>45875.428240740737</v>
      </c>
      <c r="E30" s="14">
        <v>45875.429965277777</v>
      </c>
      <c r="F30" s="6" t="s">
        <v>21</v>
      </c>
      <c r="G30" s="6" t="s">
        <v>21</v>
      </c>
      <c r="H30" s="6" t="s">
        <v>392</v>
      </c>
      <c r="I30" s="6" t="s">
        <v>16</v>
      </c>
      <c r="J30" s="6" t="s">
        <v>393</v>
      </c>
      <c r="K30" s="6" t="s">
        <v>360</v>
      </c>
      <c r="L30" s="6" t="s">
        <v>360</v>
      </c>
      <c r="M30" s="14">
        <v>45874.852777777778</v>
      </c>
      <c r="N30" s="6" t="s">
        <v>394</v>
      </c>
      <c r="O30" s="6" t="s">
        <v>83</v>
      </c>
      <c r="P30" s="6" t="s">
        <v>242</v>
      </c>
      <c r="Q30" s="6" t="s">
        <v>256</v>
      </c>
      <c r="R30" s="6" t="s">
        <v>256</v>
      </c>
      <c r="S30" s="6" t="s">
        <v>7</v>
      </c>
      <c r="T30" s="6" t="s">
        <v>245</v>
      </c>
      <c r="U30" s="6" t="s">
        <v>171</v>
      </c>
      <c r="V30" s="6" t="s">
        <v>395</v>
      </c>
      <c r="W30" s="6" t="s">
        <v>83</v>
      </c>
      <c r="X30" s="6" t="s">
        <v>306</v>
      </c>
      <c r="Y30" s="6">
        <v>2142779681</v>
      </c>
      <c r="Z30" s="6" t="s">
        <v>71</v>
      </c>
      <c r="AA30" s="6" t="s">
        <v>83</v>
      </c>
      <c r="AB30" s="6">
        <v>126.14</v>
      </c>
      <c r="AC30" s="6">
        <v>60.62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 t="s">
        <v>248</v>
      </c>
      <c r="AJ30" s="6" t="s">
        <v>396</v>
      </c>
      <c r="AK30" s="6" t="s">
        <v>16</v>
      </c>
      <c r="AL30" s="6" t="s">
        <v>78</v>
      </c>
      <c r="AM30" s="6" t="s">
        <v>74</v>
      </c>
      <c r="AN30" s="6" t="s">
        <v>20</v>
      </c>
      <c r="AO30" s="6" t="s">
        <v>250</v>
      </c>
      <c r="AP30" s="6" t="s">
        <v>251</v>
      </c>
      <c r="AQ30" s="6" t="s">
        <v>18</v>
      </c>
    </row>
    <row r="31" spans="1:43" x14ac:dyDescent="0.25">
      <c r="A31" s="6">
        <v>22724500</v>
      </c>
      <c r="B31" s="6">
        <v>23522740</v>
      </c>
      <c r="C31" s="6" t="s">
        <v>237</v>
      </c>
      <c r="D31" s="14">
        <v>45880.761203703703</v>
      </c>
      <c r="E31" s="14">
        <v>45880.769155092603</v>
      </c>
      <c r="F31" s="6" t="s">
        <v>17</v>
      </c>
      <c r="G31" s="6" t="s">
        <v>17</v>
      </c>
      <c r="H31" s="6" t="s">
        <v>397</v>
      </c>
      <c r="I31" s="6" t="s">
        <v>16</v>
      </c>
      <c r="J31" s="6" t="s">
        <v>398</v>
      </c>
      <c r="K31" s="6" t="s">
        <v>360</v>
      </c>
      <c r="L31" s="6" t="s">
        <v>360</v>
      </c>
      <c r="M31" s="14">
        <v>45880.592361111107</v>
      </c>
      <c r="N31" s="6" t="s">
        <v>399</v>
      </c>
      <c r="O31" s="6" t="s">
        <v>83</v>
      </c>
      <c r="P31" s="6" t="s">
        <v>242</v>
      </c>
      <c r="Q31" s="6" t="s">
        <v>256</v>
      </c>
      <c r="R31" s="6" t="s">
        <v>256</v>
      </c>
      <c r="S31" s="6" t="s">
        <v>9</v>
      </c>
      <c r="T31" s="6" t="s">
        <v>245</v>
      </c>
      <c r="U31" s="6" t="s">
        <v>152</v>
      </c>
      <c r="V31" s="6" t="s">
        <v>400</v>
      </c>
      <c r="W31" s="6" t="s">
        <v>83</v>
      </c>
      <c r="X31" s="6" t="s">
        <v>390</v>
      </c>
      <c r="Y31" s="6" t="s">
        <v>83</v>
      </c>
      <c r="Z31" s="6" t="s">
        <v>71</v>
      </c>
      <c r="AA31" s="6" t="s">
        <v>83</v>
      </c>
      <c r="AB31" s="6">
        <v>759</v>
      </c>
      <c r="AC31" s="6">
        <v>37.950000000000003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 t="s">
        <v>248</v>
      </c>
      <c r="AJ31" s="6" t="s">
        <v>401</v>
      </c>
      <c r="AK31" s="6" t="s">
        <v>16</v>
      </c>
      <c r="AL31" s="6" t="s">
        <v>58</v>
      </c>
      <c r="AM31" s="6" t="s">
        <v>74</v>
      </c>
      <c r="AN31" s="6" t="s">
        <v>20</v>
      </c>
      <c r="AO31" s="6" t="s">
        <v>250</v>
      </c>
      <c r="AP31" s="6" t="s">
        <v>251</v>
      </c>
      <c r="AQ31" s="6" t="s">
        <v>18</v>
      </c>
    </row>
    <row r="32" spans="1:43" x14ac:dyDescent="0.25">
      <c r="A32" s="6">
        <v>22724505</v>
      </c>
      <c r="B32" s="6">
        <v>23522745</v>
      </c>
      <c r="C32" s="6" t="s">
        <v>237</v>
      </c>
      <c r="D32" s="14">
        <v>45880.761296296303</v>
      </c>
      <c r="E32" s="14">
        <v>45880.769166666672</v>
      </c>
      <c r="F32" s="6" t="s">
        <v>17</v>
      </c>
      <c r="G32" s="6" t="s">
        <v>17</v>
      </c>
      <c r="H32" s="6" t="s">
        <v>402</v>
      </c>
      <c r="I32" s="6" t="s">
        <v>16</v>
      </c>
      <c r="J32" s="6" t="s">
        <v>398</v>
      </c>
      <c r="K32" s="6" t="s">
        <v>360</v>
      </c>
      <c r="L32" s="6" t="s">
        <v>360</v>
      </c>
      <c r="M32" s="14">
        <v>45880.60833333333</v>
      </c>
      <c r="N32" s="6" t="s">
        <v>403</v>
      </c>
      <c r="O32" s="6" t="s">
        <v>83</v>
      </c>
      <c r="P32" s="6" t="s">
        <v>242</v>
      </c>
      <c r="Q32" s="6" t="s">
        <v>256</v>
      </c>
      <c r="R32" s="6" t="s">
        <v>256</v>
      </c>
      <c r="S32" s="6" t="s">
        <v>9</v>
      </c>
      <c r="T32" s="6" t="s">
        <v>245</v>
      </c>
      <c r="U32" s="6" t="s">
        <v>152</v>
      </c>
      <c r="V32" s="6" t="s">
        <v>400</v>
      </c>
      <c r="W32" s="6" t="s">
        <v>83</v>
      </c>
      <c r="X32" s="6" t="s">
        <v>404</v>
      </c>
      <c r="Y32" s="6" t="s">
        <v>83</v>
      </c>
      <c r="Z32" s="6" t="s">
        <v>71</v>
      </c>
      <c r="AA32" s="6" t="s">
        <v>83</v>
      </c>
      <c r="AB32" s="6">
        <v>3872.3519999999999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0</v>
      </c>
      <c r="AI32" s="6" t="s">
        <v>248</v>
      </c>
      <c r="AJ32" s="6" t="s">
        <v>401</v>
      </c>
      <c r="AK32" s="6" t="s">
        <v>16</v>
      </c>
      <c r="AL32" s="6" t="s">
        <v>58</v>
      </c>
      <c r="AM32" s="6" t="s">
        <v>74</v>
      </c>
      <c r="AN32" s="6" t="s">
        <v>20</v>
      </c>
      <c r="AO32" s="6" t="s">
        <v>250</v>
      </c>
      <c r="AP32" s="6" t="s">
        <v>251</v>
      </c>
      <c r="AQ32" s="6" t="s">
        <v>18</v>
      </c>
    </row>
    <row r="33" spans="1:43" x14ac:dyDescent="0.25">
      <c r="A33" s="6">
        <v>22724507</v>
      </c>
      <c r="B33" s="6">
        <v>23522747</v>
      </c>
      <c r="C33" s="6" t="s">
        <v>237</v>
      </c>
      <c r="D33" s="14">
        <v>45880.761377314811</v>
      </c>
      <c r="E33" s="14">
        <v>45880.769178240742</v>
      </c>
      <c r="F33" s="6" t="s">
        <v>17</v>
      </c>
      <c r="G33" s="6" t="s">
        <v>17</v>
      </c>
      <c r="H33" s="6" t="s">
        <v>405</v>
      </c>
      <c r="I33" s="6" t="s">
        <v>16</v>
      </c>
      <c r="J33" s="6" t="s">
        <v>398</v>
      </c>
      <c r="K33" s="6" t="s">
        <v>360</v>
      </c>
      <c r="L33" s="6" t="s">
        <v>360</v>
      </c>
      <c r="M33" s="14">
        <v>45880.611805555563</v>
      </c>
      <c r="N33" s="6" t="s">
        <v>406</v>
      </c>
      <c r="O33" s="6" t="s">
        <v>83</v>
      </c>
      <c r="P33" s="6" t="s">
        <v>242</v>
      </c>
      <c r="Q33" s="6" t="s">
        <v>256</v>
      </c>
      <c r="R33" s="6" t="s">
        <v>256</v>
      </c>
      <c r="S33" s="6" t="s">
        <v>9</v>
      </c>
      <c r="T33" s="6" t="s">
        <v>245</v>
      </c>
      <c r="U33" s="6" t="s">
        <v>152</v>
      </c>
      <c r="V33" s="6" t="s">
        <v>400</v>
      </c>
      <c r="W33" s="6" t="s">
        <v>83</v>
      </c>
      <c r="X33" s="6" t="s">
        <v>404</v>
      </c>
      <c r="Y33" s="6" t="s">
        <v>83</v>
      </c>
      <c r="Z33" s="6" t="s">
        <v>71</v>
      </c>
      <c r="AA33" s="6" t="s">
        <v>83</v>
      </c>
      <c r="AB33" s="6">
        <v>1936.1759999999999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 t="s">
        <v>248</v>
      </c>
      <c r="AJ33" s="6" t="s">
        <v>401</v>
      </c>
      <c r="AK33" s="6" t="s">
        <v>16</v>
      </c>
      <c r="AL33" s="6" t="s">
        <v>58</v>
      </c>
      <c r="AM33" s="6" t="s">
        <v>74</v>
      </c>
      <c r="AN33" s="6" t="s">
        <v>20</v>
      </c>
      <c r="AO33" s="6" t="s">
        <v>250</v>
      </c>
      <c r="AP33" s="6" t="s">
        <v>251</v>
      </c>
      <c r="AQ33" s="6" t="s">
        <v>18</v>
      </c>
    </row>
    <row r="34" spans="1:43" x14ac:dyDescent="0.25">
      <c r="A34" s="6">
        <v>22699175</v>
      </c>
      <c r="B34" s="6">
        <v>23501462</v>
      </c>
      <c r="C34" s="6" t="s">
        <v>237</v>
      </c>
      <c r="D34" s="14">
        <v>45876.376273148147</v>
      </c>
      <c r="E34" s="14">
        <v>45880.262835648151</v>
      </c>
      <c r="F34" s="6" t="s">
        <v>17</v>
      </c>
      <c r="G34" s="6" t="s">
        <v>21</v>
      </c>
      <c r="H34" s="6" t="s">
        <v>407</v>
      </c>
      <c r="I34" s="6" t="s">
        <v>16</v>
      </c>
      <c r="J34" s="6" t="s">
        <v>408</v>
      </c>
      <c r="K34" s="6" t="s">
        <v>360</v>
      </c>
      <c r="L34" s="6" t="s">
        <v>360</v>
      </c>
      <c r="M34" s="14">
        <v>45876.263194444437</v>
      </c>
      <c r="N34" s="6" t="s">
        <v>409</v>
      </c>
      <c r="O34" s="6" t="s">
        <v>410</v>
      </c>
      <c r="P34" s="6" t="s">
        <v>242</v>
      </c>
      <c r="Q34" s="6" t="s">
        <v>243</v>
      </c>
      <c r="R34" s="6" t="s">
        <v>244</v>
      </c>
      <c r="S34" s="6" t="s">
        <v>8</v>
      </c>
      <c r="T34" s="6" t="s">
        <v>245</v>
      </c>
      <c r="U34" s="6" t="s">
        <v>152</v>
      </c>
      <c r="V34" s="6" t="s">
        <v>400</v>
      </c>
      <c r="W34" s="6" t="s">
        <v>83</v>
      </c>
      <c r="X34" s="6" t="s">
        <v>411</v>
      </c>
      <c r="Y34" s="6" t="s">
        <v>83</v>
      </c>
      <c r="Z34" s="6" t="s">
        <v>71</v>
      </c>
      <c r="AA34" s="6" t="s">
        <v>83</v>
      </c>
      <c r="AB34" s="6">
        <v>2891.49</v>
      </c>
      <c r="AC34" s="6">
        <v>1726.4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248</v>
      </c>
      <c r="AJ34" s="6" t="s">
        <v>401</v>
      </c>
      <c r="AK34" s="6" t="s">
        <v>16</v>
      </c>
      <c r="AL34" s="6" t="s">
        <v>58</v>
      </c>
      <c r="AM34" s="6" t="s">
        <v>74</v>
      </c>
      <c r="AN34" s="6" t="s">
        <v>20</v>
      </c>
      <c r="AO34" s="6" t="s">
        <v>250</v>
      </c>
      <c r="AP34" s="6" t="s">
        <v>251</v>
      </c>
      <c r="AQ34" s="6" t="s">
        <v>18</v>
      </c>
    </row>
    <row r="35" spans="1:43" x14ac:dyDescent="0.25">
      <c r="A35" s="6">
        <v>22728482</v>
      </c>
      <c r="B35" s="6">
        <v>23526063</v>
      </c>
      <c r="C35" s="6" t="s">
        <v>237</v>
      </c>
      <c r="D35" s="14">
        <v>45881.417650462958</v>
      </c>
      <c r="E35" s="14">
        <v>45881.431342592587</v>
      </c>
      <c r="F35" s="6" t="s">
        <v>17</v>
      </c>
      <c r="G35" s="6" t="s">
        <v>17</v>
      </c>
      <c r="H35" s="6" t="s">
        <v>412</v>
      </c>
      <c r="I35" s="6" t="s">
        <v>16</v>
      </c>
      <c r="J35" s="6" t="s">
        <v>413</v>
      </c>
      <c r="K35" s="6" t="s">
        <v>360</v>
      </c>
      <c r="L35" s="6" t="s">
        <v>360</v>
      </c>
      <c r="M35" s="14">
        <v>45880.587500000001</v>
      </c>
      <c r="N35" s="6" t="s">
        <v>414</v>
      </c>
      <c r="O35" s="6" t="s">
        <v>83</v>
      </c>
      <c r="P35" s="6" t="s">
        <v>242</v>
      </c>
      <c r="Q35" s="6" t="s">
        <v>256</v>
      </c>
      <c r="R35" s="6" t="s">
        <v>256</v>
      </c>
      <c r="S35" s="6" t="s">
        <v>7</v>
      </c>
      <c r="T35" s="6" t="s">
        <v>245</v>
      </c>
      <c r="U35" s="6" t="s">
        <v>152</v>
      </c>
      <c r="V35" s="6" t="s">
        <v>400</v>
      </c>
      <c r="W35" s="6" t="s">
        <v>83</v>
      </c>
      <c r="X35" s="6" t="s">
        <v>306</v>
      </c>
      <c r="Y35" s="6">
        <v>2143233670</v>
      </c>
      <c r="Z35" s="6" t="s">
        <v>71</v>
      </c>
      <c r="AA35" s="6" t="s">
        <v>83</v>
      </c>
      <c r="AB35" s="6">
        <v>478.46</v>
      </c>
      <c r="AC35" s="6">
        <v>66.98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 t="s">
        <v>248</v>
      </c>
      <c r="AJ35" s="6" t="s">
        <v>401</v>
      </c>
      <c r="AK35" s="6" t="s">
        <v>16</v>
      </c>
      <c r="AL35" s="6" t="s">
        <v>58</v>
      </c>
      <c r="AM35" s="6" t="s">
        <v>74</v>
      </c>
      <c r="AN35" s="6" t="s">
        <v>20</v>
      </c>
      <c r="AO35" s="6" t="s">
        <v>250</v>
      </c>
      <c r="AP35" s="6" t="s">
        <v>251</v>
      </c>
      <c r="AQ35" s="6" t="s">
        <v>18</v>
      </c>
    </row>
    <row r="36" spans="1:43" x14ac:dyDescent="0.25">
      <c r="A36" s="6">
        <v>22730899</v>
      </c>
      <c r="B36" s="6">
        <v>23528408</v>
      </c>
      <c r="C36" s="6" t="s">
        <v>237</v>
      </c>
      <c r="D36" s="14">
        <v>45881.682789351849</v>
      </c>
      <c r="E36" s="14">
        <v>45881.68582175926</v>
      </c>
      <c r="F36" s="6" t="s">
        <v>17</v>
      </c>
      <c r="G36" s="6" t="s">
        <v>17</v>
      </c>
      <c r="H36" s="6" t="s">
        <v>415</v>
      </c>
      <c r="I36" s="6" t="s">
        <v>16</v>
      </c>
      <c r="J36" s="6" t="s">
        <v>416</v>
      </c>
      <c r="K36" s="6" t="s">
        <v>240</v>
      </c>
      <c r="L36" s="6" t="s">
        <v>417</v>
      </c>
      <c r="M36" s="14">
        <v>45834.568749999999</v>
      </c>
      <c r="N36" s="6" t="s">
        <v>418</v>
      </c>
      <c r="O36" s="6" t="s">
        <v>83</v>
      </c>
      <c r="P36" s="6" t="s">
        <v>272</v>
      </c>
      <c r="Q36" s="6" t="s">
        <v>243</v>
      </c>
      <c r="R36" s="6" t="s">
        <v>244</v>
      </c>
      <c r="S36" s="6" t="s">
        <v>7</v>
      </c>
      <c r="T36" s="6" t="s">
        <v>245</v>
      </c>
      <c r="U36" s="6" t="s">
        <v>168</v>
      </c>
      <c r="V36" s="6" t="s">
        <v>419</v>
      </c>
      <c r="W36" s="6" t="s">
        <v>83</v>
      </c>
      <c r="X36" s="6" t="s">
        <v>247</v>
      </c>
      <c r="Y36" s="6">
        <v>9785210000</v>
      </c>
      <c r="Z36" s="6" t="s">
        <v>71</v>
      </c>
      <c r="AA36" s="6" t="s">
        <v>83</v>
      </c>
      <c r="AB36" s="6">
        <v>56.76</v>
      </c>
      <c r="AC36" s="6">
        <v>55.65</v>
      </c>
      <c r="AD36" s="6">
        <v>228.16</v>
      </c>
      <c r="AE36" s="6">
        <v>0</v>
      </c>
      <c r="AF36" s="6">
        <v>55.65</v>
      </c>
      <c r="AG36" s="6">
        <v>0</v>
      </c>
      <c r="AH36" s="6">
        <v>0</v>
      </c>
      <c r="AI36" s="6" t="s">
        <v>248</v>
      </c>
      <c r="AJ36" s="6" t="s">
        <v>420</v>
      </c>
      <c r="AK36" s="6" t="s">
        <v>16</v>
      </c>
      <c r="AL36" s="6" t="s">
        <v>68</v>
      </c>
      <c r="AM36" s="6" t="s">
        <v>421</v>
      </c>
      <c r="AN36" s="6" t="s">
        <v>20</v>
      </c>
      <c r="AO36" s="6" t="s">
        <v>250</v>
      </c>
      <c r="AP36" s="6" t="s">
        <v>251</v>
      </c>
      <c r="AQ36" s="6" t="s">
        <v>33</v>
      </c>
    </row>
    <row r="37" spans="1:43" x14ac:dyDescent="0.25">
      <c r="A37" s="6">
        <v>22730899</v>
      </c>
      <c r="B37" s="6">
        <v>23528409</v>
      </c>
      <c r="C37" s="6" t="s">
        <v>378</v>
      </c>
      <c r="D37" s="14">
        <v>45881.682789351849</v>
      </c>
      <c r="E37" s="14">
        <v>45881.68582175926</v>
      </c>
      <c r="F37" s="6" t="s">
        <v>17</v>
      </c>
      <c r="G37" s="6" t="s">
        <v>17</v>
      </c>
      <c r="H37" s="6" t="s">
        <v>415</v>
      </c>
      <c r="I37" s="6" t="s">
        <v>16</v>
      </c>
      <c r="J37" s="6" t="s">
        <v>416</v>
      </c>
      <c r="K37" s="6" t="s">
        <v>240</v>
      </c>
      <c r="L37" s="6" t="s">
        <v>417</v>
      </c>
      <c r="M37" s="14">
        <v>45834.568749999999</v>
      </c>
      <c r="N37" s="6" t="s">
        <v>418</v>
      </c>
      <c r="O37" s="6" t="s">
        <v>83</v>
      </c>
      <c r="P37" s="6" t="s">
        <v>272</v>
      </c>
      <c r="Q37" s="6" t="s">
        <v>361</v>
      </c>
      <c r="R37" s="6" t="s">
        <v>339</v>
      </c>
      <c r="S37" s="6" t="s">
        <v>7</v>
      </c>
      <c r="T37" s="6" t="s">
        <v>245</v>
      </c>
      <c r="U37" s="6" t="s">
        <v>168</v>
      </c>
      <c r="V37" s="6" t="s">
        <v>419</v>
      </c>
      <c r="W37" s="6" t="s">
        <v>83</v>
      </c>
      <c r="X37" s="6" t="s">
        <v>247</v>
      </c>
      <c r="Y37" s="6">
        <v>9785210000</v>
      </c>
      <c r="Z37" s="6" t="s">
        <v>71</v>
      </c>
      <c r="AA37" s="6" t="s">
        <v>83</v>
      </c>
      <c r="AB37" s="6">
        <v>0</v>
      </c>
      <c r="AC37" s="6">
        <v>3.89</v>
      </c>
      <c r="AD37" s="6">
        <v>0</v>
      </c>
      <c r="AE37" s="6">
        <v>0</v>
      </c>
      <c r="AF37" s="6">
        <v>3.89</v>
      </c>
      <c r="AG37" s="6">
        <v>0</v>
      </c>
      <c r="AH37" s="6">
        <v>0</v>
      </c>
      <c r="AI37" s="6" t="s">
        <v>248</v>
      </c>
      <c r="AJ37" s="6" t="s">
        <v>420</v>
      </c>
      <c r="AK37" s="6" t="s">
        <v>16</v>
      </c>
      <c r="AL37" s="6" t="s">
        <v>68</v>
      </c>
      <c r="AM37" s="6" t="s">
        <v>421</v>
      </c>
      <c r="AN37" s="6" t="s">
        <v>20</v>
      </c>
      <c r="AO37" s="6" t="s">
        <v>250</v>
      </c>
      <c r="AP37" s="6" t="s">
        <v>251</v>
      </c>
      <c r="AQ37" s="6" t="s">
        <v>33</v>
      </c>
    </row>
    <row r="38" spans="1:43" x14ac:dyDescent="0.25">
      <c r="A38" s="6">
        <v>22693671</v>
      </c>
      <c r="B38" s="6">
        <v>23496581</v>
      </c>
      <c r="C38" s="6" t="s">
        <v>237</v>
      </c>
      <c r="D38" s="14">
        <v>45875.554942129631</v>
      </c>
      <c r="E38" s="14">
        <v>45875.56827546296</v>
      </c>
      <c r="F38" s="6" t="s">
        <v>21</v>
      </c>
      <c r="G38" s="6" t="s">
        <v>21</v>
      </c>
      <c r="H38" s="6" t="s">
        <v>422</v>
      </c>
      <c r="I38" s="6" t="s">
        <v>16</v>
      </c>
      <c r="J38" s="6" t="s">
        <v>423</v>
      </c>
      <c r="K38" s="6" t="s">
        <v>240</v>
      </c>
      <c r="L38" s="6" t="s">
        <v>360</v>
      </c>
      <c r="M38" s="14">
        <v>45869.65347222222</v>
      </c>
      <c r="N38" s="6" t="s">
        <v>422</v>
      </c>
      <c r="O38" s="6" t="s">
        <v>83</v>
      </c>
      <c r="P38" s="6" t="s">
        <v>242</v>
      </c>
      <c r="Q38" s="6" t="s">
        <v>256</v>
      </c>
      <c r="R38" s="6" t="s">
        <v>424</v>
      </c>
      <c r="S38" s="6" t="s">
        <v>7</v>
      </c>
      <c r="T38" s="6" t="s">
        <v>245</v>
      </c>
      <c r="U38" s="6" t="s">
        <v>168</v>
      </c>
      <c r="V38" s="6" t="s">
        <v>419</v>
      </c>
      <c r="W38" s="6" t="s">
        <v>83</v>
      </c>
      <c r="X38" s="6" t="s">
        <v>247</v>
      </c>
      <c r="Y38" s="6">
        <v>2971270833</v>
      </c>
      <c r="Z38" s="6" t="s">
        <v>71</v>
      </c>
      <c r="AA38" s="6" t="s">
        <v>83</v>
      </c>
      <c r="AB38" s="6">
        <v>2454.2800000000002</v>
      </c>
      <c r="AC38" s="6">
        <v>55.65</v>
      </c>
      <c r="AD38" s="6">
        <v>256.97000000000003</v>
      </c>
      <c r="AE38" s="6">
        <v>0</v>
      </c>
      <c r="AF38" s="6">
        <v>55.65</v>
      </c>
      <c r="AG38" s="6">
        <v>0</v>
      </c>
      <c r="AH38" s="6">
        <v>0</v>
      </c>
      <c r="AI38" s="6" t="s">
        <v>248</v>
      </c>
      <c r="AJ38" s="6" t="s">
        <v>425</v>
      </c>
      <c r="AK38" s="6" t="s">
        <v>16</v>
      </c>
      <c r="AL38" s="6" t="s">
        <v>51</v>
      </c>
      <c r="AM38" s="6" t="s">
        <v>342</v>
      </c>
      <c r="AN38" s="6" t="s">
        <v>26</v>
      </c>
      <c r="AO38" s="6" t="s">
        <v>250</v>
      </c>
      <c r="AP38" s="6" t="s">
        <v>262</v>
      </c>
      <c r="AQ38" s="6" t="s">
        <v>24</v>
      </c>
    </row>
    <row r="39" spans="1:43" x14ac:dyDescent="0.25">
      <c r="A39" s="6">
        <v>22693671</v>
      </c>
      <c r="B39" s="6">
        <v>23496582</v>
      </c>
      <c r="C39" s="6" t="s">
        <v>378</v>
      </c>
      <c r="D39" s="14">
        <v>45875.554942129631</v>
      </c>
      <c r="E39" s="14">
        <v>45875.56827546296</v>
      </c>
      <c r="F39" s="6" t="s">
        <v>21</v>
      </c>
      <c r="G39" s="6" t="s">
        <v>21</v>
      </c>
      <c r="H39" s="6" t="s">
        <v>422</v>
      </c>
      <c r="I39" s="6" t="s">
        <v>16</v>
      </c>
      <c r="J39" s="6" t="s">
        <v>423</v>
      </c>
      <c r="K39" s="6" t="s">
        <v>240</v>
      </c>
      <c r="L39" s="6" t="s">
        <v>360</v>
      </c>
      <c r="M39" s="14">
        <v>45869.65347222222</v>
      </c>
      <c r="N39" s="6" t="s">
        <v>422</v>
      </c>
      <c r="O39" s="6" t="s">
        <v>83</v>
      </c>
      <c r="P39" s="6" t="s">
        <v>242</v>
      </c>
      <c r="Q39" s="6" t="s">
        <v>256</v>
      </c>
      <c r="R39" s="6" t="s">
        <v>424</v>
      </c>
      <c r="S39" s="6" t="s">
        <v>7</v>
      </c>
      <c r="T39" s="6" t="s">
        <v>245</v>
      </c>
      <c r="U39" s="6" t="s">
        <v>168</v>
      </c>
      <c r="V39" s="6" t="s">
        <v>419</v>
      </c>
      <c r="W39" s="6" t="s">
        <v>83</v>
      </c>
      <c r="X39" s="6" t="s">
        <v>247</v>
      </c>
      <c r="Y39" s="6">
        <v>1918239181</v>
      </c>
      <c r="Z39" s="6" t="s">
        <v>71</v>
      </c>
      <c r="AA39" s="6" t="s">
        <v>83</v>
      </c>
      <c r="AB39" s="6">
        <v>220.45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 t="s">
        <v>248</v>
      </c>
      <c r="AJ39" s="6" t="s">
        <v>425</v>
      </c>
      <c r="AK39" s="6" t="s">
        <v>16</v>
      </c>
      <c r="AL39" s="6" t="s">
        <v>51</v>
      </c>
      <c r="AM39" s="6" t="s">
        <v>342</v>
      </c>
      <c r="AN39" s="6" t="s">
        <v>26</v>
      </c>
      <c r="AO39" s="6" t="s">
        <v>250</v>
      </c>
      <c r="AP39" s="6" t="s">
        <v>262</v>
      </c>
      <c r="AQ39" s="6" t="s">
        <v>24</v>
      </c>
    </row>
    <row r="40" spans="1:43" x14ac:dyDescent="0.25">
      <c r="A40" s="6">
        <v>22693671</v>
      </c>
      <c r="B40" s="6">
        <v>23496583</v>
      </c>
      <c r="C40" s="6" t="s">
        <v>426</v>
      </c>
      <c r="D40" s="14">
        <v>45875.554942129631</v>
      </c>
      <c r="E40" s="14">
        <v>45875.56827546296</v>
      </c>
      <c r="F40" s="6" t="s">
        <v>21</v>
      </c>
      <c r="G40" s="6" t="s">
        <v>21</v>
      </c>
      <c r="H40" s="6" t="s">
        <v>422</v>
      </c>
      <c r="I40" s="6" t="s">
        <v>16</v>
      </c>
      <c r="J40" s="6" t="s">
        <v>423</v>
      </c>
      <c r="K40" s="6" t="s">
        <v>240</v>
      </c>
      <c r="L40" s="6" t="s">
        <v>360</v>
      </c>
      <c r="M40" s="14">
        <v>45869.65347222222</v>
      </c>
      <c r="N40" s="6" t="s">
        <v>422</v>
      </c>
      <c r="O40" s="6" t="s">
        <v>83</v>
      </c>
      <c r="P40" s="6" t="s">
        <v>242</v>
      </c>
      <c r="Q40" s="6" t="s">
        <v>256</v>
      </c>
      <c r="R40" s="6" t="s">
        <v>424</v>
      </c>
      <c r="S40" s="6" t="s">
        <v>7</v>
      </c>
      <c r="T40" s="6" t="s">
        <v>245</v>
      </c>
      <c r="U40" s="6" t="s">
        <v>168</v>
      </c>
      <c r="V40" s="6" t="s">
        <v>419</v>
      </c>
      <c r="W40" s="6" t="s">
        <v>83</v>
      </c>
      <c r="X40" s="6" t="s">
        <v>247</v>
      </c>
      <c r="Y40" s="6">
        <v>1918239182</v>
      </c>
      <c r="Z40" s="6" t="s">
        <v>71</v>
      </c>
      <c r="AA40" s="6" t="s">
        <v>83</v>
      </c>
      <c r="AB40" s="6">
        <v>220.45</v>
      </c>
      <c r="AC40" s="6">
        <v>0</v>
      </c>
      <c r="AD40" s="6">
        <v>39.68</v>
      </c>
      <c r="AE40" s="6">
        <v>0</v>
      </c>
      <c r="AF40" s="6">
        <v>0</v>
      </c>
      <c r="AG40" s="6">
        <v>0</v>
      </c>
      <c r="AH40" s="6">
        <v>0</v>
      </c>
      <c r="AI40" s="6" t="s">
        <v>248</v>
      </c>
      <c r="AJ40" s="6" t="s">
        <v>425</v>
      </c>
      <c r="AK40" s="6" t="s">
        <v>16</v>
      </c>
      <c r="AL40" s="6" t="s">
        <v>51</v>
      </c>
      <c r="AM40" s="6" t="s">
        <v>342</v>
      </c>
      <c r="AN40" s="6" t="s">
        <v>26</v>
      </c>
      <c r="AO40" s="6" t="s">
        <v>250</v>
      </c>
      <c r="AP40" s="6" t="s">
        <v>262</v>
      </c>
      <c r="AQ40" s="6" t="s">
        <v>24</v>
      </c>
    </row>
    <row r="41" spans="1:43" x14ac:dyDescent="0.25">
      <c r="A41" s="6">
        <v>22732183</v>
      </c>
      <c r="B41" s="6">
        <v>23529631</v>
      </c>
      <c r="C41" s="6" t="s">
        <v>237</v>
      </c>
      <c r="D41" s="14">
        <v>45881.772534722222</v>
      </c>
      <c r="E41" s="14">
        <v>45881.773599537039</v>
      </c>
      <c r="F41" s="6" t="s">
        <v>17</v>
      </c>
      <c r="G41" s="6" t="s">
        <v>17</v>
      </c>
      <c r="H41" s="6" t="s">
        <v>427</v>
      </c>
      <c r="I41" s="6" t="s">
        <v>301</v>
      </c>
      <c r="J41" s="6" t="s">
        <v>428</v>
      </c>
      <c r="K41" s="6" t="s">
        <v>429</v>
      </c>
      <c r="L41" s="6" t="s">
        <v>429</v>
      </c>
      <c r="M41" s="14">
        <v>45881.237500000003</v>
      </c>
      <c r="N41" s="6" t="s">
        <v>83</v>
      </c>
      <c r="O41" s="6" t="s">
        <v>83</v>
      </c>
      <c r="P41" s="6" t="s">
        <v>272</v>
      </c>
      <c r="Q41" s="6" t="s">
        <v>256</v>
      </c>
      <c r="R41" s="6" t="s">
        <v>256</v>
      </c>
      <c r="S41" s="6" t="s">
        <v>7</v>
      </c>
      <c r="T41" s="6" t="s">
        <v>245</v>
      </c>
      <c r="U41" s="6" t="s">
        <v>121</v>
      </c>
      <c r="V41" s="6" t="s">
        <v>430</v>
      </c>
      <c r="W41" s="6" t="s">
        <v>83</v>
      </c>
      <c r="X41" s="6" t="s">
        <v>247</v>
      </c>
      <c r="Y41" s="6">
        <v>2245553084</v>
      </c>
      <c r="Z41" s="6" t="s">
        <v>41</v>
      </c>
      <c r="AA41" s="6" t="s">
        <v>83</v>
      </c>
      <c r="AB41" s="6">
        <v>618.32000000000005</v>
      </c>
      <c r="AC41" s="6">
        <v>60.62</v>
      </c>
      <c r="AD41" s="6">
        <v>0</v>
      </c>
      <c r="AE41" s="6">
        <v>0</v>
      </c>
      <c r="AF41" s="6">
        <v>0</v>
      </c>
      <c r="AG41" s="6">
        <v>0</v>
      </c>
      <c r="AH41" s="6">
        <v>40.81</v>
      </c>
      <c r="AI41" s="6" t="s">
        <v>431</v>
      </c>
      <c r="AJ41" s="6" t="s">
        <v>432</v>
      </c>
      <c r="AK41" s="6" t="s">
        <v>41</v>
      </c>
      <c r="AL41" s="6" t="s">
        <v>53</v>
      </c>
      <c r="AM41" s="6" t="s">
        <v>314</v>
      </c>
      <c r="AN41" s="6" t="s">
        <v>35</v>
      </c>
      <c r="AO41" s="6" t="s">
        <v>250</v>
      </c>
      <c r="AP41" s="6" t="s">
        <v>433</v>
      </c>
      <c r="AQ41" s="6" t="s">
        <v>92</v>
      </c>
    </row>
    <row r="42" spans="1:43" x14ac:dyDescent="0.25">
      <c r="A42" s="6">
        <v>22732394</v>
      </c>
      <c r="B42" s="6">
        <v>23529831</v>
      </c>
      <c r="C42" s="6" t="s">
        <v>237</v>
      </c>
      <c r="D42" s="14">
        <v>45881.780532407407</v>
      </c>
      <c r="E42" s="14">
        <v>45881.781898148147</v>
      </c>
      <c r="F42" s="6" t="s">
        <v>17</v>
      </c>
      <c r="G42" s="6" t="s">
        <v>17</v>
      </c>
      <c r="H42" s="6" t="s">
        <v>434</v>
      </c>
      <c r="I42" s="6" t="s">
        <v>301</v>
      </c>
      <c r="J42" s="6" t="s">
        <v>435</v>
      </c>
      <c r="K42" s="6" t="s">
        <v>429</v>
      </c>
      <c r="L42" s="6" t="s">
        <v>429</v>
      </c>
      <c r="M42" s="14">
        <v>45881.279861111107</v>
      </c>
      <c r="N42" s="6" t="s">
        <v>83</v>
      </c>
      <c r="O42" s="6" t="s">
        <v>83</v>
      </c>
      <c r="P42" s="6" t="s">
        <v>272</v>
      </c>
      <c r="Q42" s="6" t="s">
        <v>256</v>
      </c>
      <c r="R42" s="6" t="s">
        <v>256</v>
      </c>
      <c r="S42" s="6" t="s">
        <v>7</v>
      </c>
      <c r="T42" s="6" t="s">
        <v>245</v>
      </c>
      <c r="U42" s="6" t="s">
        <v>121</v>
      </c>
      <c r="V42" s="6" t="s">
        <v>436</v>
      </c>
      <c r="W42" s="6" t="s">
        <v>83</v>
      </c>
      <c r="X42" s="6" t="s">
        <v>306</v>
      </c>
      <c r="Y42" s="6">
        <v>2143317777</v>
      </c>
      <c r="Z42" s="6" t="s">
        <v>41</v>
      </c>
      <c r="AA42" s="6" t="s">
        <v>83</v>
      </c>
      <c r="AB42" s="6">
        <v>2447.73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80</v>
      </c>
      <c r="AI42" s="6" t="s">
        <v>431</v>
      </c>
      <c r="AJ42" s="6" t="s">
        <v>307</v>
      </c>
      <c r="AK42" s="6" t="s">
        <v>41</v>
      </c>
      <c r="AL42" s="6" t="s">
        <v>60</v>
      </c>
      <c r="AM42" s="6" t="s">
        <v>308</v>
      </c>
      <c r="AN42" s="6" t="s">
        <v>26</v>
      </c>
      <c r="AO42" s="6" t="s">
        <v>250</v>
      </c>
      <c r="AP42" s="6" t="s">
        <v>433</v>
      </c>
      <c r="AQ42" s="6" t="s">
        <v>92</v>
      </c>
    </row>
    <row r="43" spans="1:43" x14ac:dyDescent="0.25">
      <c r="A43" s="6">
        <v>22732394</v>
      </c>
      <c r="B43" s="6">
        <v>23529832</v>
      </c>
      <c r="C43" s="6" t="s">
        <v>378</v>
      </c>
      <c r="D43" s="14">
        <v>45881.780532407407</v>
      </c>
      <c r="E43" s="14">
        <v>45881.781898148147</v>
      </c>
      <c r="F43" s="6" t="s">
        <v>17</v>
      </c>
      <c r="G43" s="6" t="s">
        <v>17</v>
      </c>
      <c r="H43" s="6" t="s">
        <v>434</v>
      </c>
      <c r="I43" s="6" t="s">
        <v>301</v>
      </c>
      <c r="J43" s="6" t="s">
        <v>437</v>
      </c>
      <c r="K43" s="6" t="s">
        <v>429</v>
      </c>
      <c r="L43" s="6" t="s">
        <v>429</v>
      </c>
      <c r="M43" s="14">
        <v>45881.279861111107</v>
      </c>
      <c r="N43" s="6" t="s">
        <v>83</v>
      </c>
      <c r="O43" s="6" t="s">
        <v>83</v>
      </c>
      <c r="P43" s="6" t="s">
        <v>272</v>
      </c>
      <c r="Q43" s="6" t="s">
        <v>256</v>
      </c>
      <c r="R43" s="6" t="s">
        <v>256</v>
      </c>
      <c r="S43" s="6" t="s">
        <v>7</v>
      </c>
      <c r="T43" s="6" t="s">
        <v>245</v>
      </c>
      <c r="U43" s="6" t="s">
        <v>121</v>
      </c>
      <c r="V43" s="6" t="s">
        <v>436</v>
      </c>
      <c r="W43" s="6" t="s">
        <v>83</v>
      </c>
      <c r="X43" s="6" t="s">
        <v>306</v>
      </c>
      <c r="Y43" s="6">
        <v>2143317787</v>
      </c>
      <c r="Z43" s="6" t="s">
        <v>41</v>
      </c>
      <c r="AA43" s="6" t="s">
        <v>83</v>
      </c>
      <c r="AB43" s="6">
        <v>2447.73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  <c r="AI43" s="6" t="s">
        <v>431</v>
      </c>
      <c r="AJ43" s="6" t="s">
        <v>307</v>
      </c>
      <c r="AK43" s="6" t="s">
        <v>41</v>
      </c>
      <c r="AL43" s="6" t="s">
        <v>60</v>
      </c>
      <c r="AM43" s="6" t="s">
        <v>308</v>
      </c>
      <c r="AN43" s="6" t="s">
        <v>26</v>
      </c>
      <c r="AO43" s="6" t="s">
        <v>250</v>
      </c>
      <c r="AP43" s="6" t="s">
        <v>433</v>
      </c>
      <c r="AQ43" s="6" t="s">
        <v>92</v>
      </c>
    </row>
    <row r="44" spans="1:43" x14ac:dyDescent="0.25">
      <c r="A44" s="6">
        <v>22731936</v>
      </c>
      <c r="B44" s="6">
        <v>23529387</v>
      </c>
      <c r="C44" s="6" t="s">
        <v>237</v>
      </c>
      <c r="D44" s="14">
        <v>45881.764386574083</v>
      </c>
      <c r="E44" s="14">
        <v>45881.765138888892</v>
      </c>
      <c r="F44" s="6" t="s">
        <v>17</v>
      </c>
      <c r="G44" s="6" t="s">
        <v>17</v>
      </c>
      <c r="H44" s="6" t="s">
        <v>438</v>
      </c>
      <c r="I44" s="6" t="s">
        <v>301</v>
      </c>
      <c r="J44" s="6" t="s">
        <v>439</v>
      </c>
      <c r="K44" s="6" t="s">
        <v>429</v>
      </c>
      <c r="L44" s="6" t="s">
        <v>429</v>
      </c>
      <c r="M44" s="14">
        <v>45881.120138888888</v>
      </c>
      <c r="N44" s="6" t="s">
        <v>83</v>
      </c>
      <c r="O44" s="6" t="s">
        <v>83</v>
      </c>
      <c r="P44" s="6" t="s">
        <v>272</v>
      </c>
      <c r="Q44" s="6" t="s">
        <v>256</v>
      </c>
      <c r="R44" s="6" t="s">
        <v>256</v>
      </c>
      <c r="S44" s="6" t="s">
        <v>7</v>
      </c>
      <c r="T44" s="6" t="s">
        <v>245</v>
      </c>
      <c r="U44" s="6" t="s">
        <v>121</v>
      </c>
      <c r="V44" s="6" t="s">
        <v>440</v>
      </c>
      <c r="W44" s="6" t="s">
        <v>83</v>
      </c>
      <c r="X44" s="6" t="s">
        <v>318</v>
      </c>
      <c r="Y44" s="6">
        <v>362621474</v>
      </c>
      <c r="Z44" s="6" t="s">
        <v>41</v>
      </c>
      <c r="AA44" s="6" t="s">
        <v>83</v>
      </c>
      <c r="AB44" s="6">
        <v>1869.67</v>
      </c>
      <c r="AC44" s="6">
        <v>48.16</v>
      </c>
      <c r="AD44" s="6">
        <v>0</v>
      </c>
      <c r="AE44" s="6">
        <v>0</v>
      </c>
      <c r="AF44" s="6">
        <v>0</v>
      </c>
      <c r="AG44" s="6">
        <v>0</v>
      </c>
      <c r="AH44" s="6">
        <v>224.36</v>
      </c>
      <c r="AI44" s="6" t="s">
        <v>431</v>
      </c>
      <c r="AJ44" s="6" t="s">
        <v>432</v>
      </c>
      <c r="AK44" s="6" t="s">
        <v>41</v>
      </c>
      <c r="AL44" s="6" t="s">
        <v>53</v>
      </c>
      <c r="AM44" s="6" t="s">
        <v>314</v>
      </c>
      <c r="AN44" s="6" t="s">
        <v>35</v>
      </c>
      <c r="AO44" s="6" t="s">
        <v>250</v>
      </c>
      <c r="AP44" s="6" t="s">
        <v>433</v>
      </c>
      <c r="AQ44" s="6" t="s">
        <v>92</v>
      </c>
    </row>
    <row r="45" spans="1:43" x14ac:dyDescent="0.25">
      <c r="A45" s="6">
        <v>22732927</v>
      </c>
      <c r="B45" s="6">
        <v>23530344</v>
      </c>
      <c r="C45" s="6" t="s">
        <v>237</v>
      </c>
      <c r="D45" s="14">
        <v>45881.822210648148</v>
      </c>
      <c r="E45" s="14">
        <v>45881.823541666658</v>
      </c>
      <c r="F45" s="6" t="s">
        <v>17</v>
      </c>
      <c r="G45" s="6" t="s">
        <v>17</v>
      </c>
      <c r="H45" s="6" t="s">
        <v>441</v>
      </c>
      <c r="I45" s="6" t="s">
        <v>301</v>
      </c>
      <c r="J45" s="6" t="s">
        <v>442</v>
      </c>
      <c r="K45" s="6" t="s">
        <v>429</v>
      </c>
      <c r="L45" s="6" t="s">
        <v>429</v>
      </c>
      <c r="M45" s="14">
        <v>45881.25277777778</v>
      </c>
      <c r="N45" s="6" t="s">
        <v>83</v>
      </c>
      <c r="O45" s="6" t="s">
        <v>83</v>
      </c>
      <c r="P45" s="6" t="s">
        <v>272</v>
      </c>
      <c r="Q45" s="6" t="s">
        <v>256</v>
      </c>
      <c r="R45" s="6" t="s">
        <v>256</v>
      </c>
      <c r="S45" s="6" t="s">
        <v>7</v>
      </c>
      <c r="T45" s="6" t="s">
        <v>245</v>
      </c>
      <c r="U45" s="6" t="s">
        <v>121</v>
      </c>
      <c r="V45" s="6" t="s">
        <v>443</v>
      </c>
      <c r="W45" s="6" t="s">
        <v>83</v>
      </c>
      <c r="X45" s="6" t="s">
        <v>247</v>
      </c>
      <c r="Y45" s="6">
        <v>2245572251</v>
      </c>
      <c r="Z45" s="6" t="s">
        <v>41</v>
      </c>
      <c r="AA45" s="6" t="s">
        <v>83</v>
      </c>
      <c r="AB45" s="6">
        <v>2206.15</v>
      </c>
      <c r="AC45" s="6">
        <v>245.88</v>
      </c>
      <c r="AD45" s="6">
        <v>0</v>
      </c>
      <c r="AE45" s="6">
        <v>154.43</v>
      </c>
      <c r="AF45" s="6">
        <v>0</v>
      </c>
      <c r="AG45" s="6">
        <v>0</v>
      </c>
      <c r="AH45" s="6">
        <v>141.63</v>
      </c>
      <c r="AI45" s="6" t="s">
        <v>431</v>
      </c>
      <c r="AJ45" s="6" t="s">
        <v>432</v>
      </c>
      <c r="AK45" s="6" t="s">
        <v>41</v>
      </c>
      <c r="AL45" s="6" t="s">
        <v>53</v>
      </c>
      <c r="AM45" s="6" t="s">
        <v>314</v>
      </c>
      <c r="AN45" s="6" t="s">
        <v>35</v>
      </c>
      <c r="AO45" s="6" t="s">
        <v>250</v>
      </c>
      <c r="AP45" s="6" t="s">
        <v>433</v>
      </c>
      <c r="AQ45" s="6" t="s">
        <v>92</v>
      </c>
    </row>
    <row r="46" spans="1:43" x14ac:dyDescent="0.25">
      <c r="A46" s="6">
        <v>22733023</v>
      </c>
      <c r="B46" s="6">
        <v>23530418</v>
      </c>
      <c r="C46" s="6" t="s">
        <v>237</v>
      </c>
      <c r="D46" s="14">
        <v>45881.861064814817</v>
      </c>
      <c r="E46" s="14">
        <v>45881.863113425927</v>
      </c>
      <c r="F46" s="6" t="s">
        <v>17</v>
      </c>
      <c r="G46" s="6" t="s">
        <v>17</v>
      </c>
      <c r="H46" s="6" t="s">
        <v>444</v>
      </c>
      <c r="I46" s="6" t="s">
        <v>301</v>
      </c>
      <c r="J46" s="6" t="s">
        <v>445</v>
      </c>
      <c r="K46" s="6" t="s">
        <v>429</v>
      </c>
      <c r="L46" s="6" t="s">
        <v>429</v>
      </c>
      <c r="M46" s="14">
        <v>45881.356944444437</v>
      </c>
      <c r="N46" s="6" t="s">
        <v>83</v>
      </c>
      <c r="O46" s="6" t="s">
        <v>83</v>
      </c>
      <c r="P46" s="6" t="s">
        <v>272</v>
      </c>
      <c r="Q46" s="6" t="s">
        <v>256</v>
      </c>
      <c r="R46" s="6" t="s">
        <v>256</v>
      </c>
      <c r="S46" s="6" t="s">
        <v>7</v>
      </c>
      <c r="T46" s="6" t="s">
        <v>245</v>
      </c>
      <c r="U46" s="6" t="s">
        <v>121</v>
      </c>
      <c r="V46" s="6" t="s">
        <v>446</v>
      </c>
      <c r="W46" s="6" t="s">
        <v>83</v>
      </c>
      <c r="X46" s="6" t="s">
        <v>247</v>
      </c>
      <c r="Y46" s="6">
        <v>2245581911</v>
      </c>
      <c r="Z46" s="6" t="s">
        <v>41</v>
      </c>
      <c r="AA46" s="6" t="s">
        <v>83</v>
      </c>
      <c r="AB46" s="6">
        <v>1141.2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40</v>
      </c>
      <c r="AI46" s="6" t="s">
        <v>431</v>
      </c>
      <c r="AJ46" s="6" t="s">
        <v>432</v>
      </c>
      <c r="AK46" s="6" t="s">
        <v>41</v>
      </c>
      <c r="AL46" s="6" t="s">
        <v>53</v>
      </c>
      <c r="AM46" s="6" t="s">
        <v>314</v>
      </c>
      <c r="AN46" s="6" t="s">
        <v>35</v>
      </c>
      <c r="AO46" s="6" t="s">
        <v>250</v>
      </c>
      <c r="AP46" s="6" t="s">
        <v>433</v>
      </c>
      <c r="AQ46" s="6" t="s">
        <v>92</v>
      </c>
    </row>
    <row r="47" spans="1:43" x14ac:dyDescent="0.25">
      <c r="A47" s="6">
        <v>22651101</v>
      </c>
      <c r="B47" s="6">
        <v>23460675</v>
      </c>
      <c r="C47" s="6" t="s">
        <v>237</v>
      </c>
      <c r="D47" s="14">
        <v>45868.529861111107</v>
      </c>
      <c r="E47" s="14">
        <v>45869.413171296299</v>
      </c>
      <c r="F47" s="6" t="s">
        <v>23</v>
      </c>
      <c r="G47" s="6" t="s">
        <v>23</v>
      </c>
      <c r="H47" s="6" t="s">
        <v>447</v>
      </c>
      <c r="I47" s="6" t="s">
        <v>301</v>
      </c>
      <c r="J47" s="6" t="s">
        <v>448</v>
      </c>
      <c r="K47" s="6" t="s">
        <v>429</v>
      </c>
      <c r="L47" s="6" t="s">
        <v>429</v>
      </c>
      <c r="M47" s="14">
        <v>45867.268750000003</v>
      </c>
      <c r="N47" s="6" t="s">
        <v>83</v>
      </c>
      <c r="O47" s="6" t="s">
        <v>83</v>
      </c>
      <c r="P47" s="6" t="s">
        <v>272</v>
      </c>
      <c r="Q47" s="6" t="s">
        <v>361</v>
      </c>
      <c r="R47" s="6" t="s">
        <v>361</v>
      </c>
      <c r="S47" s="6" t="s">
        <v>7</v>
      </c>
      <c r="T47" s="6" t="s">
        <v>449</v>
      </c>
      <c r="U47" s="6" t="s">
        <v>121</v>
      </c>
      <c r="V47" s="6" t="s">
        <v>450</v>
      </c>
      <c r="W47" s="6" t="s">
        <v>83</v>
      </c>
      <c r="X47" s="6" t="s">
        <v>318</v>
      </c>
      <c r="Y47" s="6">
        <v>980419988</v>
      </c>
      <c r="Z47" s="6" t="s">
        <v>41</v>
      </c>
      <c r="AA47" s="6" t="s">
        <v>83</v>
      </c>
      <c r="AB47" s="6">
        <v>713.2</v>
      </c>
      <c r="AC47" s="6">
        <v>36.67</v>
      </c>
      <c r="AD47" s="6">
        <v>0</v>
      </c>
      <c r="AE47" s="6">
        <v>0</v>
      </c>
      <c r="AF47" s="6">
        <v>0</v>
      </c>
      <c r="AG47" s="6">
        <v>0</v>
      </c>
      <c r="AH47" s="6">
        <v>92.72</v>
      </c>
      <c r="AI47" s="6" t="s">
        <v>431</v>
      </c>
      <c r="AJ47" s="6" t="s">
        <v>381</v>
      </c>
      <c r="AK47" s="6" t="s">
        <v>41</v>
      </c>
      <c r="AL47" s="6" t="s">
        <v>55</v>
      </c>
      <c r="AM47" s="6" t="s">
        <v>363</v>
      </c>
      <c r="AN47" s="6" t="s">
        <v>20</v>
      </c>
      <c r="AO47" s="6" t="s">
        <v>250</v>
      </c>
      <c r="AP47" s="6" t="s">
        <v>433</v>
      </c>
      <c r="AQ47" s="6" t="s">
        <v>92</v>
      </c>
    </row>
    <row r="48" spans="1:43" x14ac:dyDescent="0.25">
      <c r="A48" s="6">
        <v>22686963</v>
      </c>
      <c r="B48" s="6">
        <v>23490647</v>
      </c>
      <c r="C48" s="6" t="s">
        <v>237</v>
      </c>
      <c r="D48" s="14">
        <v>45874.654282407413</v>
      </c>
      <c r="E48" s="14">
        <v>45875.769467592603</v>
      </c>
      <c r="F48" s="6" t="s">
        <v>21</v>
      </c>
      <c r="G48" s="6" t="s">
        <v>21</v>
      </c>
      <c r="H48" s="6" t="s">
        <v>451</v>
      </c>
      <c r="I48" s="6" t="s">
        <v>301</v>
      </c>
      <c r="J48" s="6" t="s">
        <v>452</v>
      </c>
      <c r="K48" s="6" t="s">
        <v>429</v>
      </c>
      <c r="L48" s="6" t="s">
        <v>429</v>
      </c>
      <c r="M48" s="14">
        <v>45874.152083333327</v>
      </c>
      <c r="N48" s="6" t="s">
        <v>83</v>
      </c>
      <c r="O48" s="6" t="s">
        <v>83</v>
      </c>
      <c r="P48" s="6" t="s">
        <v>272</v>
      </c>
      <c r="Q48" s="6" t="s">
        <v>243</v>
      </c>
      <c r="R48" s="6" t="s">
        <v>304</v>
      </c>
      <c r="S48" s="6" t="s">
        <v>7</v>
      </c>
      <c r="T48" s="6" t="s">
        <v>449</v>
      </c>
      <c r="U48" s="6" t="s">
        <v>121</v>
      </c>
      <c r="V48" s="6" t="s">
        <v>453</v>
      </c>
      <c r="W48" s="6" t="s">
        <v>83</v>
      </c>
      <c r="X48" s="6" t="s">
        <v>318</v>
      </c>
      <c r="Y48" s="6">
        <v>3023498529</v>
      </c>
      <c r="Z48" s="6" t="s">
        <v>41</v>
      </c>
      <c r="AA48" s="6" t="s">
        <v>83</v>
      </c>
      <c r="AB48" s="6">
        <v>0.01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 t="s">
        <v>431</v>
      </c>
      <c r="AJ48" s="6" t="s">
        <v>454</v>
      </c>
      <c r="AK48" s="6" t="s">
        <v>41</v>
      </c>
      <c r="AL48" s="6" t="s">
        <v>53</v>
      </c>
      <c r="AM48" s="6" t="s">
        <v>314</v>
      </c>
      <c r="AN48" s="6" t="s">
        <v>35</v>
      </c>
      <c r="AO48" s="6" t="s">
        <v>250</v>
      </c>
      <c r="AP48" s="6" t="s">
        <v>433</v>
      </c>
      <c r="AQ48" s="6" t="s">
        <v>92</v>
      </c>
    </row>
    <row r="49" spans="1:43" x14ac:dyDescent="0.25">
      <c r="A49" s="6">
        <v>22692401</v>
      </c>
      <c r="B49" s="6">
        <v>23495383</v>
      </c>
      <c r="C49" s="6" t="s">
        <v>237</v>
      </c>
      <c r="D49" s="14">
        <v>45875.45380787037</v>
      </c>
      <c r="E49" s="14">
        <v>45875.455543981479</v>
      </c>
      <c r="F49" s="6" t="s">
        <v>21</v>
      </c>
      <c r="G49" s="6" t="s">
        <v>21</v>
      </c>
      <c r="H49" s="6" t="s">
        <v>455</v>
      </c>
      <c r="I49" s="6" t="s">
        <v>15</v>
      </c>
      <c r="J49" s="6" t="s">
        <v>456</v>
      </c>
      <c r="K49" s="6" t="s">
        <v>429</v>
      </c>
      <c r="L49" s="6" t="s">
        <v>429</v>
      </c>
      <c r="M49" s="14">
        <v>45869.048611111109</v>
      </c>
      <c r="N49" s="6" t="s">
        <v>83</v>
      </c>
      <c r="O49" s="6" t="s">
        <v>83</v>
      </c>
      <c r="P49" s="6" t="s">
        <v>272</v>
      </c>
      <c r="Q49" s="6" t="s">
        <v>256</v>
      </c>
      <c r="R49" s="6" t="s">
        <v>256</v>
      </c>
      <c r="S49" s="6" t="s">
        <v>7</v>
      </c>
      <c r="T49" s="6" t="s">
        <v>449</v>
      </c>
      <c r="U49" s="6" t="s">
        <v>121</v>
      </c>
      <c r="V49" s="6" t="s">
        <v>457</v>
      </c>
      <c r="W49" s="6" t="s">
        <v>83</v>
      </c>
      <c r="X49" s="6" t="s">
        <v>247</v>
      </c>
      <c r="Y49" s="6">
        <v>2243683469</v>
      </c>
      <c r="Z49" s="6" t="s">
        <v>41</v>
      </c>
      <c r="AA49" s="6" t="s">
        <v>83</v>
      </c>
      <c r="AB49" s="6">
        <v>590.32000000000005</v>
      </c>
      <c r="AC49" s="6">
        <v>30.95</v>
      </c>
      <c r="AD49" s="6">
        <v>0</v>
      </c>
      <c r="AE49" s="6">
        <v>59.03</v>
      </c>
      <c r="AF49" s="6">
        <v>0</v>
      </c>
      <c r="AG49" s="6">
        <v>0</v>
      </c>
      <c r="AH49" s="6">
        <v>0</v>
      </c>
      <c r="AI49" s="6" t="s">
        <v>458</v>
      </c>
      <c r="AJ49" s="6" t="s">
        <v>459</v>
      </c>
      <c r="AK49" s="6" t="s">
        <v>41</v>
      </c>
      <c r="AL49" s="6" t="s">
        <v>51</v>
      </c>
      <c r="AM49" s="6" t="s">
        <v>342</v>
      </c>
      <c r="AN49" s="6" t="s">
        <v>26</v>
      </c>
      <c r="AO49" s="6" t="s">
        <v>250</v>
      </c>
      <c r="AP49" s="6" t="s">
        <v>433</v>
      </c>
      <c r="AQ49" s="6" t="s">
        <v>92</v>
      </c>
    </row>
    <row r="50" spans="1:43" x14ac:dyDescent="0.25">
      <c r="A50" s="6">
        <v>22693812</v>
      </c>
      <c r="B50" s="6">
        <v>23496718</v>
      </c>
      <c r="C50" s="6" t="s">
        <v>237</v>
      </c>
      <c r="D50" s="14">
        <v>45875.574942129628</v>
      </c>
      <c r="E50" s="14">
        <v>45875.576539351852</v>
      </c>
      <c r="F50" s="6" t="s">
        <v>21</v>
      </c>
      <c r="G50" s="6" t="s">
        <v>21</v>
      </c>
      <c r="H50" s="6" t="s">
        <v>460</v>
      </c>
      <c r="I50" s="6" t="s">
        <v>301</v>
      </c>
      <c r="J50" s="6" t="s">
        <v>461</v>
      </c>
      <c r="K50" s="6" t="s">
        <v>429</v>
      </c>
      <c r="L50" s="6" t="s">
        <v>429</v>
      </c>
      <c r="M50" s="14">
        <v>45875.072916666657</v>
      </c>
      <c r="N50" s="6" t="s">
        <v>83</v>
      </c>
      <c r="O50" s="6" t="s">
        <v>83</v>
      </c>
      <c r="P50" s="6" t="s">
        <v>272</v>
      </c>
      <c r="Q50" s="6" t="s">
        <v>256</v>
      </c>
      <c r="R50" s="6" t="s">
        <v>256</v>
      </c>
      <c r="S50" s="6" t="s">
        <v>7</v>
      </c>
      <c r="T50" s="6" t="s">
        <v>245</v>
      </c>
      <c r="U50" s="6" t="s">
        <v>121</v>
      </c>
      <c r="V50" s="6" t="s">
        <v>462</v>
      </c>
      <c r="W50" s="6" t="s">
        <v>83</v>
      </c>
      <c r="X50" s="6" t="s">
        <v>318</v>
      </c>
      <c r="Y50" s="6">
        <v>863078581</v>
      </c>
      <c r="Z50" s="6" t="s">
        <v>41</v>
      </c>
      <c r="AA50" s="6" t="s">
        <v>83</v>
      </c>
      <c r="AB50" s="6">
        <v>548.91999999999996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40</v>
      </c>
      <c r="AI50" s="6" t="s">
        <v>431</v>
      </c>
      <c r="AJ50" s="6" t="s">
        <v>307</v>
      </c>
      <c r="AK50" s="6" t="s">
        <v>41</v>
      </c>
      <c r="AL50" s="6" t="s">
        <v>60</v>
      </c>
      <c r="AM50" s="6" t="s">
        <v>308</v>
      </c>
      <c r="AN50" s="6" t="s">
        <v>26</v>
      </c>
      <c r="AO50" s="6" t="s">
        <v>250</v>
      </c>
      <c r="AP50" s="6" t="s">
        <v>433</v>
      </c>
      <c r="AQ50" s="6" t="s">
        <v>92</v>
      </c>
    </row>
    <row r="51" spans="1:43" x14ac:dyDescent="0.25">
      <c r="A51" s="6">
        <v>22693553</v>
      </c>
      <c r="B51" s="6">
        <v>23496484</v>
      </c>
      <c r="C51" s="6" t="s">
        <v>237</v>
      </c>
      <c r="D51" s="14">
        <v>45875.53638888889</v>
      </c>
      <c r="E51" s="14">
        <v>45875.538460648153</v>
      </c>
      <c r="F51" s="6" t="s">
        <v>21</v>
      </c>
      <c r="G51" s="6" t="s">
        <v>21</v>
      </c>
      <c r="H51" s="6" t="s">
        <v>463</v>
      </c>
      <c r="I51" s="6" t="s">
        <v>301</v>
      </c>
      <c r="J51" s="6" t="s">
        <v>464</v>
      </c>
      <c r="K51" s="6" t="s">
        <v>429</v>
      </c>
      <c r="L51" s="6" t="s">
        <v>429</v>
      </c>
      <c r="M51" s="14">
        <v>45875.535416666673</v>
      </c>
      <c r="N51" s="6" t="s">
        <v>83</v>
      </c>
      <c r="O51" s="6" t="s">
        <v>83</v>
      </c>
      <c r="P51" s="6" t="s">
        <v>272</v>
      </c>
      <c r="Q51" s="6" t="s">
        <v>256</v>
      </c>
      <c r="R51" s="6" t="s">
        <v>256</v>
      </c>
      <c r="S51" s="6" t="s">
        <v>7</v>
      </c>
      <c r="T51" s="6" t="s">
        <v>245</v>
      </c>
      <c r="U51" s="6" t="s">
        <v>121</v>
      </c>
      <c r="V51" s="6" t="s">
        <v>465</v>
      </c>
      <c r="W51" s="6" t="s">
        <v>83</v>
      </c>
      <c r="X51" s="6" t="s">
        <v>318</v>
      </c>
      <c r="Y51" s="6">
        <v>442777606</v>
      </c>
      <c r="Z51" s="6" t="s">
        <v>41</v>
      </c>
      <c r="AA51" s="6" t="s">
        <v>83</v>
      </c>
      <c r="AB51" s="6">
        <v>71.8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40</v>
      </c>
      <c r="AI51" s="6" t="s">
        <v>431</v>
      </c>
      <c r="AJ51" s="6" t="s">
        <v>307</v>
      </c>
      <c r="AK51" s="6" t="s">
        <v>41</v>
      </c>
      <c r="AL51" s="6" t="s">
        <v>60</v>
      </c>
      <c r="AM51" s="6" t="s">
        <v>308</v>
      </c>
      <c r="AN51" s="6" t="s">
        <v>26</v>
      </c>
      <c r="AO51" s="6" t="s">
        <v>250</v>
      </c>
      <c r="AP51" s="6" t="s">
        <v>433</v>
      </c>
      <c r="AQ51" s="6" t="s">
        <v>92</v>
      </c>
    </row>
    <row r="52" spans="1:43" x14ac:dyDescent="0.25">
      <c r="A52" s="6">
        <v>22700070</v>
      </c>
      <c r="B52" s="6">
        <v>23502309</v>
      </c>
      <c r="C52" s="6" t="s">
        <v>237</v>
      </c>
      <c r="D52" s="14">
        <v>45876.494525462957</v>
      </c>
      <c r="E52" s="14">
        <v>45876.497800925928</v>
      </c>
      <c r="F52" s="6" t="s">
        <v>21</v>
      </c>
      <c r="G52" s="6" t="s">
        <v>21</v>
      </c>
      <c r="H52" s="6" t="s">
        <v>466</v>
      </c>
      <c r="I52" s="6" t="s">
        <v>301</v>
      </c>
      <c r="J52" s="6" t="s">
        <v>467</v>
      </c>
      <c r="K52" s="6" t="s">
        <v>429</v>
      </c>
      <c r="L52" s="6" t="s">
        <v>429</v>
      </c>
      <c r="M52" s="14">
        <v>45876.491666666669</v>
      </c>
      <c r="N52" s="6" t="s">
        <v>83</v>
      </c>
      <c r="O52" s="6" t="s">
        <v>83</v>
      </c>
      <c r="P52" s="6" t="s">
        <v>272</v>
      </c>
      <c r="Q52" s="6" t="s">
        <v>256</v>
      </c>
      <c r="R52" s="6" t="s">
        <v>256</v>
      </c>
      <c r="S52" s="6" t="s">
        <v>7</v>
      </c>
      <c r="T52" s="6" t="s">
        <v>245</v>
      </c>
      <c r="U52" s="6" t="s">
        <v>121</v>
      </c>
      <c r="V52" s="6" t="s">
        <v>457</v>
      </c>
      <c r="W52" s="6" t="s">
        <v>83</v>
      </c>
      <c r="X52" s="6" t="s">
        <v>318</v>
      </c>
      <c r="Y52" s="6">
        <v>743416547</v>
      </c>
      <c r="Z52" s="6" t="s">
        <v>41</v>
      </c>
      <c r="AA52" s="6" t="s">
        <v>83</v>
      </c>
      <c r="AB52" s="6">
        <v>1147.8399999999999</v>
      </c>
      <c r="AC52" s="6">
        <v>87.96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 t="s">
        <v>431</v>
      </c>
      <c r="AJ52" s="6" t="s">
        <v>307</v>
      </c>
      <c r="AK52" s="6" t="s">
        <v>41</v>
      </c>
      <c r="AL52" s="6" t="s">
        <v>60</v>
      </c>
      <c r="AM52" s="6" t="s">
        <v>308</v>
      </c>
      <c r="AN52" s="6" t="s">
        <v>26</v>
      </c>
      <c r="AO52" s="6" t="s">
        <v>250</v>
      </c>
      <c r="AP52" s="6" t="s">
        <v>433</v>
      </c>
      <c r="AQ52" s="6" t="s">
        <v>92</v>
      </c>
    </row>
    <row r="53" spans="1:43" x14ac:dyDescent="0.25">
      <c r="A53" s="6">
        <v>22700473</v>
      </c>
      <c r="B53" s="6">
        <v>23502703</v>
      </c>
      <c r="C53" s="6" t="s">
        <v>237</v>
      </c>
      <c r="D53" s="14">
        <v>45876.51666666667</v>
      </c>
      <c r="E53" s="14">
        <v>45876.51966435185</v>
      </c>
      <c r="F53" s="6" t="s">
        <v>21</v>
      </c>
      <c r="G53" s="6" t="s">
        <v>21</v>
      </c>
      <c r="H53" s="6" t="s">
        <v>468</v>
      </c>
      <c r="I53" s="6" t="s">
        <v>301</v>
      </c>
      <c r="J53" s="6" t="s">
        <v>469</v>
      </c>
      <c r="K53" s="6" t="s">
        <v>429</v>
      </c>
      <c r="L53" s="6" t="s">
        <v>429</v>
      </c>
      <c r="M53" s="14">
        <v>45876.515972222223</v>
      </c>
      <c r="N53" s="6" t="s">
        <v>83</v>
      </c>
      <c r="O53" s="6" t="s">
        <v>83</v>
      </c>
      <c r="P53" s="6" t="s">
        <v>272</v>
      </c>
      <c r="Q53" s="6" t="s">
        <v>256</v>
      </c>
      <c r="R53" s="6" t="s">
        <v>256</v>
      </c>
      <c r="S53" s="6" t="s">
        <v>7</v>
      </c>
      <c r="T53" s="6" t="s">
        <v>245</v>
      </c>
      <c r="U53" s="6" t="s">
        <v>121</v>
      </c>
      <c r="V53" s="6" t="s">
        <v>470</v>
      </c>
      <c r="W53" s="6" t="s">
        <v>83</v>
      </c>
      <c r="X53" s="6" t="s">
        <v>247</v>
      </c>
      <c r="Y53" s="6">
        <v>2244411354</v>
      </c>
      <c r="Z53" s="6" t="s">
        <v>41</v>
      </c>
      <c r="AA53" s="6" t="s">
        <v>83</v>
      </c>
      <c r="AB53" s="6">
        <v>1260</v>
      </c>
      <c r="AC53" s="6">
        <v>80.69</v>
      </c>
      <c r="AD53" s="6">
        <v>0</v>
      </c>
      <c r="AE53" s="6">
        <v>0</v>
      </c>
      <c r="AF53" s="6">
        <v>0</v>
      </c>
      <c r="AG53" s="6">
        <v>0</v>
      </c>
      <c r="AH53" s="6">
        <v>88.19</v>
      </c>
      <c r="AI53" s="6" t="s">
        <v>431</v>
      </c>
      <c r="AJ53" s="6" t="s">
        <v>307</v>
      </c>
      <c r="AK53" s="6" t="s">
        <v>41</v>
      </c>
      <c r="AL53" s="6" t="s">
        <v>60</v>
      </c>
      <c r="AM53" s="6" t="s">
        <v>308</v>
      </c>
      <c r="AN53" s="6" t="s">
        <v>26</v>
      </c>
      <c r="AO53" s="6" t="s">
        <v>250</v>
      </c>
      <c r="AP53" s="6" t="s">
        <v>433</v>
      </c>
      <c r="AQ53" s="6" t="s">
        <v>92</v>
      </c>
    </row>
    <row r="54" spans="1:43" x14ac:dyDescent="0.25">
      <c r="A54" s="6">
        <v>22700765</v>
      </c>
      <c r="B54" s="6">
        <v>23502981</v>
      </c>
      <c r="C54" s="6" t="s">
        <v>237</v>
      </c>
      <c r="D54" s="14">
        <v>45876.529108796298</v>
      </c>
      <c r="E54" s="14">
        <v>45876.530266203707</v>
      </c>
      <c r="F54" s="6" t="s">
        <v>21</v>
      </c>
      <c r="G54" s="6" t="s">
        <v>21</v>
      </c>
      <c r="H54" s="6" t="s">
        <v>471</v>
      </c>
      <c r="I54" s="6" t="s">
        <v>301</v>
      </c>
      <c r="J54" s="6" t="s">
        <v>472</v>
      </c>
      <c r="K54" s="6" t="s">
        <v>429</v>
      </c>
      <c r="L54" s="6" t="s">
        <v>429</v>
      </c>
      <c r="M54" s="14">
        <v>45876.527777777781</v>
      </c>
      <c r="N54" s="6" t="s">
        <v>83</v>
      </c>
      <c r="O54" s="6" t="s">
        <v>83</v>
      </c>
      <c r="P54" s="6" t="s">
        <v>272</v>
      </c>
      <c r="Q54" s="6" t="s">
        <v>256</v>
      </c>
      <c r="R54" s="6" t="s">
        <v>256</v>
      </c>
      <c r="S54" s="6" t="s">
        <v>7</v>
      </c>
      <c r="T54" s="6" t="s">
        <v>245</v>
      </c>
      <c r="U54" s="6" t="s">
        <v>121</v>
      </c>
      <c r="V54" s="6" t="s">
        <v>457</v>
      </c>
      <c r="W54" s="6" t="s">
        <v>83</v>
      </c>
      <c r="X54" s="6" t="s">
        <v>318</v>
      </c>
      <c r="Y54" s="6">
        <v>781870213</v>
      </c>
      <c r="Z54" s="6" t="s">
        <v>41</v>
      </c>
      <c r="AA54" s="6" t="s">
        <v>83</v>
      </c>
      <c r="AB54" s="6">
        <v>1893.59</v>
      </c>
      <c r="AC54" s="6">
        <v>119.51</v>
      </c>
      <c r="AD54" s="6">
        <v>0</v>
      </c>
      <c r="AE54" s="6">
        <v>201.31</v>
      </c>
      <c r="AF54" s="6">
        <v>0</v>
      </c>
      <c r="AG54" s="6">
        <v>0</v>
      </c>
      <c r="AH54" s="6">
        <v>66.430000000000007</v>
      </c>
      <c r="AI54" s="6" t="s">
        <v>431</v>
      </c>
      <c r="AJ54" s="6" t="s">
        <v>307</v>
      </c>
      <c r="AK54" s="6" t="s">
        <v>41</v>
      </c>
      <c r="AL54" s="6" t="s">
        <v>60</v>
      </c>
      <c r="AM54" s="6" t="s">
        <v>308</v>
      </c>
      <c r="AN54" s="6" t="s">
        <v>26</v>
      </c>
      <c r="AO54" s="6" t="s">
        <v>250</v>
      </c>
      <c r="AP54" s="6" t="s">
        <v>433</v>
      </c>
      <c r="AQ54" s="6" t="s">
        <v>92</v>
      </c>
    </row>
    <row r="55" spans="1:43" x14ac:dyDescent="0.25">
      <c r="A55" s="6">
        <v>22730623</v>
      </c>
      <c r="B55" s="6">
        <v>23528103</v>
      </c>
      <c r="C55" s="6" t="s">
        <v>237</v>
      </c>
      <c r="D55" s="14">
        <v>45881.648958333331</v>
      </c>
      <c r="E55" s="14">
        <v>45881.650717592587</v>
      </c>
      <c r="F55" s="6" t="s">
        <v>17</v>
      </c>
      <c r="G55" s="6" t="s">
        <v>17</v>
      </c>
      <c r="H55" s="6" t="s">
        <v>473</v>
      </c>
      <c r="I55" s="6" t="s">
        <v>301</v>
      </c>
      <c r="J55" s="6" t="s">
        <v>474</v>
      </c>
      <c r="K55" s="6" t="s">
        <v>429</v>
      </c>
      <c r="L55" s="6" t="s">
        <v>429</v>
      </c>
      <c r="M55" s="14">
        <v>45881.147916666669</v>
      </c>
      <c r="N55" s="6" t="s">
        <v>83</v>
      </c>
      <c r="O55" s="6" t="s">
        <v>83</v>
      </c>
      <c r="P55" s="6" t="s">
        <v>272</v>
      </c>
      <c r="Q55" s="6" t="s">
        <v>243</v>
      </c>
      <c r="R55" s="6" t="s">
        <v>304</v>
      </c>
      <c r="S55" s="6" t="s">
        <v>7</v>
      </c>
      <c r="T55" s="6" t="s">
        <v>245</v>
      </c>
      <c r="U55" s="6" t="s">
        <v>121</v>
      </c>
      <c r="V55" s="6" t="s">
        <v>457</v>
      </c>
      <c r="W55" s="6" t="s">
        <v>83</v>
      </c>
      <c r="X55" s="6" t="s">
        <v>306</v>
      </c>
      <c r="Y55" s="6">
        <v>2143293256</v>
      </c>
      <c r="Z55" s="6" t="s">
        <v>41</v>
      </c>
      <c r="AA55" s="6" t="s">
        <v>83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 t="s">
        <v>431</v>
      </c>
      <c r="AJ55" s="6" t="s">
        <v>307</v>
      </c>
      <c r="AK55" s="6" t="s">
        <v>41</v>
      </c>
      <c r="AL55" s="6" t="s">
        <v>60</v>
      </c>
      <c r="AM55" s="6" t="s">
        <v>308</v>
      </c>
      <c r="AN55" s="6" t="s">
        <v>26</v>
      </c>
      <c r="AO55" s="6" t="s">
        <v>250</v>
      </c>
      <c r="AP55" s="6" t="s">
        <v>433</v>
      </c>
      <c r="AQ55" s="6" t="s">
        <v>92</v>
      </c>
    </row>
    <row r="56" spans="1:43" x14ac:dyDescent="0.25">
      <c r="A56" s="6">
        <v>22730623</v>
      </c>
      <c r="B56" s="6">
        <v>23528104</v>
      </c>
      <c r="C56" s="6" t="s">
        <v>378</v>
      </c>
      <c r="D56" s="14">
        <v>45881.648958333331</v>
      </c>
      <c r="E56" s="14">
        <v>45881.650717592587</v>
      </c>
      <c r="F56" s="6" t="s">
        <v>17</v>
      </c>
      <c r="G56" s="6" t="s">
        <v>17</v>
      </c>
      <c r="H56" s="6" t="s">
        <v>473</v>
      </c>
      <c r="I56" s="6" t="s">
        <v>301</v>
      </c>
      <c r="J56" s="6" t="s">
        <v>475</v>
      </c>
      <c r="K56" s="6" t="s">
        <v>429</v>
      </c>
      <c r="L56" s="6" t="s">
        <v>429</v>
      </c>
      <c r="M56" s="14">
        <v>45881.147916666669</v>
      </c>
      <c r="N56" s="6" t="s">
        <v>83</v>
      </c>
      <c r="O56" s="6" t="s">
        <v>83</v>
      </c>
      <c r="P56" s="6" t="s">
        <v>272</v>
      </c>
      <c r="Q56" s="6" t="s">
        <v>243</v>
      </c>
      <c r="R56" s="6" t="s">
        <v>304</v>
      </c>
      <c r="S56" s="6" t="s">
        <v>7</v>
      </c>
      <c r="T56" s="6" t="s">
        <v>245</v>
      </c>
      <c r="U56" s="6" t="s">
        <v>121</v>
      </c>
      <c r="V56" s="6" t="s">
        <v>457</v>
      </c>
      <c r="W56" s="6" t="s">
        <v>83</v>
      </c>
      <c r="X56" s="6" t="s">
        <v>306</v>
      </c>
      <c r="Y56" s="6">
        <v>2143293257</v>
      </c>
      <c r="Z56" s="6" t="s">
        <v>41</v>
      </c>
      <c r="AA56" s="6" t="s">
        <v>83</v>
      </c>
      <c r="AB56" s="6">
        <v>0.01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 t="s">
        <v>431</v>
      </c>
      <c r="AJ56" s="6" t="s">
        <v>307</v>
      </c>
      <c r="AK56" s="6" t="s">
        <v>41</v>
      </c>
      <c r="AL56" s="6" t="s">
        <v>60</v>
      </c>
      <c r="AM56" s="6" t="s">
        <v>308</v>
      </c>
      <c r="AN56" s="6" t="s">
        <v>26</v>
      </c>
      <c r="AO56" s="6" t="s">
        <v>250</v>
      </c>
      <c r="AP56" s="6" t="s">
        <v>433</v>
      </c>
      <c r="AQ56" s="6" t="s">
        <v>92</v>
      </c>
    </row>
    <row r="57" spans="1:43" x14ac:dyDescent="0.25">
      <c r="A57" s="6">
        <v>22730693</v>
      </c>
      <c r="B57" s="6">
        <v>23528171</v>
      </c>
      <c r="C57" s="6" t="s">
        <v>237</v>
      </c>
      <c r="D57" s="14">
        <v>45881.658680555563</v>
      </c>
      <c r="E57" s="14">
        <v>45881.660891203697</v>
      </c>
      <c r="F57" s="6" t="s">
        <v>17</v>
      </c>
      <c r="G57" s="6" t="s">
        <v>17</v>
      </c>
      <c r="H57" s="6" t="s">
        <v>476</v>
      </c>
      <c r="I57" s="6" t="s">
        <v>301</v>
      </c>
      <c r="J57" s="6" t="s">
        <v>477</v>
      </c>
      <c r="K57" s="6" t="s">
        <v>429</v>
      </c>
      <c r="L57" s="6" t="s">
        <v>429</v>
      </c>
      <c r="M57" s="14">
        <v>45881.082638888889</v>
      </c>
      <c r="N57" s="6" t="s">
        <v>83</v>
      </c>
      <c r="O57" s="6" t="s">
        <v>83</v>
      </c>
      <c r="P57" s="6" t="s">
        <v>272</v>
      </c>
      <c r="Q57" s="6" t="s">
        <v>256</v>
      </c>
      <c r="R57" s="6" t="s">
        <v>256</v>
      </c>
      <c r="S57" s="6" t="s">
        <v>7</v>
      </c>
      <c r="T57" s="6" t="s">
        <v>245</v>
      </c>
      <c r="U57" s="6" t="s">
        <v>121</v>
      </c>
      <c r="V57" s="6" t="s">
        <v>478</v>
      </c>
      <c r="W57" s="6" t="s">
        <v>83</v>
      </c>
      <c r="X57" s="6" t="s">
        <v>247</v>
      </c>
      <c r="Y57" s="6">
        <v>2245525503</v>
      </c>
      <c r="Z57" s="6" t="s">
        <v>41</v>
      </c>
      <c r="AA57" s="6" t="s">
        <v>83</v>
      </c>
      <c r="AB57" s="6">
        <v>2235.84</v>
      </c>
      <c r="AC57" s="6">
        <v>91.57</v>
      </c>
      <c r="AD57" s="6">
        <v>0</v>
      </c>
      <c r="AE57" s="6">
        <v>223.58</v>
      </c>
      <c r="AF57" s="6">
        <v>0</v>
      </c>
      <c r="AG57" s="6">
        <v>0</v>
      </c>
      <c r="AH57" s="6">
        <v>147.57</v>
      </c>
      <c r="AI57" s="6" t="s">
        <v>431</v>
      </c>
      <c r="AJ57" s="6" t="s">
        <v>432</v>
      </c>
      <c r="AK57" s="6" t="s">
        <v>41</v>
      </c>
      <c r="AL57" s="6" t="s">
        <v>53</v>
      </c>
      <c r="AM57" s="6" t="s">
        <v>314</v>
      </c>
      <c r="AN57" s="6" t="s">
        <v>35</v>
      </c>
      <c r="AO57" s="6" t="s">
        <v>250</v>
      </c>
      <c r="AP57" s="6" t="s">
        <v>433</v>
      </c>
      <c r="AQ57" s="6" t="s">
        <v>92</v>
      </c>
    </row>
    <row r="58" spans="1:43" x14ac:dyDescent="0.25">
      <c r="A58" s="6">
        <v>22730737</v>
      </c>
      <c r="B58" s="6">
        <v>23528229</v>
      </c>
      <c r="C58" s="6" t="s">
        <v>237</v>
      </c>
      <c r="D58" s="14">
        <v>45881.667083333326</v>
      </c>
      <c r="E58" s="14">
        <v>45881.670127314806</v>
      </c>
      <c r="F58" s="6" t="s">
        <v>17</v>
      </c>
      <c r="G58" s="6" t="s">
        <v>17</v>
      </c>
      <c r="H58" s="6" t="s">
        <v>479</v>
      </c>
      <c r="I58" s="6" t="s">
        <v>301</v>
      </c>
      <c r="J58" s="6" t="s">
        <v>480</v>
      </c>
      <c r="K58" s="6" t="s">
        <v>429</v>
      </c>
      <c r="L58" s="6" t="s">
        <v>429</v>
      </c>
      <c r="M58" s="14">
        <v>45881.165277777778</v>
      </c>
      <c r="N58" s="6" t="s">
        <v>83</v>
      </c>
      <c r="O58" s="6" t="s">
        <v>83</v>
      </c>
      <c r="P58" s="6" t="s">
        <v>272</v>
      </c>
      <c r="Q58" s="6" t="s">
        <v>256</v>
      </c>
      <c r="R58" s="6" t="s">
        <v>256</v>
      </c>
      <c r="S58" s="6" t="s">
        <v>7</v>
      </c>
      <c r="T58" s="6" t="s">
        <v>245</v>
      </c>
      <c r="U58" s="6" t="s">
        <v>121</v>
      </c>
      <c r="V58" s="6" t="s">
        <v>457</v>
      </c>
      <c r="W58" s="6" t="s">
        <v>83</v>
      </c>
      <c r="X58" s="6" t="s">
        <v>318</v>
      </c>
      <c r="Y58" s="6">
        <v>217902719</v>
      </c>
      <c r="Z58" s="6" t="s">
        <v>41</v>
      </c>
      <c r="AA58" s="6" t="s">
        <v>83</v>
      </c>
      <c r="AB58" s="6">
        <v>1837.64</v>
      </c>
      <c r="AC58" s="6">
        <v>120.57</v>
      </c>
      <c r="AD58" s="6">
        <v>0</v>
      </c>
      <c r="AE58" s="6">
        <v>0</v>
      </c>
      <c r="AF58" s="6">
        <v>0</v>
      </c>
      <c r="AG58" s="6">
        <v>0</v>
      </c>
      <c r="AH58" s="6">
        <v>39.64</v>
      </c>
      <c r="AI58" s="6" t="s">
        <v>431</v>
      </c>
      <c r="AJ58" s="6" t="s">
        <v>432</v>
      </c>
      <c r="AK58" s="6" t="s">
        <v>41</v>
      </c>
      <c r="AL58" s="6" t="s">
        <v>53</v>
      </c>
      <c r="AM58" s="6" t="s">
        <v>314</v>
      </c>
      <c r="AN58" s="6" t="s">
        <v>35</v>
      </c>
      <c r="AO58" s="6" t="s">
        <v>250</v>
      </c>
      <c r="AP58" s="6" t="s">
        <v>433</v>
      </c>
      <c r="AQ58" s="6" t="s">
        <v>92</v>
      </c>
    </row>
    <row r="59" spans="1:43" x14ac:dyDescent="0.25">
      <c r="A59" s="6">
        <v>22729862</v>
      </c>
      <c r="B59" s="6">
        <v>23527394</v>
      </c>
      <c r="C59" s="6" t="s">
        <v>237</v>
      </c>
      <c r="D59" s="14">
        <v>45881.532083333332</v>
      </c>
      <c r="E59" s="14">
        <v>45881.534062500003</v>
      </c>
      <c r="F59" s="6" t="s">
        <v>17</v>
      </c>
      <c r="G59" s="6" t="s">
        <v>17</v>
      </c>
      <c r="H59" s="6" t="s">
        <v>481</v>
      </c>
      <c r="I59" s="6" t="s">
        <v>301</v>
      </c>
      <c r="J59" s="6" t="s">
        <v>482</v>
      </c>
      <c r="K59" s="6" t="s">
        <v>429</v>
      </c>
      <c r="L59" s="6" t="s">
        <v>429</v>
      </c>
      <c r="M59" s="14">
        <v>45881.490972222222</v>
      </c>
      <c r="N59" s="6" t="s">
        <v>83</v>
      </c>
      <c r="O59" s="6" t="s">
        <v>83</v>
      </c>
      <c r="P59" s="6" t="s">
        <v>272</v>
      </c>
      <c r="Q59" s="6" t="s">
        <v>256</v>
      </c>
      <c r="R59" s="6" t="s">
        <v>256</v>
      </c>
      <c r="S59" s="6" t="s">
        <v>7</v>
      </c>
      <c r="T59" s="6" t="s">
        <v>245</v>
      </c>
      <c r="U59" s="6" t="s">
        <v>121</v>
      </c>
      <c r="V59" s="6" t="s">
        <v>483</v>
      </c>
      <c r="W59" s="6" t="s">
        <v>83</v>
      </c>
      <c r="X59" s="6" t="s">
        <v>306</v>
      </c>
      <c r="Y59" s="6">
        <v>2143287635</v>
      </c>
      <c r="Z59" s="6" t="s">
        <v>41</v>
      </c>
      <c r="AA59" s="6" t="s">
        <v>83</v>
      </c>
      <c r="AB59" s="6">
        <v>668.28</v>
      </c>
      <c r="AC59" s="6">
        <v>108.53</v>
      </c>
      <c r="AD59" s="6">
        <v>0</v>
      </c>
      <c r="AE59" s="6">
        <v>66.819999999999993</v>
      </c>
      <c r="AF59" s="6">
        <v>0</v>
      </c>
      <c r="AG59" s="6">
        <v>0</v>
      </c>
      <c r="AH59" s="6">
        <v>14.7</v>
      </c>
      <c r="AI59" s="6" t="s">
        <v>431</v>
      </c>
      <c r="AJ59" s="6" t="s">
        <v>432</v>
      </c>
      <c r="AK59" s="6" t="s">
        <v>41</v>
      </c>
      <c r="AL59" s="6" t="s">
        <v>53</v>
      </c>
      <c r="AM59" s="6" t="s">
        <v>314</v>
      </c>
      <c r="AN59" s="6" t="s">
        <v>35</v>
      </c>
      <c r="AO59" s="6" t="s">
        <v>250</v>
      </c>
      <c r="AP59" s="6" t="s">
        <v>433</v>
      </c>
      <c r="AQ59" s="6" t="s">
        <v>92</v>
      </c>
    </row>
    <row r="60" spans="1:43" x14ac:dyDescent="0.25">
      <c r="A60" s="6">
        <v>22729862</v>
      </c>
      <c r="B60" s="6">
        <v>23527395</v>
      </c>
      <c r="C60" s="6" t="s">
        <v>378</v>
      </c>
      <c r="D60" s="14">
        <v>45881.532083333332</v>
      </c>
      <c r="E60" s="14">
        <v>45881.534062500003</v>
      </c>
      <c r="F60" s="6" t="s">
        <v>17</v>
      </c>
      <c r="G60" s="6" t="s">
        <v>17</v>
      </c>
      <c r="H60" s="6" t="s">
        <v>481</v>
      </c>
      <c r="I60" s="6" t="s">
        <v>301</v>
      </c>
      <c r="J60" s="6" t="s">
        <v>484</v>
      </c>
      <c r="K60" s="6" t="s">
        <v>429</v>
      </c>
      <c r="L60" s="6" t="s">
        <v>429</v>
      </c>
      <c r="M60" s="14">
        <v>45881.490972222222</v>
      </c>
      <c r="N60" s="6" t="s">
        <v>83</v>
      </c>
      <c r="O60" s="6" t="s">
        <v>83</v>
      </c>
      <c r="P60" s="6" t="s">
        <v>272</v>
      </c>
      <c r="Q60" s="6" t="s">
        <v>256</v>
      </c>
      <c r="R60" s="6" t="s">
        <v>256</v>
      </c>
      <c r="S60" s="6" t="s">
        <v>7</v>
      </c>
      <c r="T60" s="6" t="s">
        <v>245</v>
      </c>
      <c r="U60" s="6" t="s">
        <v>121</v>
      </c>
      <c r="V60" s="6" t="s">
        <v>483</v>
      </c>
      <c r="W60" s="6" t="s">
        <v>83</v>
      </c>
      <c r="X60" s="6" t="s">
        <v>306</v>
      </c>
      <c r="Y60" s="6">
        <v>2143287636</v>
      </c>
      <c r="Z60" s="6" t="s">
        <v>41</v>
      </c>
      <c r="AA60" s="6" t="s">
        <v>83</v>
      </c>
      <c r="AB60" s="6">
        <v>668.28</v>
      </c>
      <c r="AC60" s="6">
        <v>108.53</v>
      </c>
      <c r="AD60" s="6">
        <v>0</v>
      </c>
      <c r="AE60" s="6">
        <v>66.819999999999993</v>
      </c>
      <c r="AF60" s="6">
        <v>0</v>
      </c>
      <c r="AG60" s="6">
        <v>0</v>
      </c>
      <c r="AH60" s="6">
        <v>0</v>
      </c>
      <c r="AI60" s="6" t="s">
        <v>431</v>
      </c>
      <c r="AJ60" s="6" t="s">
        <v>432</v>
      </c>
      <c r="AK60" s="6" t="s">
        <v>41</v>
      </c>
      <c r="AL60" s="6" t="s">
        <v>53</v>
      </c>
      <c r="AM60" s="6" t="s">
        <v>314</v>
      </c>
      <c r="AN60" s="6" t="s">
        <v>35</v>
      </c>
      <c r="AO60" s="6" t="s">
        <v>250</v>
      </c>
      <c r="AP60" s="6" t="s">
        <v>433</v>
      </c>
      <c r="AQ60" s="6" t="s">
        <v>92</v>
      </c>
    </row>
    <row r="61" spans="1:43" x14ac:dyDescent="0.25">
      <c r="A61" s="6">
        <v>22729877</v>
      </c>
      <c r="B61" s="6">
        <v>23527407</v>
      </c>
      <c r="C61" s="6" t="s">
        <v>237</v>
      </c>
      <c r="D61" s="14">
        <v>45881.537465277783</v>
      </c>
      <c r="E61" s="14">
        <v>45881.538078703707</v>
      </c>
      <c r="F61" s="6" t="s">
        <v>17</v>
      </c>
      <c r="G61" s="6" t="s">
        <v>17</v>
      </c>
      <c r="H61" s="6" t="s">
        <v>485</v>
      </c>
      <c r="I61" s="6" t="s">
        <v>301</v>
      </c>
      <c r="J61" s="6" t="s">
        <v>486</v>
      </c>
      <c r="K61" s="6" t="s">
        <v>429</v>
      </c>
      <c r="L61" s="6" t="s">
        <v>429</v>
      </c>
      <c r="M61" s="14">
        <v>45881.48333333333</v>
      </c>
      <c r="N61" s="6" t="s">
        <v>83</v>
      </c>
      <c r="O61" s="6" t="s">
        <v>83</v>
      </c>
      <c r="P61" s="6" t="s">
        <v>272</v>
      </c>
      <c r="Q61" s="6" t="s">
        <v>256</v>
      </c>
      <c r="R61" s="6" t="s">
        <v>256</v>
      </c>
      <c r="S61" s="6" t="s">
        <v>7</v>
      </c>
      <c r="T61" s="6" t="s">
        <v>245</v>
      </c>
      <c r="U61" s="6" t="s">
        <v>121</v>
      </c>
      <c r="V61" s="6" t="s">
        <v>457</v>
      </c>
      <c r="W61" s="6" t="s">
        <v>83</v>
      </c>
      <c r="X61" s="6" t="s">
        <v>306</v>
      </c>
      <c r="Y61" s="6">
        <v>2143291826</v>
      </c>
      <c r="Z61" s="6" t="s">
        <v>41</v>
      </c>
      <c r="AA61" s="6" t="s">
        <v>83</v>
      </c>
      <c r="AB61" s="6">
        <v>444.89</v>
      </c>
      <c r="AC61" s="6">
        <v>50.92</v>
      </c>
      <c r="AD61" s="6">
        <v>0</v>
      </c>
      <c r="AE61" s="6">
        <v>44.48</v>
      </c>
      <c r="AF61" s="6">
        <v>0</v>
      </c>
      <c r="AG61" s="6">
        <v>0</v>
      </c>
      <c r="AH61" s="6">
        <v>4.8899999999999997</v>
      </c>
      <c r="AI61" s="6" t="s">
        <v>431</v>
      </c>
      <c r="AJ61" s="6" t="s">
        <v>432</v>
      </c>
      <c r="AK61" s="6" t="s">
        <v>41</v>
      </c>
      <c r="AL61" s="6" t="s">
        <v>53</v>
      </c>
      <c r="AM61" s="6" t="s">
        <v>314</v>
      </c>
      <c r="AN61" s="6" t="s">
        <v>35</v>
      </c>
      <c r="AO61" s="6" t="s">
        <v>250</v>
      </c>
      <c r="AP61" s="6" t="s">
        <v>433</v>
      </c>
      <c r="AQ61" s="6" t="s">
        <v>92</v>
      </c>
    </row>
    <row r="62" spans="1:43" x14ac:dyDescent="0.25">
      <c r="A62" s="6">
        <v>22729677</v>
      </c>
      <c r="B62" s="6">
        <v>23527222</v>
      </c>
      <c r="C62" s="6" t="s">
        <v>237</v>
      </c>
      <c r="D62" s="14">
        <v>45881.522546296299</v>
      </c>
      <c r="E62" s="14">
        <v>45881.527627314812</v>
      </c>
      <c r="F62" s="6" t="s">
        <v>17</v>
      </c>
      <c r="G62" s="6" t="s">
        <v>17</v>
      </c>
      <c r="H62" s="6" t="s">
        <v>487</v>
      </c>
      <c r="I62" s="6" t="s">
        <v>301</v>
      </c>
      <c r="J62" s="6" t="s">
        <v>488</v>
      </c>
      <c r="K62" s="6" t="s">
        <v>429</v>
      </c>
      <c r="L62" s="6" t="s">
        <v>429</v>
      </c>
      <c r="M62" s="14">
        <v>45881.5</v>
      </c>
      <c r="N62" s="6" t="s">
        <v>83</v>
      </c>
      <c r="O62" s="6" t="s">
        <v>83</v>
      </c>
      <c r="P62" s="6" t="s">
        <v>272</v>
      </c>
      <c r="Q62" s="6" t="s">
        <v>256</v>
      </c>
      <c r="R62" s="6" t="s">
        <v>256</v>
      </c>
      <c r="S62" s="6" t="s">
        <v>7</v>
      </c>
      <c r="T62" s="6" t="s">
        <v>245</v>
      </c>
      <c r="U62" s="6" t="s">
        <v>121</v>
      </c>
      <c r="V62" s="6" t="s">
        <v>489</v>
      </c>
      <c r="W62" s="6" t="s">
        <v>83</v>
      </c>
      <c r="X62" s="6" t="s">
        <v>318</v>
      </c>
      <c r="Y62" s="6">
        <v>935698164</v>
      </c>
      <c r="Z62" s="6" t="s">
        <v>41</v>
      </c>
      <c r="AA62" s="6" t="s">
        <v>83</v>
      </c>
      <c r="AB62" s="6">
        <v>467.92</v>
      </c>
      <c r="AC62" s="6">
        <v>46.72</v>
      </c>
      <c r="AD62" s="6">
        <v>0</v>
      </c>
      <c r="AE62" s="6">
        <v>0</v>
      </c>
      <c r="AF62" s="6">
        <v>0</v>
      </c>
      <c r="AG62" s="6">
        <v>0</v>
      </c>
      <c r="AH62" s="6">
        <v>56.15</v>
      </c>
      <c r="AI62" s="6" t="s">
        <v>431</v>
      </c>
      <c r="AJ62" s="6" t="s">
        <v>432</v>
      </c>
      <c r="AK62" s="6" t="s">
        <v>41</v>
      </c>
      <c r="AL62" s="6" t="s">
        <v>53</v>
      </c>
      <c r="AM62" s="6" t="s">
        <v>314</v>
      </c>
      <c r="AN62" s="6" t="s">
        <v>35</v>
      </c>
      <c r="AO62" s="6" t="s">
        <v>250</v>
      </c>
      <c r="AP62" s="6" t="s">
        <v>433</v>
      </c>
      <c r="AQ62" s="6" t="s">
        <v>92</v>
      </c>
    </row>
    <row r="63" spans="1:43" x14ac:dyDescent="0.25">
      <c r="A63" s="6">
        <v>22729911</v>
      </c>
      <c r="B63" s="6">
        <v>23527445</v>
      </c>
      <c r="C63" s="6" t="s">
        <v>237</v>
      </c>
      <c r="D63" s="14">
        <v>45881.541655092587</v>
      </c>
      <c r="E63" s="14">
        <v>45881.544583333343</v>
      </c>
      <c r="F63" s="6" t="s">
        <v>17</v>
      </c>
      <c r="G63" s="6" t="s">
        <v>17</v>
      </c>
      <c r="H63" s="6" t="s">
        <v>490</v>
      </c>
      <c r="I63" s="6" t="s">
        <v>301</v>
      </c>
      <c r="J63" s="6" t="s">
        <v>491</v>
      </c>
      <c r="K63" s="6" t="s">
        <v>429</v>
      </c>
      <c r="L63" s="6" t="s">
        <v>429</v>
      </c>
      <c r="M63" s="14">
        <v>45881.539583333331</v>
      </c>
      <c r="N63" s="6" t="s">
        <v>83</v>
      </c>
      <c r="O63" s="6" t="s">
        <v>83</v>
      </c>
      <c r="P63" s="6" t="s">
        <v>272</v>
      </c>
      <c r="Q63" s="6" t="s">
        <v>256</v>
      </c>
      <c r="R63" s="6" t="s">
        <v>256</v>
      </c>
      <c r="S63" s="6" t="s">
        <v>7</v>
      </c>
      <c r="T63" s="6" t="s">
        <v>245</v>
      </c>
      <c r="U63" s="6" t="s">
        <v>121</v>
      </c>
      <c r="V63" s="6" t="s">
        <v>492</v>
      </c>
      <c r="W63" s="6" t="s">
        <v>83</v>
      </c>
      <c r="X63" s="6" t="s">
        <v>247</v>
      </c>
      <c r="Y63" s="6">
        <v>2245493659</v>
      </c>
      <c r="Z63" s="6" t="s">
        <v>41</v>
      </c>
      <c r="AA63" s="6" t="s">
        <v>83</v>
      </c>
      <c r="AB63" s="6">
        <v>394.4</v>
      </c>
      <c r="AC63" s="6">
        <v>450</v>
      </c>
      <c r="AD63" s="6">
        <v>0</v>
      </c>
      <c r="AE63" s="6">
        <v>0</v>
      </c>
      <c r="AF63" s="6">
        <v>0</v>
      </c>
      <c r="AG63" s="6">
        <v>0</v>
      </c>
      <c r="AH63" s="6">
        <v>40</v>
      </c>
      <c r="AI63" s="6" t="s">
        <v>431</v>
      </c>
      <c r="AJ63" s="6" t="s">
        <v>307</v>
      </c>
      <c r="AK63" s="6" t="s">
        <v>41</v>
      </c>
      <c r="AL63" s="6" t="s">
        <v>60</v>
      </c>
      <c r="AM63" s="6" t="s">
        <v>308</v>
      </c>
      <c r="AN63" s="6" t="s">
        <v>26</v>
      </c>
      <c r="AO63" s="6" t="s">
        <v>250</v>
      </c>
      <c r="AP63" s="6" t="s">
        <v>433</v>
      </c>
      <c r="AQ63" s="6" t="s">
        <v>92</v>
      </c>
    </row>
    <row r="64" spans="1:43" x14ac:dyDescent="0.25">
      <c r="A64" s="6">
        <v>22731320</v>
      </c>
      <c r="B64" s="6">
        <v>23528797</v>
      </c>
      <c r="C64" s="6" t="s">
        <v>237</v>
      </c>
      <c r="D64" s="14">
        <v>45881.736458333333</v>
      </c>
      <c r="E64" s="14">
        <v>45881.737847222219</v>
      </c>
      <c r="F64" s="6" t="s">
        <v>17</v>
      </c>
      <c r="G64" s="6" t="s">
        <v>17</v>
      </c>
      <c r="H64" s="6" t="s">
        <v>493</v>
      </c>
      <c r="I64" s="6" t="s">
        <v>301</v>
      </c>
      <c r="J64" s="6" t="s">
        <v>494</v>
      </c>
      <c r="K64" s="6" t="s">
        <v>429</v>
      </c>
      <c r="L64" s="6" t="s">
        <v>429</v>
      </c>
      <c r="M64" s="14">
        <v>45881.234027777777</v>
      </c>
      <c r="N64" s="6" t="s">
        <v>83</v>
      </c>
      <c r="O64" s="6" t="s">
        <v>83</v>
      </c>
      <c r="P64" s="6" t="s">
        <v>272</v>
      </c>
      <c r="Q64" s="6" t="s">
        <v>256</v>
      </c>
      <c r="R64" s="6" t="s">
        <v>256</v>
      </c>
      <c r="S64" s="6" t="s">
        <v>7</v>
      </c>
      <c r="T64" s="6" t="s">
        <v>245</v>
      </c>
      <c r="U64" s="6" t="s">
        <v>121</v>
      </c>
      <c r="V64" s="6" t="s">
        <v>495</v>
      </c>
      <c r="W64" s="6" t="s">
        <v>83</v>
      </c>
      <c r="X64" s="6" t="s">
        <v>306</v>
      </c>
      <c r="Y64" s="6">
        <v>2143313351</v>
      </c>
      <c r="Z64" s="6" t="s">
        <v>41</v>
      </c>
      <c r="AA64" s="6" t="s">
        <v>83</v>
      </c>
      <c r="AB64" s="6">
        <v>122.3</v>
      </c>
      <c r="AC64" s="6">
        <v>383.93</v>
      </c>
      <c r="AD64" s="6">
        <v>0</v>
      </c>
      <c r="AE64" s="6">
        <v>0</v>
      </c>
      <c r="AF64" s="6">
        <v>0</v>
      </c>
      <c r="AG64" s="6">
        <v>0</v>
      </c>
      <c r="AH64" s="6">
        <v>40</v>
      </c>
      <c r="AI64" s="6" t="s">
        <v>431</v>
      </c>
      <c r="AJ64" s="6" t="s">
        <v>307</v>
      </c>
      <c r="AK64" s="6" t="s">
        <v>41</v>
      </c>
      <c r="AL64" s="6" t="s">
        <v>60</v>
      </c>
      <c r="AM64" s="6" t="s">
        <v>308</v>
      </c>
      <c r="AN64" s="6" t="s">
        <v>26</v>
      </c>
      <c r="AO64" s="6" t="s">
        <v>250</v>
      </c>
      <c r="AP64" s="6" t="s">
        <v>433</v>
      </c>
      <c r="AQ64" s="6" t="s">
        <v>92</v>
      </c>
    </row>
    <row r="65" spans="1:43" x14ac:dyDescent="0.25">
      <c r="A65" s="6">
        <v>22731393</v>
      </c>
      <c r="B65" s="6">
        <v>23528859</v>
      </c>
      <c r="C65" s="6" t="s">
        <v>237</v>
      </c>
      <c r="D65" s="14">
        <v>45881.742268518523</v>
      </c>
      <c r="E65" s="14">
        <v>45881.744317129633</v>
      </c>
      <c r="F65" s="6" t="s">
        <v>17</v>
      </c>
      <c r="G65" s="6" t="s">
        <v>17</v>
      </c>
      <c r="H65" s="6" t="s">
        <v>496</v>
      </c>
      <c r="I65" s="6" t="s">
        <v>301</v>
      </c>
      <c r="J65" s="6" t="s">
        <v>497</v>
      </c>
      <c r="K65" s="6" t="s">
        <v>429</v>
      </c>
      <c r="L65" s="6" t="s">
        <v>429</v>
      </c>
      <c r="M65" s="14">
        <v>45881.238888888889</v>
      </c>
      <c r="N65" s="6" t="s">
        <v>83</v>
      </c>
      <c r="O65" s="6" t="s">
        <v>83</v>
      </c>
      <c r="P65" s="6" t="s">
        <v>272</v>
      </c>
      <c r="Q65" s="6" t="s">
        <v>256</v>
      </c>
      <c r="R65" s="6" t="s">
        <v>256</v>
      </c>
      <c r="S65" s="6" t="s">
        <v>7</v>
      </c>
      <c r="T65" s="6" t="s">
        <v>245</v>
      </c>
      <c r="U65" s="6" t="s">
        <v>121</v>
      </c>
      <c r="V65" s="6" t="s">
        <v>498</v>
      </c>
      <c r="W65" s="6" t="s">
        <v>83</v>
      </c>
      <c r="X65" s="6" t="s">
        <v>306</v>
      </c>
      <c r="Y65" s="6">
        <v>2143310536</v>
      </c>
      <c r="Z65" s="6" t="s">
        <v>41</v>
      </c>
      <c r="AA65" s="6" t="s">
        <v>83</v>
      </c>
      <c r="AB65" s="6">
        <v>0.1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431</v>
      </c>
      <c r="AJ65" s="6" t="s">
        <v>307</v>
      </c>
      <c r="AK65" s="6" t="s">
        <v>41</v>
      </c>
      <c r="AL65" s="6" t="s">
        <v>60</v>
      </c>
      <c r="AM65" s="6" t="s">
        <v>308</v>
      </c>
      <c r="AN65" s="6" t="s">
        <v>26</v>
      </c>
      <c r="AO65" s="6" t="s">
        <v>250</v>
      </c>
      <c r="AP65" s="6" t="s">
        <v>433</v>
      </c>
      <c r="AQ65" s="6" t="s">
        <v>92</v>
      </c>
    </row>
    <row r="66" spans="1:43" x14ac:dyDescent="0.25">
      <c r="A66" s="6">
        <v>22731274</v>
      </c>
      <c r="B66" s="6">
        <v>23528756</v>
      </c>
      <c r="C66" s="6" t="s">
        <v>237</v>
      </c>
      <c r="D66" s="14">
        <v>45881.730578703697</v>
      </c>
      <c r="E66" s="14">
        <v>45881.731921296298</v>
      </c>
      <c r="F66" s="6" t="s">
        <v>17</v>
      </c>
      <c r="G66" s="6" t="s">
        <v>17</v>
      </c>
      <c r="H66" s="6" t="s">
        <v>499</v>
      </c>
      <c r="I66" s="6" t="s">
        <v>301</v>
      </c>
      <c r="J66" s="6" t="s">
        <v>500</v>
      </c>
      <c r="K66" s="6" t="s">
        <v>429</v>
      </c>
      <c r="L66" s="6" t="s">
        <v>429</v>
      </c>
      <c r="M66" s="14">
        <v>45881.229861111111</v>
      </c>
      <c r="N66" s="6" t="s">
        <v>83</v>
      </c>
      <c r="O66" s="6" t="s">
        <v>83</v>
      </c>
      <c r="P66" s="6" t="s">
        <v>272</v>
      </c>
      <c r="Q66" s="6" t="s">
        <v>256</v>
      </c>
      <c r="R66" s="6" t="s">
        <v>256</v>
      </c>
      <c r="S66" s="6" t="s">
        <v>7</v>
      </c>
      <c r="T66" s="6" t="s">
        <v>245</v>
      </c>
      <c r="U66" s="6" t="s">
        <v>121</v>
      </c>
      <c r="V66" s="6" t="s">
        <v>457</v>
      </c>
      <c r="W66" s="6" t="s">
        <v>83</v>
      </c>
      <c r="X66" s="6" t="s">
        <v>247</v>
      </c>
      <c r="Y66" s="6">
        <v>2245547443</v>
      </c>
      <c r="Z66" s="6" t="s">
        <v>41</v>
      </c>
      <c r="AA66" s="6" t="s">
        <v>83</v>
      </c>
      <c r="AB66" s="6">
        <v>318.86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40</v>
      </c>
      <c r="AI66" s="6" t="s">
        <v>431</v>
      </c>
      <c r="AJ66" s="6" t="s">
        <v>432</v>
      </c>
      <c r="AK66" s="6" t="s">
        <v>41</v>
      </c>
      <c r="AL66" s="6" t="s">
        <v>53</v>
      </c>
      <c r="AM66" s="6" t="s">
        <v>314</v>
      </c>
      <c r="AN66" s="6" t="s">
        <v>35</v>
      </c>
      <c r="AO66" s="6" t="s">
        <v>250</v>
      </c>
      <c r="AP66" s="6" t="s">
        <v>433</v>
      </c>
      <c r="AQ66" s="6" t="s">
        <v>92</v>
      </c>
    </row>
    <row r="67" spans="1:43" x14ac:dyDescent="0.25">
      <c r="A67" s="6">
        <v>22732767</v>
      </c>
      <c r="B67" s="6">
        <v>23530192</v>
      </c>
      <c r="C67" s="6" t="s">
        <v>237</v>
      </c>
      <c r="D67" s="14">
        <v>45881.797465277778</v>
      </c>
      <c r="E67" s="14">
        <v>45881.799618055556</v>
      </c>
      <c r="F67" s="6" t="s">
        <v>17</v>
      </c>
      <c r="G67" s="6" t="s">
        <v>17</v>
      </c>
      <c r="H67" s="6" t="s">
        <v>501</v>
      </c>
      <c r="I67" s="6" t="s">
        <v>301</v>
      </c>
      <c r="J67" s="6" t="s">
        <v>502</v>
      </c>
      <c r="K67" s="6" t="s">
        <v>429</v>
      </c>
      <c r="L67" s="6" t="s">
        <v>429</v>
      </c>
      <c r="M67" s="14">
        <v>45881.29583333333</v>
      </c>
      <c r="N67" s="6" t="s">
        <v>83</v>
      </c>
      <c r="O67" s="6" t="s">
        <v>83</v>
      </c>
      <c r="P67" s="6" t="s">
        <v>272</v>
      </c>
      <c r="Q67" s="6" t="s">
        <v>256</v>
      </c>
      <c r="R67" s="6" t="s">
        <v>256</v>
      </c>
      <c r="S67" s="6" t="s">
        <v>7</v>
      </c>
      <c r="T67" s="6" t="s">
        <v>245</v>
      </c>
      <c r="U67" s="6" t="s">
        <v>121</v>
      </c>
      <c r="V67" s="6" t="s">
        <v>436</v>
      </c>
      <c r="W67" s="6" t="s">
        <v>83</v>
      </c>
      <c r="X67" s="6" t="s">
        <v>318</v>
      </c>
      <c r="Y67" s="6">
        <v>817572019</v>
      </c>
      <c r="Z67" s="6" t="s">
        <v>41</v>
      </c>
      <c r="AA67" s="6" t="s">
        <v>83</v>
      </c>
      <c r="AB67" s="6">
        <v>1386.24</v>
      </c>
      <c r="AC67" s="6">
        <v>450</v>
      </c>
      <c r="AD67" s="6">
        <v>0</v>
      </c>
      <c r="AE67" s="6">
        <v>0</v>
      </c>
      <c r="AF67" s="6">
        <v>0</v>
      </c>
      <c r="AG67" s="6">
        <v>0</v>
      </c>
      <c r="AH67" s="6">
        <v>40</v>
      </c>
      <c r="AI67" s="6" t="s">
        <v>431</v>
      </c>
      <c r="AJ67" s="6" t="s">
        <v>307</v>
      </c>
      <c r="AK67" s="6" t="s">
        <v>41</v>
      </c>
      <c r="AL67" s="6" t="s">
        <v>60</v>
      </c>
      <c r="AM67" s="6" t="s">
        <v>308</v>
      </c>
      <c r="AN67" s="6" t="s">
        <v>26</v>
      </c>
      <c r="AO67" s="6" t="s">
        <v>250</v>
      </c>
      <c r="AP67" s="6" t="s">
        <v>433</v>
      </c>
      <c r="AQ67" s="6" t="s">
        <v>92</v>
      </c>
    </row>
    <row r="68" spans="1:43" x14ac:dyDescent="0.25">
      <c r="A68" s="6">
        <v>22732582</v>
      </c>
      <c r="B68" s="6">
        <v>23530008</v>
      </c>
      <c r="C68" s="6" t="s">
        <v>237</v>
      </c>
      <c r="D68" s="14">
        <v>45881.789340277777</v>
      </c>
      <c r="E68" s="14">
        <v>45881.790138888893</v>
      </c>
      <c r="F68" s="6" t="s">
        <v>17</v>
      </c>
      <c r="G68" s="6" t="s">
        <v>17</v>
      </c>
      <c r="H68" s="6" t="s">
        <v>503</v>
      </c>
      <c r="I68" s="6" t="s">
        <v>301</v>
      </c>
      <c r="J68" s="6" t="s">
        <v>504</v>
      </c>
      <c r="K68" s="6" t="s">
        <v>429</v>
      </c>
      <c r="L68" s="6" t="s">
        <v>429</v>
      </c>
      <c r="M68" s="14">
        <v>45881.286805555559</v>
      </c>
      <c r="N68" s="6" t="s">
        <v>83</v>
      </c>
      <c r="O68" s="6" t="s">
        <v>83</v>
      </c>
      <c r="P68" s="6" t="s">
        <v>272</v>
      </c>
      <c r="Q68" s="6" t="s">
        <v>243</v>
      </c>
      <c r="R68" s="6" t="s">
        <v>304</v>
      </c>
      <c r="S68" s="6" t="s">
        <v>7</v>
      </c>
      <c r="T68" s="6" t="s">
        <v>245</v>
      </c>
      <c r="U68" s="6" t="s">
        <v>121</v>
      </c>
      <c r="V68" s="6" t="s">
        <v>505</v>
      </c>
      <c r="W68" s="6" t="s">
        <v>83</v>
      </c>
      <c r="X68" s="6" t="s">
        <v>306</v>
      </c>
      <c r="Y68" s="6">
        <v>2143298447</v>
      </c>
      <c r="Z68" s="6" t="s">
        <v>41</v>
      </c>
      <c r="AA68" s="6" t="s">
        <v>83</v>
      </c>
      <c r="AB68" s="6">
        <v>2255.4899999999998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40</v>
      </c>
      <c r="AI68" s="6" t="s">
        <v>431</v>
      </c>
      <c r="AJ68" s="6" t="s">
        <v>307</v>
      </c>
      <c r="AK68" s="6" t="s">
        <v>41</v>
      </c>
      <c r="AL68" s="6" t="s">
        <v>60</v>
      </c>
      <c r="AM68" s="6" t="s">
        <v>308</v>
      </c>
      <c r="AN68" s="6" t="s">
        <v>26</v>
      </c>
      <c r="AO68" s="6" t="s">
        <v>250</v>
      </c>
      <c r="AP68" s="6" t="s">
        <v>433</v>
      </c>
      <c r="AQ68" s="6" t="s">
        <v>92</v>
      </c>
    </row>
    <row r="69" spans="1:43" x14ac:dyDescent="0.25">
      <c r="A69" s="6">
        <v>22732644</v>
      </c>
      <c r="B69" s="6">
        <v>23530073</v>
      </c>
      <c r="C69" s="6" t="s">
        <v>237</v>
      </c>
      <c r="D69" s="14">
        <v>45881.793368055558</v>
      </c>
      <c r="E69" s="14">
        <v>45881.79483796296</v>
      </c>
      <c r="F69" s="6" t="s">
        <v>17</v>
      </c>
      <c r="G69" s="6" t="s">
        <v>17</v>
      </c>
      <c r="H69" s="6" t="s">
        <v>501</v>
      </c>
      <c r="I69" s="6" t="s">
        <v>301</v>
      </c>
      <c r="J69" s="6" t="s">
        <v>502</v>
      </c>
      <c r="K69" s="6" t="s">
        <v>429</v>
      </c>
      <c r="L69" s="6" t="s">
        <v>429</v>
      </c>
      <c r="M69" s="14">
        <v>45881.291666666657</v>
      </c>
      <c r="N69" s="6" t="s">
        <v>83</v>
      </c>
      <c r="O69" s="6" t="s">
        <v>83</v>
      </c>
      <c r="P69" s="6" t="s">
        <v>272</v>
      </c>
      <c r="Q69" s="6" t="s">
        <v>256</v>
      </c>
      <c r="R69" s="6" t="s">
        <v>256</v>
      </c>
      <c r="S69" s="6" t="s">
        <v>7</v>
      </c>
      <c r="T69" s="6" t="s">
        <v>245</v>
      </c>
      <c r="U69" s="6" t="s">
        <v>121</v>
      </c>
      <c r="V69" s="6" t="s">
        <v>436</v>
      </c>
      <c r="W69" s="6" t="s">
        <v>83</v>
      </c>
      <c r="X69" s="6" t="s">
        <v>318</v>
      </c>
      <c r="Y69" s="6">
        <v>976145215</v>
      </c>
      <c r="Z69" s="6" t="s">
        <v>41</v>
      </c>
      <c r="AA69" s="6" t="s">
        <v>83</v>
      </c>
      <c r="AB69" s="6">
        <v>1386.24</v>
      </c>
      <c r="AC69" s="6">
        <v>450</v>
      </c>
      <c r="AD69" s="6">
        <v>0</v>
      </c>
      <c r="AE69" s="6">
        <v>0</v>
      </c>
      <c r="AF69" s="6">
        <v>0</v>
      </c>
      <c r="AG69" s="6">
        <v>0</v>
      </c>
      <c r="AH69" s="6">
        <v>40</v>
      </c>
      <c r="AI69" s="6" t="s">
        <v>431</v>
      </c>
      <c r="AJ69" s="6" t="s">
        <v>307</v>
      </c>
      <c r="AK69" s="6" t="s">
        <v>41</v>
      </c>
      <c r="AL69" s="6" t="s">
        <v>60</v>
      </c>
      <c r="AM69" s="6" t="s">
        <v>308</v>
      </c>
      <c r="AN69" s="6" t="s">
        <v>26</v>
      </c>
      <c r="AO69" s="6" t="s">
        <v>250</v>
      </c>
      <c r="AP69" s="6" t="s">
        <v>433</v>
      </c>
      <c r="AQ69" s="6" t="s">
        <v>92</v>
      </c>
    </row>
    <row r="70" spans="1:43" x14ac:dyDescent="0.25">
      <c r="A70" s="6">
        <v>22730884</v>
      </c>
      <c r="B70" s="6">
        <v>23528388</v>
      </c>
      <c r="C70" s="6" t="s">
        <v>237</v>
      </c>
      <c r="D70" s="14">
        <v>45881.681944444441</v>
      </c>
      <c r="E70" s="14">
        <v>45881.684074074074</v>
      </c>
      <c r="F70" s="6" t="s">
        <v>17</v>
      </c>
      <c r="G70" s="6" t="s">
        <v>17</v>
      </c>
      <c r="H70" s="6" t="s">
        <v>506</v>
      </c>
      <c r="I70" s="6" t="s">
        <v>301</v>
      </c>
      <c r="J70" s="6" t="s">
        <v>507</v>
      </c>
      <c r="K70" s="6" t="s">
        <v>429</v>
      </c>
      <c r="L70" s="6" t="s">
        <v>429</v>
      </c>
      <c r="M70" s="14">
        <v>45881.134722222218</v>
      </c>
      <c r="N70" s="6" t="s">
        <v>83</v>
      </c>
      <c r="O70" s="6" t="s">
        <v>83</v>
      </c>
      <c r="P70" s="6" t="s">
        <v>272</v>
      </c>
      <c r="Q70" s="6" t="s">
        <v>256</v>
      </c>
      <c r="R70" s="6" t="s">
        <v>256</v>
      </c>
      <c r="S70" s="6" t="s">
        <v>7</v>
      </c>
      <c r="T70" s="6" t="s">
        <v>245</v>
      </c>
      <c r="U70" s="6" t="s">
        <v>121</v>
      </c>
      <c r="V70" s="6" t="s">
        <v>508</v>
      </c>
      <c r="W70" s="6" t="s">
        <v>83</v>
      </c>
      <c r="X70" s="6" t="s">
        <v>318</v>
      </c>
      <c r="Y70" s="6">
        <v>309649679</v>
      </c>
      <c r="Z70" s="6" t="s">
        <v>41</v>
      </c>
      <c r="AA70" s="6" t="s">
        <v>83</v>
      </c>
      <c r="AB70" s="6">
        <v>1037.99</v>
      </c>
      <c r="AC70" s="6">
        <v>58.89</v>
      </c>
      <c r="AD70" s="6">
        <v>0</v>
      </c>
      <c r="AE70" s="6">
        <v>0</v>
      </c>
      <c r="AF70" s="6">
        <v>0</v>
      </c>
      <c r="AG70" s="6">
        <v>0</v>
      </c>
      <c r="AH70" s="6">
        <v>249.12</v>
      </c>
      <c r="AI70" s="6" t="s">
        <v>431</v>
      </c>
      <c r="AJ70" s="6" t="s">
        <v>432</v>
      </c>
      <c r="AK70" s="6" t="s">
        <v>41</v>
      </c>
      <c r="AL70" s="6" t="s">
        <v>53</v>
      </c>
      <c r="AM70" s="6" t="s">
        <v>314</v>
      </c>
      <c r="AN70" s="6" t="s">
        <v>35</v>
      </c>
      <c r="AO70" s="6" t="s">
        <v>250</v>
      </c>
      <c r="AP70" s="6" t="s">
        <v>433</v>
      </c>
      <c r="AQ70" s="6" t="s">
        <v>92</v>
      </c>
    </row>
    <row r="71" spans="1:43" x14ac:dyDescent="0.25">
      <c r="A71" s="6">
        <v>22730884</v>
      </c>
      <c r="B71" s="6">
        <v>23528389</v>
      </c>
      <c r="C71" s="6" t="s">
        <v>378</v>
      </c>
      <c r="D71" s="14">
        <v>45881.681944444441</v>
      </c>
      <c r="E71" s="14">
        <v>45881.684074074074</v>
      </c>
      <c r="F71" s="6" t="s">
        <v>17</v>
      </c>
      <c r="G71" s="6" t="s">
        <v>17</v>
      </c>
      <c r="H71" s="6" t="s">
        <v>506</v>
      </c>
      <c r="I71" s="6" t="s">
        <v>301</v>
      </c>
      <c r="J71" s="6" t="s">
        <v>509</v>
      </c>
      <c r="K71" s="6" t="s">
        <v>429</v>
      </c>
      <c r="L71" s="6" t="s">
        <v>429</v>
      </c>
      <c r="M71" s="14">
        <v>45881.134722222218</v>
      </c>
      <c r="N71" s="6" t="s">
        <v>83</v>
      </c>
      <c r="O71" s="6" t="s">
        <v>83</v>
      </c>
      <c r="P71" s="6" t="s">
        <v>272</v>
      </c>
      <c r="Q71" s="6" t="s">
        <v>256</v>
      </c>
      <c r="R71" s="6" t="s">
        <v>256</v>
      </c>
      <c r="S71" s="6" t="s">
        <v>7</v>
      </c>
      <c r="T71" s="6" t="s">
        <v>245</v>
      </c>
      <c r="U71" s="6" t="s">
        <v>121</v>
      </c>
      <c r="V71" s="6" t="s">
        <v>508</v>
      </c>
      <c r="W71" s="6" t="s">
        <v>83</v>
      </c>
      <c r="X71" s="6" t="s">
        <v>318</v>
      </c>
      <c r="Y71" s="6">
        <v>462835615</v>
      </c>
      <c r="Z71" s="6" t="s">
        <v>41</v>
      </c>
      <c r="AA71" s="6" t="s">
        <v>83</v>
      </c>
      <c r="AB71" s="6">
        <v>1037.99</v>
      </c>
      <c r="AC71" s="6">
        <v>58.89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 t="s">
        <v>431</v>
      </c>
      <c r="AJ71" s="6" t="s">
        <v>432</v>
      </c>
      <c r="AK71" s="6" t="s">
        <v>41</v>
      </c>
      <c r="AL71" s="6" t="s">
        <v>53</v>
      </c>
      <c r="AM71" s="6" t="s">
        <v>314</v>
      </c>
      <c r="AN71" s="6" t="s">
        <v>35</v>
      </c>
      <c r="AO71" s="6" t="s">
        <v>250</v>
      </c>
      <c r="AP71" s="6" t="s">
        <v>433</v>
      </c>
      <c r="AQ71" s="6" t="s">
        <v>92</v>
      </c>
    </row>
    <row r="72" spans="1:43" x14ac:dyDescent="0.25">
      <c r="A72" s="6">
        <v>22728064</v>
      </c>
      <c r="B72" s="6">
        <v>23525707</v>
      </c>
      <c r="C72" s="6" t="s">
        <v>237</v>
      </c>
      <c r="D72" s="14">
        <v>45881.34165509259</v>
      </c>
      <c r="E72" s="14">
        <v>45881.342141203713</v>
      </c>
      <c r="F72" s="6" t="s">
        <v>17</v>
      </c>
      <c r="G72" s="6" t="s">
        <v>17</v>
      </c>
      <c r="H72" s="6" t="s">
        <v>510</v>
      </c>
      <c r="I72" s="6" t="s">
        <v>301</v>
      </c>
      <c r="J72" s="6" t="s">
        <v>511</v>
      </c>
      <c r="K72" s="6" t="s">
        <v>429</v>
      </c>
      <c r="L72" s="6" t="s">
        <v>429</v>
      </c>
      <c r="M72" s="14">
        <v>45881.337500000001</v>
      </c>
      <c r="N72" s="6" t="s">
        <v>83</v>
      </c>
      <c r="O72" s="6" t="s">
        <v>83</v>
      </c>
      <c r="P72" s="6" t="s">
        <v>272</v>
      </c>
      <c r="Q72" s="6" t="s">
        <v>256</v>
      </c>
      <c r="R72" s="6" t="s">
        <v>256</v>
      </c>
      <c r="S72" s="6" t="s">
        <v>7</v>
      </c>
      <c r="T72" s="6" t="s">
        <v>245</v>
      </c>
      <c r="U72" s="6" t="s">
        <v>121</v>
      </c>
      <c r="V72" s="6" t="s">
        <v>512</v>
      </c>
      <c r="W72" s="6" t="s">
        <v>83</v>
      </c>
      <c r="X72" s="6" t="s">
        <v>247</v>
      </c>
      <c r="Y72" s="6">
        <v>2245457846</v>
      </c>
      <c r="Z72" s="6" t="s">
        <v>41</v>
      </c>
      <c r="AA72" s="6" t="s">
        <v>83</v>
      </c>
      <c r="AB72" s="6">
        <v>319.92</v>
      </c>
      <c r="AC72" s="6">
        <v>60.62</v>
      </c>
      <c r="AD72" s="6">
        <v>0</v>
      </c>
      <c r="AE72" s="6">
        <v>40</v>
      </c>
      <c r="AF72" s="6">
        <v>0</v>
      </c>
      <c r="AG72" s="6">
        <v>0</v>
      </c>
      <c r="AH72" s="6">
        <v>21.6</v>
      </c>
      <c r="AI72" s="6" t="s">
        <v>431</v>
      </c>
      <c r="AJ72" s="6" t="s">
        <v>513</v>
      </c>
      <c r="AK72" s="6" t="s">
        <v>41</v>
      </c>
      <c r="AL72" s="6" t="s">
        <v>66</v>
      </c>
      <c r="AM72" s="6" t="s">
        <v>74</v>
      </c>
      <c r="AN72" s="6" t="s">
        <v>20</v>
      </c>
      <c r="AO72" s="6" t="s">
        <v>250</v>
      </c>
      <c r="AP72" s="6" t="s">
        <v>433</v>
      </c>
      <c r="AQ72" s="6" t="s">
        <v>92</v>
      </c>
    </row>
    <row r="73" spans="1:43" x14ac:dyDescent="0.25">
      <c r="A73" s="6">
        <v>22728612</v>
      </c>
      <c r="B73" s="6">
        <v>23526178</v>
      </c>
      <c r="C73" s="6" t="s">
        <v>237</v>
      </c>
      <c r="D73" s="14">
        <v>45881.428148148138</v>
      </c>
      <c r="E73" s="14">
        <v>45881.4296875</v>
      </c>
      <c r="F73" s="6" t="s">
        <v>17</v>
      </c>
      <c r="G73" s="6" t="s">
        <v>17</v>
      </c>
      <c r="H73" s="6" t="s">
        <v>514</v>
      </c>
      <c r="I73" s="6" t="s">
        <v>301</v>
      </c>
      <c r="J73" s="6" t="s">
        <v>515</v>
      </c>
      <c r="K73" s="6" t="s">
        <v>429</v>
      </c>
      <c r="L73" s="6" t="s">
        <v>429</v>
      </c>
      <c r="M73" s="14">
        <v>45881.361111111109</v>
      </c>
      <c r="N73" s="6" t="s">
        <v>83</v>
      </c>
      <c r="O73" s="6" t="s">
        <v>83</v>
      </c>
      <c r="P73" s="6" t="s">
        <v>272</v>
      </c>
      <c r="Q73" s="6" t="s">
        <v>256</v>
      </c>
      <c r="R73" s="6" t="s">
        <v>256</v>
      </c>
      <c r="S73" s="6" t="s">
        <v>7</v>
      </c>
      <c r="T73" s="6" t="s">
        <v>245</v>
      </c>
      <c r="U73" s="6" t="s">
        <v>121</v>
      </c>
      <c r="V73" s="6" t="s">
        <v>516</v>
      </c>
      <c r="W73" s="6" t="s">
        <v>83</v>
      </c>
      <c r="X73" s="6" t="s">
        <v>318</v>
      </c>
      <c r="Y73" s="6">
        <v>934956635</v>
      </c>
      <c r="Z73" s="6" t="s">
        <v>41</v>
      </c>
      <c r="AA73" s="6" t="s">
        <v>83</v>
      </c>
      <c r="AB73" s="6">
        <v>387.06</v>
      </c>
      <c r="AC73" s="6">
        <v>36.67</v>
      </c>
      <c r="AD73" s="6">
        <v>0</v>
      </c>
      <c r="AE73" s="6">
        <v>0</v>
      </c>
      <c r="AF73" s="6">
        <v>0</v>
      </c>
      <c r="AG73" s="6">
        <v>0</v>
      </c>
      <c r="AH73" s="6">
        <v>46.45</v>
      </c>
      <c r="AI73" s="6" t="s">
        <v>431</v>
      </c>
      <c r="AJ73" s="6" t="s">
        <v>432</v>
      </c>
      <c r="AK73" s="6" t="s">
        <v>41</v>
      </c>
      <c r="AL73" s="6" t="s">
        <v>53</v>
      </c>
      <c r="AM73" s="6" t="s">
        <v>314</v>
      </c>
      <c r="AN73" s="6" t="s">
        <v>35</v>
      </c>
      <c r="AO73" s="6" t="s">
        <v>250</v>
      </c>
      <c r="AP73" s="6" t="s">
        <v>433</v>
      </c>
      <c r="AQ73" s="6" t="s">
        <v>92</v>
      </c>
    </row>
    <row r="74" spans="1:43" x14ac:dyDescent="0.25">
      <c r="A74" s="6">
        <v>22728625</v>
      </c>
      <c r="B74" s="6">
        <v>23526192</v>
      </c>
      <c r="C74" s="6" t="s">
        <v>237</v>
      </c>
      <c r="D74" s="14">
        <v>45881.430532407408</v>
      </c>
      <c r="E74" s="14">
        <v>45881.431701388887</v>
      </c>
      <c r="F74" s="6" t="s">
        <v>17</v>
      </c>
      <c r="G74" s="6" t="s">
        <v>17</v>
      </c>
      <c r="H74" s="6" t="s">
        <v>517</v>
      </c>
      <c r="I74" s="6" t="s">
        <v>301</v>
      </c>
      <c r="J74" s="6" t="s">
        <v>515</v>
      </c>
      <c r="K74" s="6" t="s">
        <v>429</v>
      </c>
      <c r="L74" s="6" t="s">
        <v>429</v>
      </c>
      <c r="M74" s="14">
        <v>45881.361111111109</v>
      </c>
      <c r="N74" s="6" t="s">
        <v>83</v>
      </c>
      <c r="O74" s="6" t="s">
        <v>83</v>
      </c>
      <c r="P74" s="6" t="s">
        <v>272</v>
      </c>
      <c r="Q74" s="6" t="s">
        <v>256</v>
      </c>
      <c r="R74" s="6" t="s">
        <v>256</v>
      </c>
      <c r="S74" s="6" t="s">
        <v>7</v>
      </c>
      <c r="T74" s="6" t="s">
        <v>245</v>
      </c>
      <c r="U74" s="6" t="s">
        <v>121</v>
      </c>
      <c r="V74" s="6" t="s">
        <v>516</v>
      </c>
      <c r="W74" s="6" t="s">
        <v>83</v>
      </c>
      <c r="X74" s="6" t="s">
        <v>247</v>
      </c>
      <c r="Y74" s="6">
        <v>2245458856</v>
      </c>
      <c r="Z74" s="6" t="s">
        <v>41</v>
      </c>
      <c r="AA74" s="6" t="s">
        <v>83</v>
      </c>
      <c r="AB74" s="6">
        <v>491.96</v>
      </c>
      <c r="AC74" s="6">
        <v>48.3</v>
      </c>
      <c r="AD74" s="6">
        <v>0</v>
      </c>
      <c r="AE74" s="6">
        <v>49.19</v>
      </c>
      <c r="AF74" s="6">
        <v>0</v>
      </c>
      <c r="AG74" s="6">
        <v>0</v>
      </c>
      <c r="AH74" s="6">
        <v>32.47</v>
      </c>
      <c r="AI74" s="6" t="s">
        <v>431</v>
      </c>
      <c r="AJ74" s="6" t="s">
        <v>432</v>
      </c>
      <c r="AK74" s="6" t="s">
        <v>41</v>
      </c>
      <c r="AL74" s="6" t="s">
        <v>53</v>
      </c>
      <c r="AM74" s="6" t="s">
        <v>314</v>
      </c>
      <c r="AN74" s="6" t="s">
        <v>35</v>
      </c>
      <c r="AO74" s="6" t="s">
        <v>250</v>
      </c>
      <c r="AP74" s="6" t="s">
        <v>433</v>
      </c>
      <c r="AQ74" s="6" t="s">
        <v>92</v>
      </c>
    </row>
    <row r="75" spans="1:43" x14ac:dyDescent="0.25">
      <c r="A75" s="6">
        <v>22728626</v>
      </c>
      <c r="B75" s="6">
        <v>23526193</v>
      </c>
      <c r="C75" s="6" t="s">
        <v>237</v>
      </c>
      <c r="D75" s="14">
        <v>45881.430532407408</v>
      </c>
      <c r="E75" s="14">
        <v>45881.431863425933</v>
      </c>
      <c r="F75" s="6" t="s">
        <v>17</v>
      </c>
      <c r="G75" s="6" t="s">
        <v>17</v>
      </c>
      <c r="H75" s="6" t="s">
        <v>518</v>
      </c>
      <c r="I75" s="6" t="s">
        <v>301</v>
      </c>
      <c r="J75" s="6" t="s">
        <v>515</v>
      </c>
      <c r="K75" s="6" t="s">
        <v>429</v>
      </c>
      <c r="L75" s="6" t="s">
        <v>429</v>
      </c>
      <c r="M75" s="14">
        <v>45881.361111111109</v>
      </c>
      <c r="N75" s="6" t="s">
        <v>83</v>
      </c>
      <c r="O75" s="6" t="s">
        <v>83</v>
      </c>
      <c r="P75" s="6" t="s">
        <v>272</v>
      </c>
      <c r="Q75" s="6" t="s">
        <v>256</v>
      </c>
      <c r="R75" s="6" t="s">
        <v>256</v>
      </c>
      <c r="S75" s="6" t="s">
        <v>7</v>
      </c>
      <c r="T75" s="6" t="s">
        <v>245</v>
      </c>
      <c r="U75" s="6" t="s">
        <v>121</v>
      </c>
      <c r="V75" s="6" t="s">
        <v>516</v>
      </c>
      <c r="W75" s="6" t="s">
        <v>83</v>
      </c>
      <c r="X75" s="6" t="s">
        <v>318</v>
      </c>
      <c r="Y75" s="6">
        <v>593786344</v>
      </c>
      <c r="Z75" s="6" t="s">
        <v>41</v>
      </c>
      <c r="AA75" s="6" t="s">
        <v>83</v>
      </c>
      <c r="AB75" s="6">
        <v>474.9</v>
      </c>
      <c r="AC75" s="6">
        <v>54.45</v>
      </c>
      <c r="AD75" s="6">
        <v>0</v>
      </c>
      <c r="AE75" s="6">
        <v>0</v>
      </c>
      <c r="AF75" s="6">
        <v>0</v>
      </c>
      <c r="AG75" s="6">
        <v>0</v>
      </c>
      <c r="AH75" s="6">
        <v>56.99</v>
      </c>
      <c r="AI75" s="6" t="s">
        <v>431</v>
      </c>
      <c r="AJ75" s="6" t="s">
        <v>432</v>
      </c>
      <c r="AK75" s="6" t="s">
        <v>41</v>
      </c>
      <c r="AL75" s="6" t="s">
        <v>53</v>
      </c>
      <c r="AM75" s="6" t="s">
        <v>314</v>
      </c>
      <c r="AN75" s="6" t="s">
        <v>35</v>
      </c>
      <c r="AO75" s="6" t="s">
        <v>250</v>
      </c>
      <c r="AP75" s="6" t="s">
        <v>433</v>
      </c>
      <c r="AQ75" s="6" t="s">
        <v>92</v>
      </c>
    </row>
    <row r="76" spans="1:43" x14ac:dyDescent="0.25">
      <c r="A76" s="6">
        <v>22730463</v>
      </c>
      <c r="B76" s="6">
        <v>23527953</v>
      </c>
      <c r="C76" s="6" t="s">
        <v>237</v>
      </c>
      <c r="D76" s="14">
        <v>45881.623530092591</v>
      </c>
      <c r="E76" s="14">
        <v>45881.626064814824</v>
      </c>
      <c r="F76" s="6" t="s">
        <v>17</v>
      </c>
      <c r="G76" s="6" t="s">
        <v>17</v>
      </c>
      <c r="H76" s="6" t="s">
        <v>519</v>
      </c>
      <c r="I76" s="6" t="s">
        <v>301</v>
      </c>
      <c r="J76" s="6" t="s">
        <v>520</v>
      </c>
      <c r="K76" s="6" t="s">
        <v>429</v>
      </c>
      <c r="L76" s="6" t="s">
        <v>429</v>
      </c>
      <c r="M76" s="14">
        <v>45881.122916666667</v>
      </c>
      <c r="N76" s="6" t="s">
        <v>83</v>
      </c>
      <c r="O76" s="6" t="s">
        <v>83</v>
      </c>
      <c r="P76" s="6" t="s">
        <v>272</v>
      </c>
      <c r="Q76" s="6" t="s">
        <v>256</v>
      </c>
      <c r="R76" s="6" t="s">
        <v>256</v>
      </c>
      <c r="S76" s="6" t="s">
        <v>7</v>
      </c>
      <c r="T76" s="6" t="s">
        <v>245</v>
      </c>
      <c r="U76" s="6" t="s">
        <v>83</v>
      </c>
      <c r="V76" s="6" t="s">
        <v>521</v>
      </c>
      <c r="W76" s="6" t="s">
        <v>83</v>
      </c>
      <c r="X76" s="6" t="s">
        <v>318</v>
      </c>
      <c r="Y76" s="6">
        <v>862062498</v>
      </c>
      <c r="Z76" s="6" t="s">
        <v>41</v>
      </c>
      <c r="AA76" s="6" t="s">
        <v>83</v>
      </c>
      <c r="AB76" s="6">
        <v>1306.74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40</v>
      </c>
      <c r="AI76" s="6" t="s">
        <v>431</v>
      </c>
      <c r="AJ76" s="6" t="s">
        <v>432</v>
      </c>
      <c r="AK76" s="6" t="s">
        <v>41</v>
      </c>
      <c r="AL76" s="6" t="s">
        <v>53</v>
      </c>
      <c r="AM76" s="6" t="s">
        <v>314</v>
      </c>
      <c r="AN76" s="6" t="s">
        <v>35</v>
      </c>
      <c r="AO76" s="6" t="s">
        <v>250</v>
      </c>
      <c r="AP76" s="6" t="s">
        <v>433</v>
      </c>
      <c r="AQ76" s="6" t="s">
        <v>92</v>
      </c>
    </row>
    <row r="77" spans="1:43" x14ac:dyDescent="0.25">
      <c r="A77" s="6">
        <v>22730220</v>
      </c>
      <c r="B77" s="6">
        <v>23527745</v>
      </c>
      <c r="C77" s="6" t="s">
        <v>237</v>
      </c>
      <c r="D77" s="14">
        <v>45881.587534722217</v>
      </c>
      <c r="E77" s="14">
        <v>45881.589212962957</v>
      </c>
      <c r="F77" s="6" t="s">
        <v>17</v>
      </c>
      <c r="G77" s="6" t="s">
        <v>17</v>
      </c>
      <c r="H77" s="6" t="s">
        <v>522</v>
      </c>
      <c r="I77" s="6" t="s">
        <v>301</v>
      </c>
      <c r="J77" s="6" t="s">
        <v>523</v>
      </c>
      <c r="K77" s="6" t="s">
        <v>429</v>
      </c>
      <c r="L77" s="6" t="s">
        <v>429</v>
      </c>
      <c r="M77" s="14">
        <v>45881.065972222219</v>
      </c>
      <c r="N77" s="6" t="s">
        <v>83</v>
      </c>
      <c r="O77" s="6" t="s">
        <v>83</v>
      </c>
      <c r="P77" s="6" t="s">
        <v>272</v>
      </c>
      <c r="Q77" s="6" t="s">
        <v>256</v>
      </c>
      <c r="R77" s="6" t="s">
        <v>256</v>
      </c>
      <c r="S77" s="6" t="s">
        <v>7</v>
      </c>
      <c r="T77" s="6" t="s">
        <v>245</v>
      </c>
      <c r="U77" s="6" t="s">
        <v>524</v>
      </c>
      <c r="V77" s="6" t="s">
        <v>525</v>
      </c>
      <c r="W77" s="6" t="s">
        <v>83</v>
      </c>
      <c r="X77" s="6" t="s">
        <v>318</v>
      </c>
      <c r="Y77" s="6">
        <v>402053694</v>
      </c>
      <c r="Z77" s="6" t="s">
        <v>41</v>
      </c>
      <c r="AA77" s="6" t="s">
        <v>83</v>
      </c>
      <c r="AB77" s="6">
        <v>1002.6</v>
      </c>
      <c r="AC77" s="6">
        <v>108.02</v>
      </c>
      <c r="AD77" s="6">
        <v>0</v>
      </c>
      <c r="AE77" s="6">
        <v>0</v>
      </c>
      <c r="AF77" s="6">
        <v>0</v>
      </c>
      <c r="AG77" s="6">
        <v>0</v>
      </c>
      <c r="AH77" s="6">
        <v>120.31</v>
      </c>
      <c r="AI77" s="6" t="s">
        <v>431</v>
      </c>
      <c r="AJ77" s="6" t="s">
        <v>432</v>
      </c>
      <c r="AK77" s="6" t="s">
        <v>41</v>
      </c>
      <c r="AL77" s="6" t="s">
        <v>53</v>
      </c>
      <c r="AM77" s="6" t="s">
        <v>314</v>
      </c>
      <c r="AN77" s="6" t="s">
        <v>35</v>
      </c>
      <c r="AO77" s="6" t="s">
        <v>250</v>
      </c>
      <c r="AP77" s="6" t="s">
        <v>433</v>
      </c>
      <c r="AQ77" s="6" t="s">
        <v>92</v>
      </c>
    </row>
    <row r="78" spans="1:43" x14ac:dyDescent="0.25">
      <c r="A78" s="6">
        <v>22730293</v>
      </c>
      <c r="B78" s="6">
        <v>23527806</v>
      </c>
      <c r="C78" s="6" t="s">
        <v>237</v>
      </c>
      <c r="D78" s="14">
        <v>45881.59584490741</v>
      </c>
      <c r="E78" s="14">
        <v>45881.596608796302</v>
      </c>
      <c r="F78" s="6" t="s">
        <v>17</v>
      </c>
      <c r="G78" s="6" t="s">
        <v>17</v>
      </c>
      <c r="H78" s="6" t="s">
        <v>526</v>
      </c>
      <c r="I78" s="6" t="s">
        <v>301</v>
      </c>
      <c r="J78" s="6" t="s">
        <v>527</v>
      </c>
      <c r="K78" s="6" t="s">
        <v>429</v>
      </c>
      <c r="L78" s="6" t="s">
        <v>429</v>
      </c>
      <c r="M78" s="14">
        <v>45881.081944444442</v>
      </c>
      <c r="N78" s="6" t="s">
        <v>83</v>
      </c>
      <c r="O78" s="6" t="s">
        <v>83</v>
      </c>
      <c r="P78" s="6" t="s">
        <v>272</v>
      </c>
      <c r="Q78" s="6" t="s">
        <v>256</v>
      </c>
      <c r="R78" s="6" t="s">
        <v>256</v>
      </c>
      <c r="S78" s="6" t="s">
        <v>7</v>
      </c>
      <c r="T78" s="6" t="s">
        <v>245</v>
      </c>
      <c r="U78" s="6" t="s">
        <v>524</v>
      </c>
      <c r="V78" s="6" t="s">
        <v>525</v>
      </c>
      <c r="W78" s="6" t="s">
        <v>83</v>
      </c>
      <c r="X78" s="6" t="s">
        <v>306</v>
      </c>
      <c r="Y78" s="6">
        <v>2143297236</v>
      </c>
      <c r="Z78" s="6" t="s">
        <v>41</v>
      </c>
      <c r="AA78" s="6" t="s">
        <v>83</v>
      </c>
      <c r="AB78" s="6">
        <v>1432.71</v>
      </c>
      <c r="AC78" s="6">
        <v>97.84</v>
      </c>
      <c r="AD78" s="6">
        <v>0</v>
      </c>
      <c r="AE78" s="6">
        <v>143.27000000000001</v>
      </c>
      <c r="AF78" s="6">
        <v>0</v>
      </c>
      <c r="AG78" s="6">
        <v>0</v>
      </c>
      <c r="AH78" s="6">
        <v>15.76</v>
      </c>
      <c r="AI78" s="6" t="s">
        <v>431</v>
      </c>
      <c r="AJ78" s="6" t="s">
        <v>432</v>
      </c>
      <c r="AK78" s="6" t="s">
        <v>41</v>
      </c>
      <c r="AL78" s="6" t="s">
        <v>53</v>
      </c>
      <c r="AM78" s="6" t="s">
        <v>314</v>
      </c>
      <c r="AN78" s="6" t="s">
        <v>35</v>
      </c>
      <c r="AO78" s="6" t="s">
        <v>250</v>
      </c>
      <c r="AP78" s="6" t="s">
        <v>433</v>
      </c>
      <c r="AQ78" s="6" t="s">
        <v>92</v>
      </c>
    </row>
    <row r="79" spans="1:43" x14ac:dyDescent="0.25">
      <c r="A79" s="6">
        <v>22730805</v>
      </c>
      <c r="B79" s="6">
        <v>23528293</v>
      </c>
      <c r="C79" s="6" t="s">
        <v>237</v>
      </c>
      <c r="D79" s="14">
        <v>45881.675416666672</v>
      </c>
      <c r="E79" s="14">
        <v>45881.676388888889</v>
      </c>
      <c r="F79" s="6" t="s">
        <v>17</v>
      </c>
      <c r="G79" s="6" t="s">
        <v>17</v>
      </c>
      <c r="H79" s="6" t="s">
        <v>528</v>
      </c>
      <c r="I79" s="6" t="s">
        <v>301</v>
      </c>
      <c r="J79" s="6" t="s">
        <v>527</v>
      </c>
      <c r="K79" s="6" t="s">
        <v>429</v>
      </c>
      <c r="L79" s="6" t="s">
        <v>429</v>
      </c>
      <c r="M79" s="14">
        <v>45881.09097222222</v>
      </c>
      <c r="N79" s="6" t="s">
        <v>83</v>
      </c>
      <c r="O79" s="6" t="s">
        <v>83</v>
      </c>
      <c r="P79" s="6" t="s">
        <v>272</v>
      </c>
      <c r="Q79" s="6" t="s">
        <v>256</v>
      </c>
      <c r="R79" s="6" t="s">
        <v>256</v>
      </c>
      <c r="S79" s="6" t="s">
        <v>7</v>
      </c>
      <c r="T79" s="6" t="s">
        <v>245</v>
      </c>
      <c r="U79" s="6" t="s">
        <v>524</v>
      </c>
      <c r="V79" s="6" t="s">
        <v>525</v>
      </c>
      <c r="W79" s="6" t="s">
        <v>83</v>
      </c>
      <c r="X79" s="6" t="s">
        <v>306</v>
      </c>
      <c r="Y79" s="6">
        <v>2143305823</v>
      </c>
      <c r="Z79" s="6" t="s">
        <v>41</v>
      </c>
      <c r="AA79" s="6" t="s">
        <v>83</v>
      </c>
      <c r="AB79" s="6">
        <v>531.04</v>
      </c>
      <c r="AC79" s="6">
        <v>53.57</v>
      </c>
      <c r="AD79" s="6">
        <v>0</v>
      </c>
      <c r="AE79" s="6">
        <v>53.1</v>
      </c>
      <c r="AF79" s="6">
        <v>0</v>
      </c>
      <c r="AG79" s="6">
        <v>0</v>
      </c>
      <c r="AH79" s="6">
        <v>5.84</v>
      </c>
      <c r="AI79" s="6" t="s">
        <v>431</v>
      </c>
      <c r="AJ79" s="6" t="s">
        <v>432</v>
      </c>
      <c r="AK79" s="6" t="s">
        <v>41</v>
      </c>
      <c r="AL79" s="6" t="s">
        <v>53</v>
      </c>
      <c r="AM79" s="6" t="s">
        <v>314</v>
      </c>
      <c r="AN79" s="6" t="s">
        <v>35</v>
      </c>
      <c r="AO79" s="6" t="s">
        <v>250</v>
      </c>
      <c r="AP79" s="6" t="s">
        <v>433</v>
      </c>
      <c r="AQ79" s="6" t="s">
        <v>92</v>
      </c>
    </row>
    <row r="80" spans="1:43" x14ac:dyDescent="0.25">
      <c r="A80" s="6">
        <v>22730806</v>
      </c>
      <c r="B80" s="6">
        <v>23528294</v>
      </c>
      <c r="C80" s="6" t="s">
        <v>237</v>
      </c>
      <c r="D80" s="14">
        <v>45881.675451388888</v>
      </c>
      <c r="E80" s="14">
        <v>45881.67796296296</v>
      </c>
      <c r="F80" s="6" t="s">
        <v>17</v>
      </c>
      <c r="G80" s="6" t="s">
        <v>17</v>
      </c>
      <c r="H80" s="6" t="s">
        <v>529</v>
      </c>
      <c r="I80" s="6" t="s">
        <v>301</v>
      </c>
      <c r="J80" s="6" t="s">
        <v>527</v>
      </c>
      <c r="K80" s="6" t="s">
        <v>429</v>
      </c>
      <c r="L80" s="6" t="s">
        <v>429</v>
      </c>
      <c r="M80" s="14">
        <v>45881.09097222222</v>
      </c>
      <c r="N80" s="6" t="s">
        <v>83</v>
      </c>
      <c r="O80" s="6" t="s">
        <v>83</v>
      </c>
      <c r="P80" s="6" t="s">
        <v>272</v>
      </c>
      <c r="Q80" s="6" t="s">
        <v>256</v>
      </c>
      <c r="R80" s="6" t="s">
        <v>256</v>
      </c>
      <c r="S80" s="6" t="s">
        <v>7</v>
      </c>
      <c r="T80" s="6" t="s">
        <v>245</v>
      </c>
      <c r="U80" s="6" t="s">
        <v>524</v>
      </c>
      <c r="V80" s="6" t="s">
        <v>525</v>
      </c>
      <c r="W80" s="6" t="s">
        <v>83</v>
      </c>
      <c r="X80" s="6" t="s">
        <v>247</v>
      </c>
      <c r="Y80" s="6">
        <v>2245530252</v>
      </c>
      <c r="Z80" s="6" t="s">
        <v>41</v>
      </c>
      <c r="AA80" s="6" t="s">
        <v>83</v>
      </c>
      <c r="AB80" s="6">
        <v>467.12</v>
      </c>
      <c r="AC80" s="6">
        <v>44.27</v>
      </c>
      <c r="AD80" s="6">
        <v>0</v>
      </c>
      <c r="AE80" s="6">
        <v>46.71</v>
      </c>
      <c r="AF80" s="6">
        <v>0</v>
      </c>
      <c r="AG80" s="6">
        <v>0</v>
      </c>
      <c r="AH80" s="6">
        <v>30.83</v>
      </c>
      <c r="AI80" s="6" t="s">
        <v>431</v>
      </c>
      <c r="AJ80" s="6" t="s">
        <v>432</v>
      </c>
      <c r="AK80" s="6" t="s">
        <v>41</v>
      </c>
      <c r="AL80" s="6" t="s">
        <v>53</v>
      </c>
      <c r="AM80" s="6" t="s">
        <v>314</v>
      </c>
      <c r="AN80" s="6" t="s">
        <v>35</v>
      </c>
      <c r="AO80" s="6" t="s">
        <v>250</v>
      </c>
      <c r="AP80" s="6" t="s">
        <v>433</v>
      </c>
      <c r="AQ80" s="6" t="s">
        <v>92</v>
      </c>
    </row>
    <row r="81" spans="1:43" x14ac:dyDescent="0.25">
      <c r="A81" s="6">
        <v>22728562</v>
      </c>
      <c r="B81" s="6">
        <v>23526137</v>
      </c>
      <c r="C81" s="6" t="s">
        <v>237</v>
      </c>
      <c r="D81" s="14">
        <v>45881.422314814823</v>
      </c>
      <c r="E81" s="14">
        <v>45881.423750000002</v>
      </c>
      <c r="F81" s="6" t="s">
        <v>17</v>
      </c>
      <c r="G81" s="6" t="s">
        <v>17</v>
      </c>
      <c r="H81" s="6" t="s">
        <v>530</v>
      </c>
      <c r="I81" s="6" t="s">
        <v>301</v>
      </c>
      <c r="J81" s="6" t="s">
        <v>531</v>
      </c>
      <c r="K81" s="6" t="s">
        <v>429</v>
      </c>
      <c r="L81" s="6" t="s">
        <v>429</v>
      </c>
      <c r="M81" s="14">
        <v>45881.413194444453</v>
      </c>
      <c r="N81" s="6" t="s">
        <v>83</v>
      </c>
      <c r="O81" s="6" t="s">
        <v>83</v>
      </c>
      <c r="P81" s="6" t="s">
        <v>272</v>
      </c>
      <c r="Q81" s="6" t="s">
        <v>256</v>
      </c>
      <c r="R81" s="6" t="s">
        <v>256</v>
      </c>
      <c r="S81" s="6" t="s">
        <v>7</v>
      </c>
      <c r="T81" s="6" t="s">
        <v>245</v>
      </c>
      <c r="U81" s="6" t="s">
        <v>524</v>
      </c>
      <c r="V81" s="6" t="s">
        <v>532</v>
      </c>
      <c r="W81" s="6" t="s">
        <v>83</v>
      </c>
      <c r="X81" s="6" t="s">
        <v>247</v>
      </c>
      <c r="Y81" s="6">
        <v>2245466812</v>
      </c>
      <c r="Z81" s="6" t="s">
        <v>41</v>
      </c>
      <c r="AA81" s="6" t="s">
        <v>83</v>
      </c>
      <c r="AB81" s="6">
        <v>215.12</v>
      </c>
      <c r="AC81" s="6">
        <v>60.62</v>
      </c>
      <c r="AD81" s="6">
        <v>0</v>
      </c>
      <c r="AE81" s="6">
        <v>40</v>
      </c>
      <c r="AF81" s="6">
        <v>0</v>
      </c>
      <c r="AG81" s="6">
        <v>0</v>
      </c>
      <c r="AH81" s="6">
        <v>15.31</v>
      </c>
      <c r="AI81" s="6" t="s">
        <v>431</v>
      </c>
      <c r="AJ81" s="6" t="s">
        <v>432</v>
      </c>
      <c r="AK81" s="6" t="s">
        <v>41</v>
      </c>
      <c r="AL81" s="6" t="s">
        <v>53</v>
      </c>
      <c r="AM81" s="6" t="s">
        <v>314</v>
      </c>
      <c r="AN81" s="6" t="s">
        <v>35</v>
      </c>
      <c r="AO81" s="6" t="s">
        <v>250</v>
      </c>
      <c r="AP81" s="6" t="s">
        <v>433</v>
      </c>
      <c r="AQ81" s="6" t="s">
        <v>92</v>
      </c>
    </row>
    <row r="82" spans="1:43" x14ac:dyDescent="0.25">
      <c r="A82" s="6">
        <v>22732327</v>
      </c>
      <c r="B82" s="6">
        <v>23529769</v>
      </c>
      <c r="C82" s="6" t="s">
        <v>237</v>
      </c>
      <c r="D82" s="14">
        <v>45881.777754629627</v>
      </c>
      <c r="E82" s="14">
        <v>45881.779768518521</v>
      </c>
      <c r="F82" s="6" t="s">
        <v>17</v>
      </c>
      <c r="G82" s="6" t="s">
        <v>17</v>
      </c>
      <c r="H82" s="6" t="s">
        <v>533</v>
      </c>
      <c r="I82" s="6" t="s">
        <v>301</v>
      </c>
      <c r="J82" s="6" t="s">
        <v>534</v>
      </c>
      <c r="K82" s="6" t="s">
        <v>429</v>
      </c>
      <c r="L82" s="6" t="s">
        <v>429</v>
      </c>
      <c r="M82" s="14">
        <v>45880.488194444442</v>
      </c>
      <c r="N82" s="6" t="s">
        <v>83</v>
      </c>
      <c r="O82" s="6" t="s">
        <v>83</v>
      </c>
      <c r="P82" s="6" t="s">
        <v>272</v>
      </c>
      <c r="Q82" s="6" t="s">
        <v>256</v>
      </c>
      <c r="R82" s="6" t="s">
        <v>256</v>
      </c>
      <c r="S82" s="6" t="s">
        <v>7</v>
      </c>
      <c r="T82" s="6" t="s">
        <v>245</v>
      </c>
      <c r="U82" s="6" t="s">
        <v>535</v>
      </c>
      <c r="V82" s="6" t="s">
        <v>536</v>
      </c>
      <c r="W82" s="6" t="s">
        <v>83</v>
      </c>
      <c r="X82" s="6" t="s">
        <v>318</v>
      </c>
      <c r="Y82" s="6">
        <v>131492023</v>
      </c>
      <c r="Z82" s="6" t="s">
        <v>41</v>
      </c>
      <c r="AA82" s="6" t="s">
        <v>83</v>
      </c>
      <c r="AB82" s="6">
        <v>359.92</v>
      </c>
      <c r="AC82" s="6">
        <v>58.89</v>
      </c>
      <c r="AD82" s="6">
        <v>0</v>
      </c>
      <c r="AE82" s="6">
        <v>0</v>
      </c>
      <c r="AF82" s="6">
        <v>0</v>
      </c>
      <c r="AG82" s="6">
        <v>0</v>
      </c>
      <c r="AH82" s="6">
        <v>43.19</v>
      </c>
      <c r="AI82" s="6" t="s">
        <v>431</v>
      </c>
      <c r="AJ82" s="6" t="s">
        <v>537</v>
      </c>
      <c r="AK82" s="6" t="s">
        <v>41</v>
      </c>
      <c r="AL82" s="6" t="s">
        <v>53</v>
      </c>
      <c r="AM82" s="6" t="s">
        <v>314</v>
      </c>
      <c r="AN82" s="6" t="s">
        <v>35</v>
      </c>
      <c r="AO82" s="6" t="s">
        <v>250</v>
      </c>
      <c r="AP82" s="6" t="s">
        <v>433</v>
      </c>
      <c r="AQ82" s="6" t="s">
        <v>92</v>
      </c>
    </row>
    <row r="83" spans="1:43" x14ac:dyDescent="0.25">
      <c r="A83" s="6">
        <v>22732986</v>
      </c>
      <c r="B83" s="6">
        <v>23530385</v>
      </c>
      <c r="C83" s="6" t="s">
        <v>237</v>
      </c>
      <c r="D83" s="14">
        <v>45881.830567129633</v>
      </c>
      <c r="E83" s="14">
        <v>45881.831736111111</v>
      </c>
      <c r="F83" s="6" t="s">
        <v>17</v>
      </c>
      <c r="G83" s="6" t="s">
        <v>17</v>
      </c>
      <c r="H83" s="6" t="s">
        <v>538</v>
      </c>
      <c r="I83" s="6" t="s">
        <v>301</v>
      </c>
      <c r="J83" s="6" t="s">
        <v>534</v>
      </c>
      <c r="K83" s="6" t="s">
        <v>429</v>
      </c>
      <c r="L83" s="6" t="s">
        <v>429</v>
      </c>
      <c r="M83" s="14">
        <v>45881.502083333333</v>
      </c>
      <c r="N83" s="6" t="s">
        <v>83</v>
      </c>
      <c r="O83" s="6" t="s">
        <v>83</v>
      </c>
      <c r="P83" s="6" t="s">
        <v>272</v>
      </c>
      <c r="Q83" s="6" t="s">
        <v>256</v>
      </c>
      <c r="R83" s="6" t="s">
        <v>256</v>
      </c>
      <c r="S83" s="6" t="s">
        <v>7</v>
      </c>
      <c r="T83" s="6" t="s">
        <v>245</v>
      </c>
      <c r="U83" s="6" t="s">
        <v>535</v>
      </c>
      <c r="V83" s="6" t="s">
        <v>536</v>
      </c>
      <c r="W83" s="6" t="s">
        <v>83</v>
      </c>
      <c r="X83" s="6" t="s">
        <v>318</v>
      </c>
      <c r="Y83" s="6">
        <v>240455122</v>
      </c>
      <c r="Z83" s="6" t="s">
        <v>41</v>
      </c>
      <c r="AA83" s="6" t="s">
        <v>83</v>
      </c>
      <c r="AB83" s="6">
        <v>475.3</v>
      </c>
      <c r="AC83" s="6">
        <v>33.64</v>
      </c>
      <c r="AD83" s="6">
        <v>0</v>
      </c>
      <c r="AE83" s="6">
        <v>0</v>
      </c>
      <c r="AF83" s="6">
        <v>0</v>
      </c>
      <c r="AG83" s="6">
        <v>0</v>
      </c>
      <c r="AH83" s="6">
        <v>57.04</v>
      </c>
      <c r="AI83" s="6" t="s">
        <v>431</v>
      </c>
      <c r="AJ83" s="6" t="s">
        <v>432</v>
      </c>
      <c r="AK83" s="6" t="s">
        <v>41</v>
      </c>
      <c r="AL83" s="6" t="s">
        <v>53</v>
      </c>
      <c r="AM83" s="6" t="s">
        <v>314</v>
      </c>
      <c r="AN83" s="6" t="s">
        <v>35</v>
      </c>
      <c r="AO83" s="6" t="s">
        <v>250</v>
      </c>
      <c r="AP83" s="6" t="s">
        <v>433</v>
      </c>
      <c r="AQ83" s="6" t="s">
        <v>92</v>
      </c>
    </row>
    <row r="84" spans="1:43" x14ac:dyDescent="0.25">
      <c r="A84" s="6">
        <v>22728131</v>
      </c>
      <c r="B84" s="6">
        <v>23525761</v>
      </c>
      <c r="C84" s="6" t="s">
        <v>237</v>
      </c>
      <c r="D84" s="14">
        <v>45881.355162037027</v>
      </c>
      <c r="E84" s="14">
        <v>45882.223020833328</v>
      </c>
      <c r="F84" s="6" t="s">
        <v>17</v>
      </c>
      <c r="G84" s="6" t="s">
        <v>17</v>
      </c>
      <c r="H84" s="6" t="s">
        <v>539</v>
      </c>
      <c r="I84" s="6" t="s">
        <v>16</v>
      </c>
      <c r="J84" s="6" t="s">
        <v>540</v>
      </c>
      <c r="K84" s="6" t="s">
        <v>345</v>
      </c>
      <c r="L84" s="6" t="s">
        <v>345</v>
      </c>
      <c r="M84" s="14">
        <v>45881.267361111109</v>
      </c>
      <c r="N84" s="6" t="s">
        <v>541</v>
      </c>
      <c r="O84" s="6" t="s">
        <v>83</v>
      </c>
      <c r="P84" s="6" t="s">
        <v>242</v>
      </c>
      <c r="Q84" s="6" t="s">
        <v>256</v>
      </c>
      <c r="R84" s="6" t="s">
        <v>256</v>
      </c>
      <c r="S84" s="6" t="s">
        <v>9</v>
      </c>
      <c r="T84" s="6" t="s">
        <v>245</v>
      </c>
      <c r="U84" s="6" t="s">
        <v>181</v>
      </c>
      <c r="V84" s="6" t="s">
        <v>542</v>
      </c>
      <c r="W84" s="6" t="s">
        <v>353</v>
      </c>
      <c r="X84" s="6" t="s">
        <v>543</v>
      </c>
      <c r="Y84" s="6" t="s">
        <v>83</v>
      </c>
      <c r="Z84" s="6" t="s">
        <v>118</v>
      </c>
      <c r="AA84" s="6" t="s">
        <v>83</v>
      </c>
      <c r="AB84" s="6">
        <v>2541.2759999999998</v>
      </c>
      <c r="AC84" s="6">
        <v>1460</v>
      </c>
      <c r="AD84" s="6">
        <v>0</v>
      </c>
      <c r="AE84" s="6">
        <v>0</v>
      </c>
      <c r="AF84" s="6">
        <v>0</v>
      </c>
      <c r="AG84" s="6">
        <v>0</v>
      </c>
      <c r="AH84" s="6">
        <v>12.23</v>
      </c>
      <c r="AI84" s="6" t="s">
        <v>248</v>
      </c>
      <c r="AJ84" s="6" t="s">
        <v>513</v>
      </c>
      <c r="AK84" s="6" t="s">
        <v>16</v>
      </c>
      <c r="AL84" s="6" t="s">
        <v>66</v>
      </c>
      <c r="AM84" s="6" t="s">
        <v>74</v>
      </c>
      <c r="AN84" s="6" t="s">
        <v>20</v>
      </c>
      <c r="AO84" s="6" t="s">
        <v>250</v>
      </c>
      <c r="AP84" s="6" t="s">
        <v>251</v>
      </c>
      <c r="AQ84" s="6" t="s">
        <v>33</v>
      </c>
    </row>
    <row r="85" spans="1:43" x14ac:dyDescent="0.25">
      <c r="A85" s="6">
        <v>22728037</v>
      </c>
      <c r="B85" s="6">
        <v>23525690</v>
      </c>
      <c r="C85" s="6" t="s">
        <v>237</v>
      </c>
      <c r="D85" s="14">
        <v>45881.334594907406</v>
      </c>
      <c r="E85" s="14">
        <v>45881.350590277783</v>
      </c>
      <c r="F85" s="6" t="s">
        <v>17</v>
      </c>
      <c r="G85" s="6" t="s">
        <v>17</v>
      </c>
      <c r="H85" s="6" t="s">
        <v>544</v>
      </c>
      <c r="I85" s="6" t="s">
        <v>16</v>
      </c>
      <c r="J85" s="6" t="s">
        <v>545</v>
      </c>
      <c r="K85" s="6" t="s">
        <v>360</v>
      </c>
      <c r="L85" s="6" t="s">
        <v>360</v>
      </c>
      <c r="M85" s="14">
        <v>45880.494444444441</v>
      </c>
      <c r="N85" s="6" t="s">
        <v>546</v>
      </c>
      <c r="O85" s="6" t="s">
        <v>547</v>
      </c>
      <c r="P85" s="6" t="s">
        <v>242</v>
      </c>
      <c r="Q85" s="6" t="s">
        <v>243</v>
      </c>
      <c r="R85" s="6" t="s">
        <v>244</v>
      </c>
      <c r="S85" s="6" t="s">
        <v>8</v>
      </c>
      <c r="T85" s="6" t="s">
        <v>245</v>
      </c>
      <c r="U85" s="6" t="s">
        <v>548</v>
      </c>
      <c r="V85" s="6" t="s">
        <v>549</v>
      </c>
      <c r="W85" s="6" t="s">
        <v>353</v>
      </c>
      <c r="X85" s="6" t="s">
        <v>550</v>
      </c>
      <c r="Y85" s="6" t="s">
        <v>83</v>
      </c>
      <c r="Z85" s="6" t="s">
        <v>551</v>
      </c>
      <c r="AA85" s="6" t="s">
        <v>83</v>
      </c>
      <c r="AB85" s="6">
        <v>1035.18</v>
      </c>
      <c r="AC85" s="6">
        <v>155.28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 t="s">
        <v>248</v>
      </c>
      <c r="AJ85" s="6" t="s">
        <v>552</v>
      </c>
      <c r="AK85" s="6" t="s">
        <v>16</v>
      </c>
      <c r="AL85" s="6" t="s">
        <v>58</v>
      </c>
      <c r="AM85" s="6" t="s">
        <v>74</v>
      </c>
      <c r="AN85" s="6" t="s">
        <v>20</v>
      </c>
      <c r="AO85" s="6" t="s">
        <v>250</v>
      </c>
      <c r="AP85" s="6" t="s">
        <v>251</v>
      </c>
      <c r="AQ85" s="6" t="s">
        <v>18</v>
      </c>
    </row>
    <row r="86" spans="1:43" x14ac:dyDescent="0.25">
      <c r="A86" s="6">
        <v>22729991</v>
      </c>
      <c r="B86" s="6">
        <v>23527516</v>
      </c>
      <c r="C86" s="6" t="s">
        <v>237</v>
      </c>
      <c r="D86" s="14">
        <v>45881.553287037037</v>
      </c>
      <c r="E86" s="14">
        <v>45882.223032407397</v>
      </c>
      <c r="F86" s="6" t="s">
        <v>17</v>
      </c>
      <c r="G86" s="6" t="s">
        <v>17</v>
      </c>
      <c r="H86" s="6" t="s">
        <v>553</v>
      </c>
      <c r="I86" s="6" t="s">
        <v>16</v>
      </c>
      <c r="J86" s="6" t="s">
        <v>545</v>
      </c>
      <c r="K86" s="6" t="s">
        <v>360</v>
      </c>
      <c r="L86" s="6" t="s">
        <v>360</v>
      </c>
      <c r="M86" s="14">
        <v>45881.31527777778</v>
      </c>
      <c r="N86" s="6" t="s">
        <v>554</v>
      </c>
      <c r="O86" s="6" t="s">
        <v>83</v>
      </c>
      <c r="P86" s="6" t="s">
        <v>242</v>
      </c>
      <c r="Q86" s="6" t="s">
        <v>256</v>
      </c>
      <c r="R86" s="6" t="s">
        <v>256</v>
      </c>
      <c r="S86" s="6" t="s">
        <v>9</v>
      </c>
      <c r="T86" s="6" t="s">
        <v>245</v>
      </c>
      <c r="U86" s="6" t="s">
        <v>548</v>
      </c>
      <c r="V86" s="6" t="s">
        <v>549</v>
      </c>
      <c r="W86" s="6" t="s">
        <v>353</v>
      </c>
      <c r="X86" s="6" t="s">
        <v>555</v>
      </c>
      <c r="Y86" s="6" t="s">
        <v>83</v>
      </c>
      <c r="Z86" s="6" t="s">
        <v>551</v>
      </c>
      <c r="AA86" s="6" t="s">
        <v>83</v>
      </c>
      <c r="AB86" s="6">
        <v>1040</v>
      </c>
      <c r="AC86" s="6">
        <v>52</v>
      </c>
      <c r="AD86" s="6">
        <v>0</v>
      </c>
      <c r="AE86" s="6">
        <v>0</v>
      </c>
      <c r="AF86" s="6">
        <v>0</v>
      </c>
      <c r="AG86" s="6">
        <v>0</v>
      </c>
      <c r="AH86" s="6">
        <v>21</v>
      </c>
      <c r="AI86" s="6" t="s">
        <v>248</v>
      </c>
      <c r="AJ86" s="6" t="s">
        <v>552</v>
      </c>
      <c r="AK86" s="6" t="s">
        <v>16</v>
      </c>
      <c r="AL86" s="6" t="s">
        <v>58</v>
      </c>
      <c r="AM86" s="6" t="s">
        <v>74</v>
      </c>
      <c r="AN86" s="6" t="s">
        <v>20</v>
      </c>
      <c r="AO86" s="6" t="s">
        <v>250</v>
      </c>
      <c r="AP86" s="6" t="s">
        <v>251</v>
      </c>
      <c r="AQ86" s="6" t="s">
        <v>18</v>
      </c>
    </row>
    <row r="87" spans="1:43" x14ac:dyDescent="0.25">
      <c r="A87" s="6">
        <v>22729992</v>
      </c>
      <c r="B87" s="6">
        <v>23527518</v>
      </c>
      <c r="C87" s="6" t="s">
        <v>237</v>
      </c>
      <c r="D87" s="14">
        <v>45881.553460648152</v>
      </c>
      <c r="E87" s="14">
        <v>45882.223032407397</v>
      </c>
      <c r="F87" s="6" t="s">
        <v>17</v>
      </c>
      <c r="G87" s="6" t="s">
        <v>17</v>
      </c>
      <c r="H87" s="6" t="s">
        <v>556</v>
      </c>
      <c r="I87" s="6" t="s">
        <v>16</v>
      </c>
      <c r="J87" s="6" t="s">
        <v>545</v>
      </c>
      <c r="K87" s="6" t="s">
        <v>360</v>
      </c>
      <c r="L87" s="6" t="s">
        <v>360</v>
      </c>
      <c r="M87" s="14">
        <v>45881.318055555559</v>
      </c>
      <c r="N87" s="6" t="s">
        <v>557</v>
      </c>
      <c r="O87" s="6" t="s">
        <v>83</v>
      </c>
      <c r="P87" s="6" t="s">
        <v>242</v>
      </c>
      <c r="Q87" s="6" t="s">
        <v>256</v>
      </c>
      <c r="R87" s="6" t="s">
        <v>256</v>
      </c>
      <c r="S87" s="6" t="s">
        <v>9</v>
      </c>
      <c r="T87" s="6" t="s">
        <v>245</v>
      </c>
      <c r="U87" s="6" t="s">
        <v>548</v>
      </c>
      <c r="V87" s="6" t="s">
        <v>549</v>
      </c>
      <c r="W87" s="6" t="s">
        <v>353</v>
      </c>
      <c r="X87" s="6" t="s">
        <v>83</v>
      </c>
      <c r="Y87" s="6" t="s">
        <v>83</v>
      </c>
      <c r="Z87" s="6" t="s">
        <v>551</v>
      </c>
      <c r="AA87" s="6" t="s">
        <v>83</v>
      </c>
      <c r="AB87" s="6">
        <v>1091.4000000000001</v>
      </c>
      <c r="AC87" s="6">
        <v>21.68</v>
      </c>
      <c r="AD87" s="6">
        <v>0</v>
      </c>
      <c r="AE87" s="6">
        <v>0</v>
      </c>
      <c r="AF87" s="6">
        <v>0</v>
      </c>
      <c r="AG87" s="6">
        <v>0</v>
      </c>
      <c r="AH87" s="6">
        <v>21</v>
      </c>
      <c r="AI87" s="6" t="s">
        <v>248</v>
      </c>
      <c r="AJ87" s="6" t="s">
        <v>552</v>
      </c>
      <c r="AK87" s="6" t="s">
        <v>16</v>
      </c>
      <c r="AL87" s="6" t="s">
        <v>58</v>
      </c>
      <c r="AM87" s="6" t="s">
        <v>74</v>
      </c>
      <c r="AN87" s="6" t="s">
        <v>20</v>
      </c>
      <c r="AO87" s="6" t="s">
        <v>250</v>
      </c>
      <c r="AP87" s="6" t="s">
        <v>251</v>
      </c>
      <c r="AQ87" s="6" t="s">
        <v>18</v>
      </c>
    </row>
    <row r="88" spans="1:43" x14ac:dyDescent="0.25">
      <c r="A88" s="6">
        <v>22729993</v>
      </c>
      <c r="B88" s="6">
        <v>23527519</v>
      </c>
      <c r="C88" s="6" t="s">
        <v>237</v>
      </c>
      <c r="D88" s="14">
        <v>45881.553599537037</v>
      </c>
      <c r="E88" s="14">
        <v>45882.223043981481</v>
      </c>
      <c r="F88" s="6" t="s">
        <v>17</v>
      </c>
      <c r="G88" s="6" t="s">
        <v>17</v>
      </c>
      <c r="H88" s="6" t="s">
        <v>558</v>
      </c>
      <c r="I88" s="6" t="s">
        <v>16</v>
      </c>
      <c r="J88" s="6" t="s">
        <v>545</v>
      </c>
      <c r="K88" s="6" t="s">
        <v>360</v>
      </c>
      <c r="L88" s="6" t="s">
        <v>360</v>
      </c>
      <c r="M88" s="14">
        <v>45881.322916666657</v>
      </c>
      <c r="N88" s="6" t="s">
        <v>559</v>
      </c>
      <c r="O88" s="6" t="s">
        <v>83</v>
      </c>
      <c r="P88" s="6" t="s">
        <v>242</v>
      </c>
      <c r="Q88" s="6" t="s">
        <v>256</v>
      </c>
      <c r="R88" s="6" t="s">
        <v>256</v>
      </c>
      <c r="S88" s="6" t="s">
        <v>9</v>
      </c>
      <c r="T88" s="6" t="s">
        <v>245</v>
      </c>
      <c r="U88" s="6" t="s">
        <v>548</v>
      </c>
      <c r="V88" s="6" t="s">
        <v>549</v>
      </c>
      <c r="W88" s="6" t="s">
        <v>353</v>
      </c>
      <c r="X88" s="6" t="s">
        <v>555</v>
      </c>
      <c r="Y88" s="6" t="s">
        <v>83</v>
      </c>
      <c r="Z88" s="6" t="s">
        <v>551</v>
      </c>
      <c r="AA88" s="6" t="s">
        <v>83</v>
      </c>
      <c r="AB88" s="6">
        <v>240</v>
      </c>
      <c r="AC88" s="6">
        <v>12</v>
      </c>
      <c r="AD88" s="6">
        <v>0</v>
      </c>
      <c r="AE88" s="6">
        <v>0</v>
      </c>
      <c r="AF88" s="6">
        <v>0</v>
      </c>
      <c r="AG88" s="6">
        <v>0</v>
      </c>
      <c r="AH88" s="6">
        <v>21</v>
      </c>
      <c r="AI88" s="6" t="s">
        <v>248</v>
      </c>
      <c r="AJ88" s="6" t="s">
        <v>552</v>
      </c>
      <c r="AK88" s="6" t="s">
        <v>16</v>
      </c>
      <c r="AL88" s="6" t="s">
        <v>58</v>
      </c>
      <c r="AM88" s="6" t="s">
        <v>74</v>
      </c>
      <c r="AN88" s="6" t="s">
        <v>20</v>
      </c>
      <c r="AO88" s="6" t="s">
        <v>250</v>
      </c>
      <c r="AP88" s="6" t="s">
        <v>251</v>
      </c>
      <c r="AQ88" s="6" t="s">
        <v>18</v>
      </c>
    </row>
    <row r="89" spans="1:43" x14ac:dyDescent="0.25">
      <c r="A89" s="6">
        <v>22702991</v>
      </c>
      <c r="B89" s="6">
        <v>23505110</v>
      </c>
      <c r="C89" s="6" t="s">
        <v>237</v>
      </c>
      <c r="D89" s="14">
        <v>45876.765034722222</v>
      </c>
      <c r="E89" s="14">
        <v>45876.769791666673</v>
      </c>
      <c r="F89" s="6" t="s">
        <v>21</v>
      </c>
      <c r="G89" s="6" t="s">
        <v>21</v>
      </c>
      <c r="H89" s="6" t="s">
        <v>560</v>
      </c>
      <c r="I89" s="6" t="s">
        <v>16</v>
      </c>
      <c r="J89" s="6" t="s">
        <v>561</v>
      </c>
      <c r="K89" s="6" t="s">
        <v>366</v>
      </c>
      <c r="L89" s="6" t="s">
        <v>562</v>
      </c>
      <c r="M89" s="14">
        <v>45876</v>
      </c>
      <c r="N89" s="6" t="s">
        <v>560</v>
      </c>
      <c r="O89" s="6" t="s">
        <v>83</v>
      </c>
      <c r="P89" s="6" t="s">
        <v>242</v>
      </c>
      <c r="Q89" s="6" t="s">
        <v>361</v>
      </c>
      <c r="R89" s="6" t="s">
        <v>339</v>
      </c>
      <c r="S89" s="6" t="s">
        <v>7</v>
      </c>
      <c r="T89" s="6" t="s">
        <v>245</v>
      </c>
      <c r="U89" s="6" t="s">
        <v>132</v>
      </c>
      <c r="V89" s="6" t="s">
        <v>563</v>
      </c>
      <c r="W89" s="6" t="s">
        <v>353</v>
      </c>
      <c r="X89" s="6" t="s">
        <v>247</v>
      </c>
      <c r="Y89" s="6">
        <v>2971622841</v>
      </c>
      <c r="Z89" s="6" t="s">
        <v>69</v>
      </c>
      <c r="AA89" s="6" t="s">
        <v>83</v>
      </c>
      <c r="AB89" s="6">
        <v>0</v>
      </c>
      <c r="AC89" s="6">
        <v>0</v>
      </c>
      <c r="AD89" s="6">
        <v>450</v>
      </c>
      <c r="AE89" s="6">
        <v>0</v>
      </c>
      <c r="AF89" s="6">
        <v>17.88</v>
      </c>
      <c r="AG89" s="6">
        <v>0</v>
      </c>
      <c r="AH89" s="6">
        <v>0</v>
      </c>
      <c r="AI89" s="6" t="s">
        <v>248</v>
      </c>
      <c r="AJ89" s="6" t="s">
        <v>362</v>
      </c>
      <c r="AK89" s="6" t="s">
        <v>16</v>
      </c>
      <c r="AL89" s="6" t="s">
        <v>62</v>
      </c>
      <c r="AM89" s="6" t="s">
        <v>363</v>
      </c>
      <c r="AN89" s="6" t="s">
        <v>20</v>
      </c>
      <c r="AO89" s="6" t="s">
        <v>250</v>
      </c>
      <c r="AP89" s="6" t="s">
        <v>251</v>
      </c>
      <c r="AQ89" s="6" t="s">
        <v>33</v>
      </c>
    </row>
    <row r="90" spans="1:43" x14ac:dyDescent="0.25">
      <c r="A90" s="6">
        <v>22660650</v>
      </c>
      <c r="B90" s="6">
        <v>23469373</v>
      </c>
      <c r="C90" s="6" t="s">
        <v>237</v>
      </c>
      <c r="D90" s="14">
        <v>45869.784918981481</v>
      </c>
      <c r="E90" s="14">
        <v>45870.226493055547</v>
      </c>
      <c r="F90" s="6" t="s">
        <v>23</v>
      </c>
      <c r="G90" s="6" t="s">
        <v>23</v>
      </c>
      <c r="H90" s="6" t="s">
        <v>564</v>
      </c>
      <c r="I90" s="6" t="s">
        <v>16</v>
      </c>
      <c r="J90" s="6" t="s">
        <v>565</v>
      </c>
      <c r="K90" s="6" t="s">
        <v>562</v>
      </c>
      <c r="L90" s="6" t="s">
        <v>562</v>
      </c>
      <c r="M90" s="14">
        <v>45869.311805555553</v>
      </c>
      <c r="N90" s="6" t="s">
        <v>566</v>
      </c>
      <c r="O90" s="6" t="s">
        <v>83</v>
      </c>
      <c r="P90" s="6" t="s">
        <v>272</v>
      </c>
      <c r="Q90" s="6" t="s">
        <v>256</v>
      </c>
      <c r="R90" s="6" t="s">
        <v>256</v>
      </c>
      <c r="S90" s="6" t="s">
        <v>9</v>
      </c>
      <c r="T90" s="6" t="s">
        <v>245</v>
      </c>
      <c r="U90" s="6" t="s">
        <v>132</v>
      </c>
      <c r="V90" s="6" t="s">
        <v>563</v>
      </c>
      <c r="W90" s="6" t="s">
        <v>353</v>
      </c>
      <c r="X90" s="6" t="s">
        <v>83</v>
      </c>
      <c r="Y90" s="6" t="s">
        <v>83</v>
      </c>
      <c r="Z90" s="6" t="s">
        <v>69</v>
      </c>
      <c r="AA90" s="6" t="s">
        <v>83</v>
      </c>
      <c r="AB90" s="6">
        <v>1821.6792</v>
      </c>
      <c r="AC90" s="6">
        <v>60.36</v>
      </c>
      <c r="AD90" s="6">
        <v>0</v>
      </c>
      <c r="AE90" s="6">
        <v>0</v>
      </c>
      <c r="AF90" s="6">
        <v>0</v>
      </c>
      <c r="AG90" s="6">
        <v>0</v>
      </c>
      <c r="AH90" s="6">
        <v>55</v>
      </c>
      <c r="AI90" s="6" t="s">
        <v>248</v>
      </c>
      <c r="AJ90" s="6" t="s">
        <v>259</v>
      </c>
      <c r="AK90" s="6" t="s">
        <v>16</v>
      </c>
      <c r="AL90" s="6" t="s">
        <v>50</v>
      </c>
      <c r="AM90" s="6" t="s">
        <v>260</v>
      </c>
      <c r="AN90" s="6" t="s">
        <v>20</v>
      </c>
      <c r="AO90" s="6" t="s">
        <v>250</v>
      </c>
      <c r="AP90" s="6" t="s">
        <v>251</v>
      </c>
      <c r="AQ90" s="6" t="s">
        <v>18</v>
      </c>
    </row>
    <row r="91" spans="1:43" x14ac:dyDescent="0.25">
      <c r="A91" s="6">
        <v>22732719</v>
      </c>
      <c r="B91" s="6">
        <v>23530143</v>
      </c>
      <c r="C91" s="6" t="s">
        <v>237</v>
      </c>
      <c r="D91" s="14">
        <v>45881.795405092591</v>
      </c>
      <c r="E91" s="14">
        <v>45881.800335648149</v>
      </c>
      <c r="F91" s="6" t="s">
        <v>17</v>
      </c>
      <c r="G91" s="6" t="s">
        <v>17</v>
      </c>
      <c r="H91" s="6" t="s">
        <v>567</v>
      </c>
      <c r="I91" s="6" t="s">
        <v>16</v>
      </c>
      <c r="J91" s="6" t="s">
        <v>568</v>
      </c>
      <c r="K91" s="6" t="s">
        <v>569</v>
      </c>
      <c r="L91" s="6" t="s">
        <v>569</v>
      </c>
      <c r="M91" s="14">
        <v>45881.700694444437</v>
      </c>
      <c r="N91" s="6" t="s">
        <v>570</v>
      </c>
      <c r="O91" s="6" t="s">
        <v>83</v>
      </c>
      <c r="P91" s="6" t="s">
        <v>242</v>
      </c>
      <c r="Q91" s="6" t="s">
        <v>243</v>
      </c>
      <c r="R91" s="6" t="s">
        <v>244</v>
      </c>
      <c r="S91" s="6" t="s">
        <v>9</v>
      </c>
      <c r="T91" s="6" t="s">
        <v>245</v>
      </c>
      <c r="U91" s="6" t="s">
        <v>132</v>
      </c>
      <c r="V91" s="6" t="s">
        <v>571</v>
      </c>
      <c r="W91" s="6" t="s">
        <v>83</v>
      </c>
      <c r="X91" s="6" t="s">
        <v>83</v>
      </c>
      <c r="Y91" s="6" t="s">
        <v>83</v>
      </c>
      <c r="Z91" s="6" t="s">
        <v>69</v>
      </c>
      <c r="AA91" s="6" t="s">
        <v>83</v>
      </c>
      <c r="AB91" s="6">
        <v>310</v>
      </c>
      <c r="AC91" s="6">
        <v>0</v>
      </c>
      <c r="AD91" s="6">
        <v>0</v>
      </c>
      <c r="AE91" s="6">
        <v>0</v>
      </c>
      <c r="AF91" s="6">
        <v>0</v>
      </c>
      <c r="AG91" s="6">
        <v>0</v>
      </c>
      <c r="AH91" s="6">
        <v>0</v>
      </c>
      <c r="AI91" s="6" t="s">
        <v>248</v>
      </c>
      <c r="AJ91" s="6" t="s">
        <v>513</v>
      </c>
      <c r="AK91" s="6" t="s">
        <v>16</v>
      </c>
      <c r="AL91" s="6" t="s">
        <v>66</v>
      </c>
      <c r="AM91" s="6" t="s">
        <v>74</v>
      </c>
      <c r="AN91" s="6" t="s">
        <v>20</v>
      </c>
      <c r="AO91" s="6" t="s">
        <v>250</v>
      </c>
      <c r="AP91" s="6" t="s">
        <v>251</v>
      </c>
      <c r="AQ91" s="6" t="s">
        <v>33</v>
      </c>
    </row>
    <row r="92" spans="1:43" x14ac:dyDescent="0.25">
      <c r="A92" s="6">
        <v>22667753</v>
      </c>
      <c r="B92" s="6">
        <v>23475551</v>
      </c>
      <c r="C92" s="6" t="s">
        <v>237</v>
      </c>
      <c r="D92" s="14">
        <v>45870.806250000001</v>
      </c>
      <c r="E92" s="14">
        <v>45870.812696759262</v>
      </c>
      <c r="F92" s="6" t="s">
        <v>23</v>
      </c>
      <c r="G92" s="6" t="s">
        <v>23</v>
      </c>
      <c r="H92" s="6" t="s">
        <v>572</v>
      </c>
      <c r="I92" s="6" t="s">
        <v>16</v>
      </c>
      <c r="J92" s="6" t="s">
        <v>573</v>
      </c>
      <c r="K92" s="6" t="s">
        <v>360</v>
      </c>
      <c r="L92" s="6" t="s">
        <v>360</v>
      </c>
      <c r="M92" s="14">
        <v>45870.699305555558</v>
      </c>
      <c r="N92" s="6" t="s">
        <v>574</v>
      </c>
      <c r="O92" s="6" t="s">
        <v>575</v>
      </c>
      <c r="P92" s="6" t="s">
        <v>242</v>
      </c>
      <c r="Q92" s="6" t="s">
        <v>243</v>
      </c>
      <c r="R92" s="6" t="s">
        <v>244</v>
      </c>
      <c r="S92" s="6" t="s">
        <v>8</v>
      </c>
      <c r="T92" s="6" t="s">
        <v>245</v>
      </c>
      <c r="U92" s="6" t="s">
        <v>132</v>
      </c>
      <c r="V92" s="6" t="s">
        <v>576</v>
      </c>
      <c r="W92" s="6" t="s">
        <v>353</v>
      </c>
      <c r="X92" s="6" t="s">
        <v>83</v>
      </c>
      <c r="Y92" s="6" t="s">
        <v>83</v>
      </c>
      <c r="Z92" s="6" t="s">
        <v>69</v>
      </c>
      <c r="AA92" s="6" t="s">
        <v>83</v>
      </c>
      <c r="AB92" s="6">
        <v>577.47</v>
      </c>
      <c r="AC92" s="6">
        <v>92.4</v>
      </c>
      <c r="AD92" s="6">
        <v>0</v>
      </c>
      <c r="AE92" s="6">
        <v>0</v>
      </c>
      <c r="AF92" s="6">
        <v>0</v>
      </c>
      <c r="AG92" s="6">
        <v>0</v>
      </c>
      <c r="AH92" s="6">
        <v>0</v>
      </c>
      <c r="AI92" s="6" t="s">
        <v>248</v>
      </c>
      <c r="AJ92" s="6" t="s">
        <v>259</v>
      </c>
      <c r="AK92" s="6" t="s">
        <v>16</v>
      </c>
      <c r="AL92" s="6" t="s">
        <v>50</v>
      </c>
      <c r="AM92" s="6" t="s">
        <v>260</v>
      </c>
      <c r="AN92" s="6" t="s">
        <v>20</v>
      </c>
      <c r="AO92" s="6" t="s">
        <v>250</v>
      </c>
      <c r="AP92" s="6" t="s">
        <v>251</v>
      </c>
      <c r="AQ92" s="6" t="s">
        <v>18</v>
      </c>
    </row>
    <row r="93" spans="1:43" x14ac:dyDescent="0.25">
      <c r="A93" s="6">
        <v>22730858</v>
      </c>
      <c r="B93" s="6">
        <v>23528340</v>
      </c>
      <c r="C93" s="6" t="s">
        <v>237</v>
      </c>
      <c r="D93" s="14">
        <v>45881.678923611107</v>
      </c>
      <c r="E93" s="14">
        <v>45882.211215277777</v>
      </c>
      <c r="F93" s="6" t="s">
        <v>17</v>
      </c>
      <c r="G93" s="6" t="s">
        <v>17</v>
      </c>
      <c r="H93" s="6" t="s">
        <v>577</v>
      </c>
      <c r="I93" s="6" t="s">
        <v>16</v>
      </c>
      <c r="J93" s="6" t="s">
        <v>578</v>
      </c>
      <c r="K93" s="6" t="s">
        <v>366</v>
      </c>
      <c r="L93" s="6" t="s">
        <v>360</v>
      </c>
      <c r="M93" s="14">
        <v>45867.311111111107</v>
      </c>
      <c r="N93" s="6" t="s">
        <v>577</v>
      </c>
      <c r="O93" s="6" t="s">
        <v>83</v>
      </c>
      <c r="P93" s="6" t="s">
        <v>242</v>
      </c>
      <c r="Q93" s="6" t="s">
        <v>256</v>
      </c>
      <c r="R93" s="6" t="s">
        <v>256</v>
      </c>
      <c r="S93" s="6" t="s">
        <v>7</v>
      </c>
      <c r="T93" s="6" t="s">
        <v>245</v>
      </c>
      <c r="U93" s="6" t="s">
        <v>132</v>
      </c>
      <c r="V93" s="6" t="s">
        <v>563</v>
      </c>
      <c r="W93" s="6" t="s">
        <v>353</v>
      </c>
      <c r="X93" s="6" t="s">
        <v>247</v>
      </c>
      <c r="Y93" s="6">
        <v>2971612570</v>
      </c>
      <c r="Z93" s="6" t="s">
        <v>69</v>
      </c>
      <c r="AA93" s="6" t="s">
        <v>83</v>
      </c>
      <c r="AB93" s="6">
        <v>1606.2891</v>
      </c>
      <c r="AC93" s="6">
        <v>120.57</v>
      </c>
      <c r="AD93" s="6">
        <v>0</v>
      </c>
      <c r="AE93" s="6">
        <v>0</v>
      </c>
      <c r="AF93" s="6">
        <v>120.57</v>
      </c>
      <c r="AG93" s="6">
        <v>0</v>
      </c>
      <c r="AH93" s="6">
        <v>38</v>
      </c>
      <c r="AI93" s="6" t="s">
        <v>248</v>
      </c>
      <c r="AJ93" s="6" t="s">
        <v>579</v>
      </c>
      <c r="AK93" s="6" t="s">
        <v>16</v>
      </c>
      <c r="AL93" s="6" t="s">
        <v>68</v>
      </c>
      <c r="AM93" s="6" t="s">
        <v>421</v>
      </c>
      <c r="AN93" s="6" t="s">
        <v>20</v>
      </c>
      <c r="AO93" s="6" t="s">
        <v>250</v>
      </c>
      <c r="AP93" s="6" t="s">
        <v>251</v>
      </c>
      <c r="AQ93" s="6" t="s">
        <v>33</v>
      </c>
    </row>
    <row r="94" spans="1:43" x14ac:dyDescent="0.25">
      <c r="A94" s="6">
        <v>22730858</v>
      </c>
      <c r="B94" s="6">
        <v>23528341</v>
      </c>
      <c r="C94" s="6" t="s">
        <v>378</v>
      </c>
      <c r="D94" s="14">
        <v>45881.678923611107</v>
      </c>
      <c r="E94" s="14">
        <v>45882.211215277777</v>
      </c>
      <c r="F94" s="6" t="s">
        <v>17</v>
      </c>
      <c r="G94" s="6" t="s">
        <v>17</v>
      </c>
      <c r="H94" s="6" t="s">
        <v>577</v>
      </c>
      <c r="I94" s="6" t="s">
        <v>16</v>
      </c>
      <c r="J94" s="6" t="s">
        <v>578</v>
      </c>
      <c r="K94" s="6" t="s">
        <v>366</v>
      </c>
      <c r="L94" s="6" t="s">
        <v>360</v>
      </c>
      <c r="M94" s="14">
        <v>45867.311111111107</v>
      </c>
      <c r="N94" s="6" t="s">
        <v>577</v>
      </c>
      <c r="O94" s="6" t="s">
        <v>83</v>
      </c>
      <c r="P94" s="6" t="s">
        <v>242</v>
      </c>
      <c r="Q94" s="6" t="s">
        <v>256</v>
      </c>
      <c r="R94" s="6" t="s">
        <v>256</v>
      </c>
      <c r="S94" s="6" t="s">
        <v>7</v>
      </c>
      <c r="T94" s="6" t="s">
        <v>245</v>
      </c>
      <c r="U94" s="6" t="s">
        <v>132</v>
      </c>
      <c r="V94" s="6" t="s">
        <v>563</v>
      </c>
      <c r="W94" s="6" t="s">
        <v>353</v>
      </c>
      <c r="X94" s="6" t="s">
        <v>247</v>
      </c>
      <c r="Y94" s="6">
        <v>2971612570</v>
      </c>
      <c r="Z94" s="6" t="s">
        <v>69</v>
      </c>
      <c r="AA94" s="6" t="s">
        <v>83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 t="s">
        <v>248</v>
      </c>
      <c r="AJ94" s="6" t="s">
        <v>579</v>
      </c>
      <c r="AK94" s="6" t="s">
        <v>16</v>
      </c>
      <c r="AL94" s="6" t="s">
        <v>68</v>
      </c>
      <c r="AM94" s="6" t="s">
        <v>421</v>
      </c>
      <c r="AN94" s="6" t="s">
        <v>20</v>
      </c>
      <c r="AO94" s="6" t="s">
        <v>250</v>
      </c>
      <c r="AP94" s="6" t="s">
        <v>251</v>
      </c>
      <c r="AQ94" s="6" t="s">
        <v>33</v>
      </c>
    </row>
    <row r="95" spans="1:43" x14ac:dyDescent="0.25">
      <c r="A95" s="6">
        <v>22730875</v>
      </c>
      <c r="B95" s="6">
        <v>23528365</v>
      </c>
      <c r="C95" s="6" t="s">
        <v>237</v>
      </c>
      <c r="D95" s="14">
        <v>45881.680763888893</v>
      </c>
      <c r="E95" s="14">
        <v>45881.681481481479</v>
      </c>
      <c r="F95" s="6" t="s">
        <v>17</v>
      </c>
      <c r="G95" s="6" t="s">
        <v>17</v>
      </c>
      <c r="H95" s="6" t="s">
        <v>580</v>
      </c>
      <c r="I95" s="6" t="s">
        <v>16</v>
      </c>
      <c r="J95" s="6" t="s">
        <v>581</v>
      </c>
      <c r="K95" s="6" t="s">
        <v>359</v>
      </c>
      <c r="L95" s="6" t="s">
        <v>360</v>
      </c>
      <c r="M95" s="14">
        <v>45841.400694444441</v>
      </c>
      <c r="N95" s="6" t="s">
        <v>580</v>
      </c>
      <c r="O95" s="6" t="s">
        <v>83</v>
      </c>
      <c r="P95" s="6" t="s">
        <v>242</v>
      </c>
      <c r="Q95" s="6" t="s">
        <v>243</v>
      </c>
      <c r="R95" s="6" t="s">
        <v>244</v>
      </c>
      <c r="S95" s="6" t="s">
        <v>7</v>
      </c>
      <c r="T95" s="6" t="s">
        <v>245</v>
      </c>
      <c r="U95" s="6" t="s">
        <v>132</v>
      </c>
      <c r="V95" s="6" t="s">
        <v>563</v>
      </c>
      <c r="W95" s="6" t="s">
        <v>353</v>
      </c>
      <c r="X95" s="6" t="s">
        <v>247</v>
      </c>
      <c r="Y95" s="6">
        <v>9783240000</v>
      </c>
      <c r="Z95" s="6" t="s">
        <v>69</v>
      </c>
      <c r="AA95" s="6" t="s">
        <v>83</v>
      </c>
      <c r="AB95" s="6">
        <v>547.54999999999995</v>
      </c>
      <c r="AC95" s="6">
        <v>55.65</v>
      </c>
      <c r="AD95" s="6">
        <v>136.28</v>
      </c>
      <c r="AE95" s="6">
        <v>0</v>
      </c>
      <c r="AF95" s="6">
        <v>55.65</v>
      </c>
      <c r="AG95" s="6">
        <v>0</v>
      </c>
      <c r="AH95" s="6">
        <v>0</v>
      </c>
      <c r="AI95" s="6" t="s">
        <v>248</v>
      </c>
      <c r="AJ95" s="6" t="s">
        <v>362</v>
      </c>
      <c r="AK95" s="6" t="s">
        <v>16</v>
      </c>
      <c r="AL95" s="6" t="s">
        <v>62</v>
      </c>
      <c r="AM95" s="6" t="s">
        <v>363</v>
      </c>
      <c r="AN95" s="6" t="s">
        <v>20</v>
      </c>
      <c r="AO95" s="6" t="s">
        <v>250</v>
      </c>
      <c r="AP95" s="6" t="s">
        <v>251</v>
      </c>
      <c r="AQ95" s="6" t="s">
        <v>33</v>
      </c>
    </row>
    <row r="96" spans="1:43" x14ac:dyDescent="0.25">
      <c r="A96" s="6">
        <v>22730875</v>
      </c>
      <c r="B96" s="6">
        <v>23528366</v>
      </c>
      <c r="C96" s="6" t="s">
        <v>378</v>
      </c>
      <c r="D96" s="14">
        <v>45881.680763888893</v>
      </c>
      <c r="E96" s="14">
        <v>45881.681481481479</v>
      </c>
      <c r="F96" s="6" t="s">
        <v>17</v>
      </c>
      <c r="G96" s="6" t="s">
        <v>17</v>
      </c>
      <c r="H96" s="6" t="s">
        <v>580</v>
      </c>
      <c r="I96" s="6" t="s">
        <v>16</v>
      </c>
      <c r="J96" s="6" t="s">
        <v>581</v>
      </c>
      <c r="K96" s="6" t="s">
        <v>359</v>
      </c>
      <c r="L96" s="6" t="s">
        <v>360</v>
      </c>
      <c r="M96" s="14">
        <v>45841.400694444441</v>
      </c>
      <c r="N96" s="6" t="s">
        <v>580</v>
      </c>
      <c r="O96" s="6" t="s">
        <v>83</v>
      </c>
      <c r="P96" s="6" t="s">
        <v>242</v>
      </c>
      <c r="Q96" s="6" t="s">
        <v>361</v>
      </c>
      <c r="R96" s="6" t="s">
        <v>339</v>
      </c>
      <c r="S96" s="6" t="s">
        <v>7</v>
      </c>
      <c r="T96" s="6" t="s">
        <v>245</v>
      </c>
      <c r="U96" s="6" t="s">
        <v>132</v>
      </c>
      <c r="V96" s="6" t="s">
        <v>563</v>
      </c>
      <c r="W96" s="6" t="s">
        <v>353</v>
      </c>
      <c r="X96" s="6" t="s">
        <v>247</v>
      </c>
      <c r="Y96" s="6">
        <v>9783240000</v>
      </c>
      <c r="Z96" s="6" t="s">
        <v>69</v>
      </c>
      <c r="AA96" s="6" t="s">
        <v>83</v>
      </c>
      <c r="AB96" s="6">
        <v>0</v>
      </c>
      <c r="AC96" s="6">
        <v>3.89</v>
      </c>
      <c r="AD96" s="6">
        <v>0</v>
      </c>
      <c r="AE96" s="6">
        <v>0</v>
      </c>
      <c r="AF96" s="6">
        <v>3.89</v>
      </c>
      <c r="AG96" s="6">
        <v>0</v>
      </c>
      <c r="AH96" s="6">
        <v>0</v>
      </c>
      <c r="AI96" s="6" t="s">
        <v>248</v>
      </c>
      <c r="AJ96" s="6" t="s">
        <v>362</v>
      </c>
      <c r="AK96" s="6" t="s">
        <v>16</v>
      </c>
      <c r="AL96" s="6" t="s">
        <v>62</v>
      </c>
      <c r="AM96" s="6" t="s">
        <v>363</v>
      </c>
      <c r="AN96" s="6" t="s">
        <v>20</v>
      </c>
      <c r="AO96" s="6" t="s">
        <v>250</v>
      </c>
      <c r="AP96" s="6" t="s">
        <v>251</v>
      </c>
      <c r="AQ96" s="6" t="s">
        <v>33</v>
      </c>
    </row>
    <row r="97" spans="1:43" x14ac:dyDescent="0.25">
      <c r="A97" s="6">
        <v>22663510</v>
      </c>
      <c r="B97" s="6">
        <v>23471555</v>
      </c>
      <c r="C97" s="6" t="s">
        <v>237</v>
      </c>
      <c r="D97" s="14">
        <v>45870.421157407407</v>
      </c>
      <c r="E97" s="14">
        <v>45870.431388888886</v>
      </c>
      <c r="F97" s="6" t="s">
        <v>23</v>
      </c>
      <c r="G97" s="6" t="s">
        <v>23</v>
      </c>
      <c r="H97" s="6" t="s">
        <v>582</v>
      </c>
      <c r="I97" s="6" t="s">
        <v>16</v>
      </c>
      <c r="J97" s="6" t="s">
        <v>583</v>
      </c>
      <c r="K97" s="6" t="s">
        <v>360</v>
      </c>
      <c r="L97" s="6" t="s">
        <v>360</v>
      </c>
      <c r="M97" s="14">
        <v>45869.62222222222</v>
      </c>
      <c r="N97" s="6" t="s">
        <v>584</v>
      </c>
      <c r="O97" s="6" t="s">
        <v>585</v>
      </c>
      <c r="P97" s="6" t="s">
        <v>242</v>
      </c>
      <c r="Q97" s="6" t="s">
        <v>243</v>
      </c>
      <c r="R97" s="6" t="s">
        <v>244</v>
      </c>
      <c r="S97" s="6" t="s">
        <v>8</v>
      </c>
      <c r="T97" s="6" t="s">
        <v>245</v>
      </c>
      <c r="U97" s="6" t="s">
        <v>132</v>
      </c>
      <c r="V97" s="6" t="s">
        <v>563</v>
      </c>
      <c r="W97" s="6" t="s">
        <v>353</v>
      </c>
      <c r="X97" s="6" t="s">
        <v>83</v>
      </c>
      <c r="Y97" s="6" t="s">
        <v>83</v>
      </c>
      <c r="Z97" s="6" t="s">
        <v>69</v>
      </c>
      <c r="AA97" s="6" t="s">
        <v>83</v>
      </c>
      <c r="AB97" s="6">
        <v>689.97</v>
      </c>
      <c r="AC97" s="6">
        <v>82.8</v>
      </c>
      <c r="AD97" s="6">
        <v>0</v>
      </c>
      <c r="AE97" s="6">
        <v>0</v>
      </c>
      <c r="AF97" s="6">
        <v>0</v>
      </c>
      <c r="AG97" s="6">
        <v>0</v>
      </c>
      <c r="AH97" s="6">
        <v>0</v>
      </c>
      <c r="AI97" s="6" t="s">
        <v>248</v>
      </c>
      <c r="AJ97" s="6" t="s">
        <v>259</v>
      </c>
      <c r="AK97" s="6" t="s">
        <v>16</v>
      </c>
      <c r="AL97" s="6" t="s">
        <v>50</v>
      </c>
      <c r="AM97" s="6" t="s">
        <v>260</v>
      </c>
      <c r="AN97" s="6" t="s">
        <v>20</v>
      </c>
      <c r="AO97" s="6" t="s">
        <v>250</v>
      </c>
      <c r="AP97" s="6" t="s">
        <v>251</v>
      </c>
      <c r="AQ97" s="6" t="s">
        <v>18</v>
      </c>
    </row>
    <row r="98" spans="1:43" x14ac:dyDescent="0.25">
      <c r="A98" s="6">
        <v>22728099</v>
      </c>
      <c r="B98" s="6">
        <v>23525736</v>
      </c>
      <c r="C98" s="6" t="s">
        <v>237</v>
      </c>
      <c r="D98" s="14">
        <v>45881.347858796304</v>
      </c>
      <c r="E98" s="14">
        <v>45882.211018518523</v>
      </c>
      <c r="F98" s="6" t="s">
        <v>17</v>
      </c>
      <c r="G98" s="6" t="s">
        <v>17</v>
      </c>
      <c r="H98" s="6" t="s">
        <v>586</v>
      </c>
      <c r="I98" s="6" t="s">
        <v>16</v>
      </c>
      <c r="J98" s="6" t="s">
        <v>587</v>
      </c>
      <c r="K98" s="6" t="s">
        <v>360</v>
      </c>
      <c r="L98" s="6" t="s">
        <v>360</v>
      </c>
      <c r="M98" s="14">
        <v>45880.720138888893</v>
      </c>
      <c r="N98" s="6" t="s">
        <v>588</v>
      </c>
      <c r="O98" s="6" t="s">
        <v>83</v>
      </c>
      <c r="P98" s="6" t="s">
        <v>242</v>
      </c>
      <c r="Q98" s="6" t="s">
        <v>256</v>
      </c>
      <c r="R98" s="6" t="s">
        <v>256</v>
      </c>
      <c r="S98" s="6" t="s">
        <v>9</v>
      </c>
      <c r="T98" s="6" t="s">
        <v>245</v>
      </c>
      <c r="U98" s="6" t="s">
        <v>132</v>
      </c>
      <c r="V98" s="6" t="s">
        <v>563</v>
      </c>
      <c r="W98" s="6" t="s">
        <v>353</v>
      </c>
      <c r="X98" s="6" t="s">
        <v>83</v>
      </c>
      <c r="Y98" s="6" t="s">
        <v>83</v>
      </c>
      <c r="Z98" s="6" t="s">
        <v>69</v>
      </c>
      <c r="AA98" s="6" t="s">
        <v>83</v>
      </c>
      <c r="AB98" s="6">
        <v>414</v>
      </c>
      <c r="AC98" s="6">
        <v>20.7</v>
      </c>
      <c r="AD98" s="6">
        <v>0</v>
      </c>
      <c r="AE98" s="6">
        <v>0</v>
      </c>
      <c r="AF98" s="6">
        <v>0</v>
      </c>
      <c r="AG98" s="6">
        <v>0</v>
      </c>
      <c r="AH98" s="6">
        <v>13</v>
      </c>
      <c r="AI98" s="6" t="s">
        <v>248</v>
      </c>
      <c r="AJ98" s="6" t="s">
        <v>259</v>
      </c>
      <c r="AK98" s="6" t="s">
        <v>16</v>
      </c>
      <c r="AL98" s="6" t="s">
        <v>50</v>
      </c>
      <c r="AM98" s="6" t="s">
        <v>260</v>
      </c>
      <c r="AN98" s="6" t="s">
        <v>20</v>
      </c>
      <c r="AO98" s="6" t="s">
        <v>261</v>
      </c>
      <c r="AP98" s="6" t="s">
        <v>262</v>
      </c>
      <c r="AQ98" s="6" t="s">
        <v>30</v>
      </c>
    </row>
    <row r="99" spans="1:43" x14ac:dyDescent="0.25">
      <c r="A99" s="6">
        <v>22666098</v>
      </c>
      <c r="B99" s="6">
        <v>23473958</v>
      </c>
      <c r="C99" s="6" t="s">
        <v>237</v>
      </c>
      <c r="D99" s="14">
        <v>45870.713888888888</v>
      </c>
      <c r="E99" s="14">
        <v>45870.719456018523</v>
      </c>
      <c r="F99" s="6" t="s">
        <v>23</v>
      </c>
      <c r="G99" s="6" t="s">
        <v>23</v>
      </c>
      <c r="H99" s="6" t="s">
        <v>589</v>
      </c>
      <c r="I99" s="6" t="s">
        <v>16</v>
      </c>
      <c r="J99" s="6" t="s">
        <v>590</v>
      </c>
      <c r="K99" s="6" t="s">
        <v>360</v>
      </c>
      <c r="L99" s="6" t="s">
        <v>360</v>
      </c>
      <c r="M99" s="14">
        <v>45870.463194444441</v>
      </c>
      <c r="N99" s="6" t="s">
        <v>591</v>
      </c>
      <c r="O99" s="6" t="s">
        <v>592</v>
      </c>
      <c r="P99" s="6" t="s">
        <v>242</v>
      </c>
      <c r="Q99" s="6" t="s">
        <v>243</v>
      </c>
      <c r="R99" s="6" t="s">
        <v>244</v>
      </c>
      <c r="S99" s="6" t="s">
        <v>8</v>
      </c>
      <c r="T99" s="6" t="s">
        <v>245</v>
      </c>
      <c r="U99" s="6" t="s">
        <v>132</v>
      </c>
      <c r="V99" s="6" t="s">
        <v>563</v>
      </c>
      <c r="W99" s="6" t="s">
        <v>353</v>
      </c>
      <c r="X99" s="6" t="s">
        <v>83</v>
      </c>
      <c r="Y99" s="6" t="s">
        <v>83</v>
      </c>
      <c r="Z99" s="6" t="s">
        <v>69</v>
      </c>
      <c r="AA99" s="6" t="s">
        <v>83</v>
      </c>
      <c r="AB99" s="6">
        <v>419.98</v>
      </c>
      <c r="AC99" s="6">
        <v>50.4</v>
      </c>
      <c r="AD99" s="6">
        <v>0</v>
      </c>
      <c r="AE99" s="6">
        <v>0</v>
      </c>
      <c r="AF99" s="6">
        <v>0</v>
      </c>
      <c r="AG99" s="6">
        <v>0</v>
      </c>
      <c r="AH99" s="6">
        <v>0</v>
      </c>
      <c r="AI99" s="6" t="s">
        <v>248</v>
      </c>
      <c r="AJ99" s="6" t="s">
        <v>259</v>
      </c>
      <c r="AK99" s="6" t="s">
        <v>16</v>
      </c>
      <c r="AL99" s="6" t="s">
        <v>50</v>
      </c>
      <c r="AM99" s="6" t="s">
        <v>260</v>
      </c>
      <c r="AN99" s="6" t="s">
        <v>20</v>
      </c>
      <c r="AO99" s="6" t="s">
        <v>250</v>
      </c>
      <c r="AP99" s="6" t="s">
        <v>251</v>
      </c>
      <c r="AQ99" s="6" t="s">
        <v>18</v>
      </c>
    </row>
    <row r="100" spans="1:43" x14ac:dyDescent="0.25">
      <c r="A100" s="6">
        <v>22701544</v>
      </c>
      <c r="B100" s="6">
        <v>23503697</v>
      </c>
      <c r="C100" s="6" t="s">
        <v>237</v>
      </c>
      <c r="D100" s="14">
        <v>45876.629513888889</v>
      </c>
      <c r="E100" s="14">
        <v>45876.637696759259</v>
      </c>
      <c r="F100" s="6" t="s">
        <v>21</v>
      </c>
      <c r="G100" s="6" t="s">
        <v>21</v>
      </c>
      <c r="H100" s="6" t="s">
        <v>593</v>
      </c>
      <c r="I100" s="6" t="s">
        <v>16</v>
      </c>
      <c r="J100" s="6" t="s">
        <v>594</v>
      </c>
      <c r="K100" s="6" t="s">
        <v>360</v>
      </c>
      <c r="L100" s="6" t="s">
        <v>360</v>
      </c>
      <c r="M100" s="14">
        <v>45876.497916666667</v>
      </c>
      <c r="N100" s="6" t="s">
        <v>595</v>
      </c>
      <c r="O100" s="6" t="s">
        <v>596</v>
      </c>
      <c r="P100" s="6" t="s">
        <v>242</v>
      </c>
      <c r="Q100" s="6" t="s">
        <v>243</v>
      </c>
      <c r="R100" s="6" t="s">
        <v>244</v>
      </c>
      <c r="S100" s="6" t="s">
        <v>8</v>
      </c>
      <c r="T100" s="6" t="s">
        <v>245</v>
      </c>
      <c r="U100" s="6" t="s">
        <v>132</v>
      </c>
      <c r="V100" s="6" t="s">
        <v>563</v>
      </c>
      <c r="W100" s="6" t="s">
        <v>353</v>
      </c>
      <c r="X100" s="6" t="s">
        <v>83</v>
      </c>
      <c r="Y100" s="6" t="s">
        <v>83</v>
      </c>
      <c r="Z100" s="6" t="s">
        <v>69</v>
      </c>
      <c r="AA100" s="6" t="s">
        <v>83</v>
      </c>
      <c r="AB100" s="6">
        <v>419.98</v>
      </c>
      <c r="AC100" s="6">
        <v>50.4</v>
      </c>
      <c r="AD100" s="6">
        <v>0</v>
      </c>
      <c r="AE100" s="6">
        <v>0</v>
      </c>
      <c r="AF100" s="6">
        <v>0</v>
      </c>
      <c r="AG100" s="6">
        <v>0</v>
      </c>
      <c r="AH100" s="6">
        <v>0</v>
      </c>
      <c r="AI100" s="6" t="s">
        <v>248</v>
      </c>
      <c r="AJ100" s="6" t="s">
        <v>259</v>
      </c>
      <c r="AK100" s="6" t="s">
        <v>16</v>
      </c>
      <c r="AL100" s="6" t="s">
        <v>50</v>
      </c>
      <c r="AM100" s="6" t="s">
        <v>260</v>
      </c>
      <c r="AN100" s="6" t="s">
        <v>20</v>
      </c>
      <c r="AO100" s="6" t="s">
        <v>250</v>
      </c>
      <c r="AP100" s="6" t="s">
        <v>251</v>
      </c>
      <c r="AQ100" s="6" t="s">
        <v>18</v>
      </c>
    </row>
    <row r="101" spans="1:43" x14ac:dyDescent="0.25">
      <c r="A101" s="6">
        <v>22686110</v>
      </c>
      <c r="B101" s="6">
        <v>23489886</v>
      </c>
      <c r="C101" s="6" t="s">
        <v>237</v>
      </c>
      <c r="D101" s="14">
        <v>45874.545914351853</v>
      </c>
      <c r="E101" s="14">
        <v>45874.671053240738</v>
      </c>
      <c r="F101" s="6" t="s">
        <v>21</v>
      </c>
      <c r="G101" s="6" t="s">
        <v>21</v>
      </c>
      <c r="H101" s="6" t="s">
        <v>597</v>
      </c>
      <c r="I101" s="6" t="s">
        <v>16</v>
      </c>
      <c r="J101" s="6" t="s">
        <v>573</v>
      </c>
      <c r="K101" s="6" t="s">
        <v>360</v>
      </c>
      <c r="L101" s="6" t="s">
        <v>360</v>
      </c>
      <c r="M101" s="14">
        <v>45874.31527777778</v>
      </c>
      <c r="N101" s="6" t="s">
        <v>598</v>
      </c>
      <c r="O101" s="6" t="s">
        <v>599</v>
      </c>
      <c r="P101" s="6" t="s">
        <v>242</v>
      </c>
      <c r="Q101" s="6" t="s">
        <v>243</v>
      </c>
      <c r="R101" s="6" t="s">
        <v>244</v>
      </c>
      <c r="S101" s="6" t="s">
        <v>8</v>
      </c>
      <c r="T101" s="6" t="s">
        <v>245</v>
      </c>
      <c r="U101" s="6" t="s">
        <v>132</v>
      </c>
      <c r="V101" s="6" t="s">
        <v>576</v>
      </c>
      <c r="W101" s="6" t="s">
        <v>353</v>
      </c>
      <c r="X101" s="6" t="s">
        <v>83</v>
      </c>
      <c r="Y101" s="6" t="s">
        <v>83</v>
      </c>
      <c r="Z101" s="6" t="s">
        <v>69</v>
      </c>
      <c r="AA101" s="6" t="s">
        <v>83</v>
      </c>
      <c r="AB101" s="6">
        <v>629.97</v>
      </c>
      <c r="AC101" s="6">
        <v>100.8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 t="s">
        <v>248</v>
      </c>
      <c r="AJ101" s="6" t="s">
        <v>259</v>
      </c>
      <c r="AK101" s="6" t="s">
        <v>16</v>
      </c>
      <c r="AL101" s="6" t="s">
        <v>50</v>
      </c>
      <c r="AM101" s="6" t="s">
        <v>260</v>
      </c>
      <c r="AN101" s="6" t="s">
        <v>20</v>
      </c>
      <c r="AO101" s="6" t="s">
        <v>250</v>
      </c>
      <c r="AP101" s="6" t="s">
        <v>251</v>
      </c>
      <c r="AQ101" s="6" t="s">
        <v>18</v>
      </c>
    </row>
    <row r="102" spans="1:43" x14ac:dyDescent="0.25">
      <c r="A102" s="6">
        <v>22720908</v>
      </c>
      <c r="B102" s="6">
        <v>23519319</v>
      </c>
      <c r="C102" s="6" t="s">
        <v>237</v>
      </c>
      <c r="D102" s="14">
        <v>45880.379513888889</v>
      </c>
      <c r="E102" s="14">
        <v>45881.212789351863</v>
      </c>
      <c r="F102" s="6" t="s">
        <v>17</v>
      </c>
      <c r="G102" s="6" t="s">
        <v>17</v>
      </c>
      <c r="H102" s="6" t="s">
        <v>600</v>
      </c>
      <c r="I102" s="6" t="s">
        <v>16</v>
      </c>
      <c r="J102" s="6" t="s">
        <v>601</v>
      </c>
      <c r="K102" s="6" t="s">
        <v>360</v>
      </c>
      <c r="L102" s="6" t="s">
        <v>360</v>
      </c>
      <c r="M102" s="14">
        <v>45879.738888888889</v>
      </c>
      <c r="N102" s="6" t="s">
        <v>602</v>
      </c>
      <c r="O102" s="6" t="s">
        <v>83</v>
      </c>
      <c r="P102" s="6" t="s">
        <v>242</v>
      </c>
      <c r="Q102" s="6" t="s">
        <v>256</v>
      </c>
      <c r="R102" s="6" t="s">
        <v>256</v>
      </c>
      <c r="S102" s="6" t="s">
        <v>9</v>
      </c>
      <c r="T102" s="6" t="s">
        <v>245</v>
      </c>
      <c r="U102" s="6" t="s">
        <v>132</v>
      </c>
      <c r="V102" s="6" t="s">
        <v>563</v>
      </c>
      <c r="W102" s="6" t="s">
        <v>353</v>
      </c>
      <c r="X102" s="6" t="s">
        <v>83</v>
      </c>
      <c r="Y102" s="6" t="s">
        <v>83</v>
      </c>
      <c r="Z102" s="6" t="s">
        <v>69</v>
      </c>
      <c r="AA102" s="6" t="s">
        <v>83</v>
      </c>
      <c r="AB102" s="6">
        <v>1985.6</v>
      </c>
      <c r="AC102" s="6">
        <v>1326</v>
      </c>
      <c r="AD102" s="6">
        <v>0</v>
      </c>
      <c r="AE102" s="6">
        <v>0</v>
      </c>
      <c r="AF102" s="6">
        <v>0</v>
      </c>
      <c r="AG102" s="6">
        <v>0</v>
      </c>
      <c r="AH102" s="6">
        <v>13</v>
      </c>
      <c r="AI102" s="6" t="s">
        <v>248</v>
      </c>
      <c r="AJ102" s="6" t="s">
        <v>259</v>
      </c>
      <c r="AK102" s="6" t="s">
        <v>16</v>
      </c>
      <c r="AL102" s="6" t="s">
        <v>50</v>
      </c>
      <c r="AM102" s="6" t="s">
        <v>260</v>
      </c>
      <c r="AN102" s="6" t="s">
        <v>20</v>
      </c>
      <c r="AO102" s="6" t="s">
        <v>261</v>
      </c>
      <c r="AP102" s="6" t="s">
        <v>262</v>
      </c>
      <c r="AQ102" s="6" t="s">
        <v>30</v>
      </c>
    </row>
    <row r="103" spans="1:43" x14ac:dyDescent="0.25">
      <c r="A103" s="6">
        <v>22663266</v>
      </c>
      <c r="B103" s="6">
        <v>23471354</v>
      </c>
      <c r="C103" s="6" t="s">
        <v>237</v>
      </c>
      <c r="D103" s="14">
        <v>45870.380208333343</v>
      </c>
      <c r="E103" s="14">
        <v>45871.179571759261</v>
      </c>
      <c r="F103" s="6" t="s">
        <v>23</v>
      </c>
      <c r="G103" s="6" t="s">
        <v>23</v>
      </c>
      <c r="H103" s="6" t="s">
        <v>603</v>
      </c>
      <c r="I103" s="6" t="s">
        <v>13</v>
      </c>
      <c r="J103" s="6" t="s">
        <v>604</v>
      </c>
      <c r="K103" s="6" t="s">
        <v>605</v>
      </c>
      <c r="L103" s="6" t="s">
        <v>605</v>
      </c>
      <c r="M103" s="14">
        <v>45870.370833333327</v>
      </c>
      <c r="N103" s="6">
        <v>4575595</v>
      </c>
      <c r="O103" s="6" t="s">
        <v>83</v>
      </c>
      <c r="P103" s="6" t="s">
        <v>242</v>
      </c>
      <c r="Q103" s="6" t="s">
        <v>243</v>
      </c>
      <c r="R103" s="6" t="s">
        <v>304</v>
      </c>
      <c r="S103" s="6" t="s">
        <v>7</v>
      </c>
      <c r="T103" s="6" t="s">
        <v>245</v>
      </c>
      <c r="U103" s="6" t="s">
        <v>148</v>
      </c>
      <c r="V103" s="6" t="s">
        <v>606</v>
      </c>
      <c r="W103" s="6" t="s">
        <v>353</v>
      </c>
      <c r="X103" s="6" t="s">
        <v>247</v>
      </c>
      <c r="Y103" s="6">
        <v>2243830150</v>
      </c>
      <c r="Z103" s="6" t="s">
        <v>99</v>
      </c>
      <c r="AA103" s="6" t="s">
        <v>83</v>
      </c>
      <c r="AB103" s="6">
        <v>1073.44</v>
      </c>
      <c r="AC103" s="6">
        <v>80.37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607</v>
      </c>
      <c r="AJ103" s="6" t="s">
        <v>608</v>
      </c>
      <c r="AK103" s="6" t="s">
        <v>13</v>
      </c>
      <c r="AL103" s="6" t="s">
        <v>80</v>
      </c>
      <c r="AM103" s="6" t="s">
        <v>609</v>
      </c>
      <c r="AN103" s="6" t="s">
        <v>39</v>
      </c>
      <c r="AO103" s="6" t="s">
        <v>610</v>
      </c>
      <c r="AP103" s="6" t="s">
        <v>262</v>
      </c>
      <c r="AQ103" s="6" t="s">
        <v>38</v>
      </c>
    </row>
    <row r="104" spans="1:43" x14ac:dyDescent="0.25">
      <c r="A104" s="6">
        <v>22130785</v>
      </c>
      <c r="B104" s="6">
        <v>23011274</v>
      </c>
      <c r="C104" s="6" t="s">
        <v>237</v>
      </c>
      <c r="D104" s="14">
        <v>45782.499143518522</v>
      </c>
      <c r="E104" s="14">
        <v>45875.496851851851</v>
      </c>
      <c r="F104" s="6" t="s">
        <v>21</v>
      </c>
      <c r="G104" s="6" t="s">
        <v>29</v>
      </c>
      <c r="H104" s="6">
        <v>1545065602</v>
      </c>
      <c r="I104" s="6" t="s">
        <v>15</v>
      </c>
      <c r="J104" s="6" t="s">
        <v>611</v>
      </c>
      <c r="K104" s="6" t="s">
        <v>605</v>
      </c>
      <c r="L104" s="6" t="s">
        <v>605</v>
      </c>
      <c r="M104" s="14">
        <v>45779.772222222222</v>
      </c>
      <c r="N104" s="6">
        <v>4401013</v>
      </c>
      <c r="O104" s="6" t="s">
        <v>83</v>
      </c>
      <c r="P104" s="6" t="s">
        <v>272</v>
      </c>
      <c r="Q104" s="6" t="s">
        <v>243</v>
      </c>
      <c r="R104" s="6" t="s">
        <v>244</v>
      </c>
      <c r="S104" s="6" t="s">
        <v>9</v>
      </c>
      <c r="T104" s="6" t="s">
        <v>449</v>
      </c>
      <c r="U104" s="6" t="s">
        <v>148</v>
      </c>
      <c r="V104" s="6" t="s">
        <v>612</v>
      </c>
      <c r="W104" s="6" t="s">
        <v>353</v>
      </c>
      <c r="X104" s="6" t="s">
        <v>613</v>
      </c>
      <c r="Y104" s="6" t="s">
        <v>83</v>
      </c>
      <c r="Z104" s="6" t="s">
        <v>99</v>
      </c>
      <c r="AA104" s="6" t="s">
        <v>83</v>
      </c>
      <c r="AB104" s="6">
        <v>916.32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57</v>
      </c>
      <c r="AI104" s="6" t="s">
        <v>614</v>
      </c>
      <c r="AJ104" s="6" t="s">
        <v>362</v>
      </c>
      <c r="AK104" s="6" t="s">
        <v>15</v>
      </c>
      <c r="AL104" s="6" t="s">
        <v>62</v>
      </c>
      <c r="AM104" s="6" t="s">
        <v>363</v>
      </c>
      <c r="AN104" s="6" t="s">
        <v>20</v>
      </c>
      <c r="AO104" s="6" t="s">
        <v>250</v>
      </c>
      <c r="AP104" s="6" t="s">
        <v>251</v>
      </c>
      <c r="AQ104" s="6" t="s">
        <v>33</v>
      </c>
    </row>
    <row r="105" spans="1:43" x14ac:dyDescent="0.25">
      <c r="A105" s="6">
        <v>22709862</v>
      </c>
      <c r="B105" s="6">
        <v>23511217</v>
      </c>
      <c r="C105" s="6" t="s">
        <v>237</v>
      </c>
      <c r="D105" s="14">
        <v>45877.739502314813</v>
      </c>
      <c r="E105" s="14">
        <v>45877.760925925933</v>
      </c>
      <c r="F105" s="6" t="s">
        <v>19</v>
      </c>
      <c r="G105" s="6" t="s">
        <v>19</v>
      </c>
      <c r="H105" s="6">
        <v>19505224</v>
      </c>
      <c r="I105" s="6" t="s">
        <v>13</v>
      </c>
      <c r="J105" s="6" t="s">
        <v>615</v>
      </c>
      <c r="K105" s="6" t="s">
        <v>605</v>
      </c>
      <c r="L105" s="6" t="s">
        <v>605</v>
      </c>
      <c r="M105" s="14">
        <v>45877.73333333333</v>
      </c>
      <c r="N105" s="6">
        <v>4579588</v>
      </c>
      <c r="O105" s="6" t="s">
        <v>83</v>
      </c>
      <c r="P105" s="6" t="s">
        <v>242</v>
      </c>
      <c r="Q105" s="6" t="s">
        <v>616</v>
      </c>
      <c r="R105" s="6" t="s">
        <v>616</v>
      </c>
      <c r="S105" s="6" t="s">
        <v>9</v>
      </c>
      <c r="T105" s="6" t="s">
        <v>245</v>
      </c>
      <c r="U105" s="6" t="s">
        <v>148</v>
      </c>
      <c r="V105" s="6" t="s">
        <v>606</v>
      </c>
      <c r="W105" s="6" t="s">
        <v>353</v>
      </c>
      <c r="X105" s="6" t="s">
        <v>617</v>
      </c>
      <c r="Y105" s="6" t="s">
        <v>83</v>
      </c>
      <c r="Z105" s="6" t="s">
        <v>99</v>
      </c>
      <c r="AA105" s="6" t="s">
        <v>83</v>
      </c>
      <c r="AB105" s="6">
        <v>1080</v>
      </c>
      <c r="AC105" s="6">
        <v>27</v>
      </c>
      <c r="AD105" s="6">
        <v>0</v>
      </c>
      <c r="AE105" s="6">
        <v>0</v>
      </c>
      <c r="AF105" s="6">
        <v>0</v>
      </c>
      <c r="AG105" s="6">
        <v>0</v>
      </c>
      <c r="AH105" s="6">
        <v>0</v>
      </c>
      <c r="AI105" s="6" t="s">
        <v>618</v>
      </c>
      <c r="AJ105" s="6" t="s">
        <v>362</v>
      </c>
      <c r="AK105" s="6" t="s">
        <v>13</v>
      </c>
      <c r="AL105" s="6" t="s">
        <v>62</v>
      </c>
      <c r="AM105" s="6" t="s">
        <v>363</v>
      </c>
      <c r="AN105" s="6" t="s">
        <v>20</v>
      </c>
      <c r="AO105" s="6" t="s">
        <v>261</v>
      </c>
      <c r="AP105" s="6" t="s">
        <v>262</v>
      </c>
      <c r="AQ105" s="6" t="s">
        <v>30</v>
      </c>
    </row>
    <row r="106" spans="1:43" x14ac:dyDescent="0.25">
      <c r="A106" s="6">
        <v>22721365</v>
      </c>
      <c r="B106" s="6">
        <v>23519727</v>
      </c>
      <c r="C106" s="6" t="s">
        <v>237</v>
      </c>
      <c r="D106" s="14">
        <v>45880.448217592602</v>
      </c>
      <c r="E106" s="14">
        <v>45880.452800925923</v>
      </c>
      <c r="F106" s="6" t="s">
        <v>17</v>
      </c>
      <c r="G106" s="6" t="s">
        <v>17</v>
      </c>
      <c r="H106" s="6">
        <v>19514619</v>
      </c>
      <c r="I106" s="6" t="s">
        <v>13</v>
      </c>
      <c r="J106" s="6" t="s">
        <v>619</v>
      </c>
      <c r="K106" s="6" t="s">
        <v>605</v>
      </c>
      <c r="L106" s="6" t="s">
        <v>605</v>
      </c>
      <c r="M106" s="14">
        <v>45880.438888888893</v>
      </c>
      <c r="N106" s="6">
        <v>4579900</v>
      </c>
      <c r="O106" s="6" t="s">
        <v>83</v>
      </c>
      <c r="P106" s="6" t="s">
        <v>242</v>
      </c>
      <c r="Q106" s="6" t="s">
        <v>616</v>
      </c>
      <c r="R106" s="6" t="s">
        <v>616</v>
      </c>
      <c r="S106" s="6" t="s">
        <v>9</v>
      </c>
      <c r="T106" s="6" t="s">
        <v>245</v>
      </c>
      <c r="U106" s="6" t="s">
        <v>148</v>
      </c>
      <c r="V106" s="6" t="s">
        <v>606</v>
      </c>
      <c r="W106" s="6" t="s">
        <v>353</v>
      </c>
      <c r="X106" s="6" t="s">
        <v>620</v>
      </c>
      <c r="Y106" s="6" t="s">
        <v>83</v>
      </c>
      <c r="Z106" s="6" t="s">
        <v>99</v>
      </c>
      <c r="AA106" s="6" t="s">
        <v>83</v>
      </c>
      <c r="AB106" s="6">
        <v>468</v>
      </c>
      <c r="AC106" s="6">
        <v>14.04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621</v>
      </c>
      <c r="AJ106" s="6" t="s">
        <v>362</v>
      </c>
      <c r="AK106" s="6" t="s">
        <v>13</v>
      </c>
      <c r="AL106" s="6" t="s">
        <v>62</v>
      </c>
      <c r="AM106" s="6" t="s">
        <v>363</v>
      </c>
      <c r="AN106" s="6" t="s">
        <v>20</v>
      </c>
      <c r="AO106" s="6" t="s">
        <v>261</v>
      </c>
      <c r="AP106" s="6" t="s">
        <v>262</v>
      </c>
      <c r="AQ106" s="6" t="s">
        <v>30</v>
      </c>
    </row>
    <row r="107" spans="1:43" x14ac:dyDescent="0.25">
      <c r="A107" s="6">
        <v>22730862</v>
      </c>
      <c r="B107" s="6">
        <v>23528345</v>
      </c>
      <c r="C107" s="6" t="s">
        <v>237</v>
      </c>
      <c r="D107" s="14">
        <v>45881.679305555554</v>
      </c>
      <c r="E107" s="14">
        <v>45881.681458333333</v>
      </c>
      <c r="F107" s="6" t="s">
        <v>17</v>
      </c>
      <c r="G107" s="6" t="s">
        <v>17</v>
      </c>
      <c r="H107" s="6" t="s">
        <v>622</v>
      </c>
      <c r="I107" s="6" t="s">
        <v>16</v>
      </c>
      <c r="J107" s="6" t="s">
        <v>623</v>
      </c>
      <c r="K107" s="6" t="s">
        <v>359</v>
      </c>
      <c r="L107" s="6" t="s">
        <v>562</v>
      </c>
      <c r="M107" s="14">
        <v>45881.337500000001</v>
      </c>
      <c r="N107" s="6" t="s">
        <v>622</v>
      </c>
      <c r="O107" s="6" t="s">
        <v>83</v>
      </c>
      <c r="P107" s="6" t="s">
        <v>242</v>
      </c>
      <c r="Q107" s="6" t="s">
        <v>256</v>
      </c>
      <c r="R107" s="6" t="s">
        <v>256</v>
      </c>
      <c r="S107" s="6" t="s">
        <v>7</v>
      </c>
      <c r="T107" s="6" t="s">
        <v>245</v>
      </c>
      <c r="U107" s="6" t="s">
        <v>177</v>
      </c>
      <c r="V107" s="6" t="s">
        <v>624</v>
      </c>
      <c r="W107" s="6" t="s">
        <v>83</v>
      </c>
      <c r="X107" s="6" t="s">
        <v>625</v>
      </c>
      <c r="Y107" s="6">
        <v>2971262605</v>
      </c>
      <c r="Z107" s="6" t="s">
        <v>626</v>
      </c>
      <c r="AA107" s="6" t="s">
        <v>83</v>
      </c>
      <c r="AB107" s="6">
        <v>21353.41</v>
      </c>
      <c r="AC107" s="6">
        <v>59.54</v>
      </c>
      <c r="AD107" s="6">
        <v>778.51</v>
      </c>
      <c r="AE107" s="6">
        <v>0</v>
      </c>
      <c r="AF107" s="6">
        <v>59.54</v>
      </c>
      <c r="AG107" s="6">
        <v>0</v>
      </c>
      <c r="AH107" s="6">
        <v>0</v>
      </c>
      <c r="AI107" s="6" t="s">
        <v>248</v>
      </c>
      <c r="AJ107" s="6" t="s">
        <v>401</v>
      </c>
      <c r="AK107" s="6" t="s">
        <v>16</v>
      </c>
      <c r="AL107" s="6" t="s">
        <v>58</v>
      </c>
      <c r="AM107" s="6" t="s">
        <v>74</v>
      </c>
      <c r="AN107" s="6" t="s">
        <v>20</v>
      </c>
      <c r="AO107" s="6" t="s">
        <v>250</v>
      </c>
      <c r="AP107" s="6" t="s">
        <v>251</v>
      </c>
      <c r="AQ107" s="6" t="s">
        <v>33</v>
      </c>
    </row>
    <row r="108" spans="1:43" x14ac:dyDescent="0.25">
      <c r="A108" s="6">
        <v>22729470</v>
      </c>
      <c r="B108" s="6">
        <v>23527022</v>
      </c>
      <c r="C108" s="6" t="s">
        <v>237</v>
      </c>
      <c r="D108" s="14">
        <v>45881.513993055552</v>
      </c>
      <c r="E108" s="14">
        <v>45881.538495370369</v>
      </c>
      <c r="F108" s="6" t="s">
        <v>17</v>
      </c>
      <c r="G108" s="6" t="s">
        <v>17</v>
      </c>
      <c r="H108" s="6" t="s">
        <v>627</v>
      </c>
      <c r="I108" s="6" t="s">
        <v>253</v>
      </c>
      <c r="J108" s="6" t="s">
        <v>628</v>
      </c>
      <c r="K108" s="6" t="s">
        <v>255</v>
      </c>
      <c r="L108" s="6" t="s">
        <v>255</v>
      </c>
      <c r="M108" s="14">
        <v>45881.472222222219</v>
      </c>
      <c r="N108" s="6">
        <v>8053</v>
      </c>
      <c r="O108" s="6" t="s">
        <v>629</v>
      </c>
      <c r="P108" s="6" t="s">
        <v>242</v>
      </c>
      <c r="Q108" s="6" t="s">
        <v>243</v>
      </c>
      <c r="R108" s="6" t="s">
        <v>244</v>
      </c>
      <c r="S108" s="6" t="s">
        <v>8</v>
      </c>
      <c r="T108" s="6" t="s">
        <v>245</v>
      </c>
      <c r="U108" s="6" t="s">
        <v>144</v>
      </c>
      <c r="V108" s="6" t="s">
        <v>630</v>
      </c>
      <c r="W108" s="6" t="s">
        <v>83</v>
      </c>
      <c r="X108" s="6" t="s">
        <v>83</v>
      </c>
      <c r="Y108" s="6" t="s">
        <v>83</v>
      </c>
      <c r="Z108" s="6" t="s">
        <v>95</v>
      </c>
      <c r="AA108" s="6" t="s">
        <v>83</v>
      </c>
      <c r="AB108" s="6">
        <v>194.43199999999999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 t="s">
        <v>631</v>
      </c>
      <c r="AJ108" s="6" t="s">
        <v>259</v>
      </c>
      <c r="AK108" s="6" t="s">
        <v>12</v>
      </c>
      <c r="AL108" s="6" t="s">
        <v>50</v>
      </c>
      <c r="AM108" s="6" t="s">
        <v>260</v>
      </c>
      <c r="AN108" s="6" t="s">
        <v>20</v>
      </c>
      <c r="AO108" s="6" t="s">
        <v>250</v>
      </c>
      <c r="AP108" s="6" t="s">
        <v>251</v>
      </c>
      <c r="AQ108" s="6" t="s">
        <v>18</v>
      </c>
    </row>
    <row r="109" spans="1:43" x14ac:dyDescent="0.25">
      <c r="A109" s="6">
        <v>22729471</v>
      </c>
      <c r="B109" s="6">
        <v>23527023</v>
      </c>
      <c r="C109" s="6" t="s">
        <v>237</v>
      </c>
      <c r="D109" s="14">
        <v>45881.514039351852</v>
      </c>
      <c r="E109" s="14">
        <v>45881.538495370369</v>
      </c>
      <c r="F109" s="6" t="s">
        <v>17</v>
      </c>
      <c r="G109" s="6" t="s">
        <v>17</v>
      </c>
      <c r="H109" s="6" t="s">
        <v>632</v>
      </c>
      <c r="I109" s="6" t="s">
        <v>253</v>
      </c>
      <c r="J109" s="6" t="s">
        <v>633</v>
      </c>
      <c r="K109" s="6" t="s">
        <v>255</v>
      </c>
      <c r="L109" s="6" t="s">
        <v>255</v>
      </c>
      <c r="M109" s="14">
        <v>45881.42083333333</v>
      </c>
      <c r="N109" s="6">
        <v>8046</v>
      </c>
      <c r="O109" s="6" t="s">
        <v>634</v>
      </c>
      <c r="P109" s="6" t="s">
        <v>242</v>
      </c>
      <c r="Q109" s="6" t="s">
        <v>243</v>
      </c>
      <c r="R109" s="6" t="s">
        <v>244</v>
      </c>
      <c r="S109" s="6" t="s">
        <v>8</v>
      </c>
      <c r="T109" s="6" t="s">
        <v>245</v>
      </c>
      <c r="U109" s="6" t="s">
        <v>144</v>
      </c>
      <c r="V109" s="6" t="s">
        <v>630</v>
      </c>
      <c r="W109" s="6" t="s">
        <v>83</v>
      </c>
      <c r="X109" s="6" t="s">
        <v>83</v>
      </c>
      <c r="Y109" s="6" t="s">
        <v>83</v>
      </c>
      <c r="Z109" s="6" t="s">
        <v>95</v>
      </c>
      <c r="AA109" s="6" t="s">
        <v>83</v>
      </c>
      <c r="AB109" s="6">
        <v>494.05439999999999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635</v>
      </c>
      <c r="AJ109" s="6" t="s">
        <v>259</v>
      </c>
      <c r="AK109" s="6" t="s">
        <v>12</v>
      </c>
      <c r="AL109" s="6" t="s">
        <v>50</v>
      </c>
      <c r="AM109" s="6" t="s">
        <v>260</v>
      </c>
      <c r="AN109" s="6" t="s">
        <v>20</v>
      </c>
      <c r="AO109" s="6" t="s">
        <v>250</v>
      </c>
      <c r="AP109" s="6" t="s">
        <v>251</v>
      </c>
      <c r="AQ109" s="6" t="s">
        <v>18</v>
      </c>
    </row>
    <row r="110" spans="1:43" x14ac:dyDescent="0.25">
      <c r="A110" s="6">
        <v>22729475</v>
      </c>
      <c r="B110" s="6">
        <v>23527026</v>
      </c>
      <c r="C110" s="6" t="s">
        <v>237</v>
      </c>
      <c r="D110" s="14">
        <v>45881.514085648138</v>
      </c>
      <c r="E110" s="14">
        <v>45881.538495370369</v>
      </c>
      <c r="F110" s="6" t="s">
        <v>17</v>
      </c>
      <c r="G110" s="6" t="s">
        <v>17</v>
      </c>
      <c r="H110" s="6" t="s">
        <v>636</v>
      </c>
      <c r="I110" s="6" t="s">
        <v>253</v>
      </c>
      <c r="J110" s="6" t="s">
        <v>637</v>
      </c>
      <c r="K110" s="6" t="s">
        <v>255</v>
      </c>
      <c r="L110" s="6" t="s">
        <v>255</v>
      </c>
      <c r="M110" s="14">
        <v>45881.386805555558</v>
      </c>
      <c r="N110" s="6">
        <v>8030</v>
      </c>
      <c r="O110" s="6" t="s">
        <v>638</v>
      </c>
      <c r="P110" s="6" t="s">
        <v>242</v>
      </c>
      <c r="Q110" s="6" t="s">
        <v>243</v>
      </c>
      <c r="R110" s="6" t="s">
        <v>244</v>
      </c>
      <c r="S110" s="6" t="s">
        <v>8</v>
      </c>
      <c r="T110" s="6" t="s">
        <v>245</v>
      </c>
      <c r="U110" s="6" t="s">
        <v>144</v>
      </c>
      <c r="V110" s="6" t="s">
        <v>639</v>
      </c>
      <c r="W110" s="6" t="s">
        <v>83</v>
      </c>
      <c r="X110" s="6" t="s">
        <v>83</v>
      </c>
      <c r="Y110" s="6" t="s">
        <v>83</v>
      </c>
      <c r="Z110" s="6" t="s">
        <v>95</v>
      </c>
      <c r="AA110" s="6" t="s">
        <v>83</v>
      </c>
      <c r="AB110" s="6">
        <v>329.36959999999999</v>
      </c>
      <c r="AC110" s="6">
        <v>0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640</v>
      </c>
      <c r="AJ110" s="6" t="s">
        <v>259</v>
      </c>
      <c r="AK110" s="6" t="s">
        <v>12</v>
      </c>
      <c r="AL110" s="6" t="s">
        <v>50</v>
      </c>
      <c r="AM110" s="6" t="s">
        <v>260</v>
      </c>
      <c r="AN110" s="6" t="s">
        <v>20</v>
      </c>
      <c r="AO110" s="6" t="s">
        <v>250</v>
      </c>
      <c r="AP110" s="6" t="s">
        <v>251</v>
      </c>
      <c r="AQ110" s="6" t="s">
        <v>18</v>
      </c>
    </row>
    <row r="111" spans="1:43" x14ac:dyDescent="0.25">
      <c r="A111" s="6">
        <v>22731569</v>
      </c>
      <c r="B111" s="6">
        <v>23529033</v>
      </c>
      <c r="C111" s="6" t="s">
        <v>237</v>
      </c>
      <c r="D111" s="14">
        <v>45881.752939814818</v>
      </c>
      <c r="E111" s="14">
        <v>45881.763356481482</v>
      </c>
      <c r="F111" s="6" t="s">
        <v>17</v>
      </c>
      <c r="G111" s="6" t="s">
        <v>17</v>
      </c>
      <c r="H111" s="6" t="s">
        <v>641</v>
      </c>
      <c r="I111" s="6" t="s">
        <v>14</v>
      </c>
      <c r="J111" s="6" t="s">
        <v>642</v>
      </c>
      <c r="K111" s="6" t="s">
        <v>643</v>
      </c>
      <c r="L111" s="6" t="s">
        <v>643</v>
      </c>
      <c r="M111" s="14">
        <v>45881.706944444442</v>
      </c>
      <c r="N111" s="6">
        <v>17272386</v>
      </c>
      <c r="O111" s="6" t="s">
        <v>83</v>
      </c>
      <c r="P111" s="6" t="s">
        <v>272</v>
      </c>
      <c r="Q111" s="6" t="s">
        <v>243</v>
      </c>
      <c r="R111" s="6" t="s">
        <v>244</v>
      </c>
      <c r="S111" s="6" t="s">
        <v>3</v>
      </c>
      <c r="T111" s="6" t="s">
        <v>245</v>
      </c>
      <c r="U111" s="6" t="s">
        <v>133</v>
      </c>
      <c r="V111" s="6" t="s">
        <v>644</v>
      </c>
      <c r="W111" s="6" t="s">
        <v>83</v>
      </c>
      <c r="X111" s="6" t="s">
        <v>83</v>
      </c>
      <c r="Y111" s="6" t="s">
        <v>83</v>
      </c>
      <c r="Z111" s="6" t="s">
        <v>73</v>
      </c>
      <c r="AA111" s="6" t="s">
        <v>83</v>
      </c>
      <c r="AB111" s="6">
        <v>46.23</v>
      </c>
      <c r="AC111" s="6">
        <v>8.32</v>
      </c>
      <c r="AD111" s="6">
        <v>9.9499999999999993</v>
      </c>
      <c r="AE111" s="6">
        <v>0</v>
      </c>
      <c r="AF111" s="6">
        <v>0</v>
      </c>
      <c r="AG111" s="6">
        <v>0</v>
      </c>
      <c r="AH111" s="6">
        <v>0</v>
      </c>
      <c r="AI111" s="6" t="s">
        <v>645</v>
      </c>
      <c r="AJ111" s="6" t="s">
        <v>259</v>
      </c>
      <c r="AK111" s="6" t="s">
        <v>14</v>
      </c>
      <c r="AL111" s="6" t="s">
        <v>50</v>
      </c>
      <c r="AM111" s="6" t="s">
        <v>260</v>
      </c>
      <c r="AN111" s="6" t="s">
        <v>20</v>
      </c>
      <c r="AO111" s="6" t="s">
        <v>250</v>
      </c>
      <c r="AP111" s="6" t="s">
        <v>251</v>
      </c>
      <c r="AQ111" s="6" t="s">
        <v>18</v>
      </c>
    </row>
    <row r="112" spans="1:43" x14ac:dyDescent="0.25">
      <c r="A112" s="6">
        <v>22731572</v>
      </c>
      <c r="B112" s="6">
        <v>23529034</v>
      </c>
      <c r="C112" s="6" t="s">
        <v>237</v>
      </c>
      <c r="D112" s="14">
        <v>45881.752951388888</v>
      </c>
      <c r="E112" s="14">
        <v>45881.763368055559</v>
      </c>
      <c r="F112" s="6" t="s">
        <v>17</v>
      </c>
      <c r="G112" s="6" t="s">
        <v>17</v>
      </c>
      <c r="H112" s="6" t="s">
        <v>646</v>
      </c>
      <c r="I112" s="6" t="s">
        <v>14</v>
      </c>
      <c r="J112" s="6" t="s">
        <v>642</v>
      </c>
      <c r="K112" s="6" t="s">
        <v>643</v>
      </c>
      <c r="L112" s="6" t="s">
        <v>643</v>
      </c>
      <c r="M112" s="14">
        <v>45881.707638888889</v>
      </c>
      <c r="N112" s="6">
        <v>17272386</v>
      </c>
      <c r="O112" s="6" t="s">
        <v>83</v>
      </c>
      <c r="P112" s="6" t="s">
        <v>272</v>
      </c>
      <c r="Q112" s="6" t="s">
        <v>243</v>
      </c>
      <c r="R112" s="6" t="s">
        <v>244</v>
      </c>
      <c r="S112" s="6" t="s">
        <v>3</v>
      </c>
      <c r="T112" s="6" t="s">
        <v>245</v>
      </c>
      <c r="U112" s="6" t="s">
        <v>133</v>
      </c>
      <c r="V112" s="6" t="s">
        <v>644</v>
      </c>
      <c r="W112" s="6" t="s">
        <v>83</v>
      </c>
      <c r="X112" s="6" t="s">
        <v>83</v>
      </c>
      <c r="Y112" s="6" t="s">
        <v>83</v>
      </c>
      <c r="Z112" s="6" t="s">
        <v>73</v>
      </c>
      <c r="AA112" s="6" t="s">
        <v>83</v>
      </c>
      <c r="AB112" s="6">
        <v>50.45</v>
      </c>
      <c r="AC112" s="6">
        <v>9.08</v>
      </c>
      <c r="AD112" s="6">
        <v>9.9499999999999993</v>
      </c>
      <c r="AE112" s="6">
        <v>0</v>
      </c>
      <c r="AF112" s="6">
        <v>0</v>
      </c>
      <c r="AG112" s="6">
        <v>0</v>
      </c>
      <c r="AH112" s="6">
        <v>0</v>
      </c>
      <c r="AI112" s="6" t="s">
        <v>645</v>
      </c>
      <c r="AJ112" s="6" t="s">
        <v>259</v>
      </c>
      <c r="AK112" s="6" t="s">
        <v>14</v>
      </c>
      <c r="AL112" s="6" t="s">
        <v>50</v>
      </c>
      <c r="AM112" s="6" t="s">
        <v>260</v>
      </c>
      <c r="AN112" s="6" t="s">
        <v>20</v>
      </c>
      <c r="AO112" s="6" t="s">
        <v>250</v>
      </c>
      <c r="AP112" s="6" t="s">
        <v>251</v>
      </c>
      <c r="AQ112" s="6" t="s">
        <v>18</v>
      </c>
    </row>
    <row r="113" spans="1:43" x14ac:dyDescent="0.25">
      <c r="A113" s="6">
        <v>22731108</v>
      </c>
      <c r="B113" s="6">
        <v>23528597</v>
      </c>
      <c r="C113" s="6" t="s">
        <v>237</v>
      </c>
      <c r="D113" s="14">
        <v>45881.710023148153</v>
      </c>
      <c r="E113" s="14">
        <v>45881.713229166657</v>
      </c>
      <c r="F113" s="6" t="s">
        <v>17</v>
      </c>
      <c r="G113" s="6" t="s">
        <v>17</v>
      </c>
      <c r="H113" s="6" t="s">
        <v>647</v>
      </c>
      <c r="I113" s="6" t="s">
        <v>14</v>
      </c>
      <c r="J113" s="6" t="s">
        <v>648</v>
      </c>
      <c r="K113" s="6" t="s">
        <v>649</v>
      </c>
      <c r="L113" s="6" t="s">
        <v>649</v>
      </c>
      <c r="M113" s="14">
        <v>45881.559027777781</v>
      </c>
      <c r="N113" s="6">
        <v>17269714</v>
      </c>
      <c r="O113" s="6" t="s">
        <v>83</v>
      </c>
      <c r="P113" s="6" t="s">
        <v>272</v>
      </c>
      <c r="Q113" s="6" t="s">
        <v>243</v>
      </c>
      <c r="R113" s="6" t="s">
        <v>244</v>
      </c>
      <c r="S113" s="6" t="s">
        <v>3</v>
      </c>
      <c r="T113" s="6" t="s">
        <v>245</v>
      </c>
      <c r="U113" s="6" t="s">
        <v>133</v>
      </c>
      <c r="V113" s="6" t="s">
        <v>650</v>
      </c>
      <c r="W113" s="6" t="s">
        <v>83</v>
      </c>
      <c r="X113" s="6" t="s">
        <v>83</v>
      </c>
      <c r="Y113" s="6" t="s">
        <v>83</v>
      </c>
      <c r="Z113" s="6" t="s">
        <v>73</v>
      </c>
      <c r="AA113" s="6" t="s">
        <v>83</v>
      </c>
      <c r="AB113" s="6">
        <v>480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H113" s="6">
        <v>0</v>
      </c>
      <c r="AI113" s="6" t="s">
        <v>651</v>
      </c>
      <c r="AJ113" s="6" t="s">
        <v>259</v>
      </c>
      <c r="AK113" s="6" t="s">
        <v>14</v>
      </c>
      <c r="AL113" s="6" t="s">
        <v>50</v>
      </c>
      <c r="AM113" s="6" t="s">
        <v>260</v>
      </c>
      <c r="AN113" s="6" t="s">
        <v>20</v>
      </c>
      <c r="AO113" s="6" t="s">
        <v>250</v>
      </c>
      <c r="AP113" s="6" t="s">
        <v>251</v>
      </c>
      <c r="AQ113" s="6" t="s">
        <v>18</v>
      </c>
    </row>
    <row r="114" spans="1:43" x14ac:dyDescent="0.25">
      <c r="A114" s="6">
        <v>22730195</v>
      </c>
      <c r="B114" s="6">
        <v>23527713</v>
      </c>
      <c r="C114" s="6" t="s">
        <v>237</v>
      </c>
      <c r="D114" s="14">
        <v>45881.58452546296</v>
      </c>
      <c r="E114" s="14">
        <v>45881.58803240741</v>
      </c>
      <c r="F114" s="6" t="s">
        <v>17</v>
      </c>
      <c r="G114" s="6" t="s">
        <v>17</v>
      </c>
      <c r="H114" s="6" t="s">
        <v>652</v>
      </c>
      <c r="I114" s="6" t="s">
        <v>14</v>
      </c>
      <c r="J114" s="6" t="s">
        <v>653</v>
      </c>
      <c r="K114" s="6" t="s">
        <v>649</v>
      </c>
      <c r="L114" s="6" t="s">
        <v>649</v>
      </c>
      <c r="M114" s="14">
        <v>45880.707638888889</v>
      </c>
      <c r="N114" s="6">
        <v>17262512</v>
      </c>
      <c r="O114" s="6" t="s">
        <v>83</v>
      </c>
      <c r="P114" s="6" t="s">
        <v>272</v>
      </c>
      <c r="Q114" s="6" t="s">
        <v>243</v>
      </c>
      <c r="R114" s="6" t="s">
        <v>244</v>
      </c>
      <c r="S114" s="6" t="s">
        <v>3</v>
      </c>
      <c r="T114" s="6" t="s">
        <v>245</v>
      </c>
      <c r="U114" s="6" t="s">
        <v>133</v>
      </c>
      <c r="V114" s="6" t="s">
        <v>650</v>
      </c>
      <c r="W114" s="6" t="s">
        <v>83</v>
      </c>
      <c r="X114" s="6" t="s">
        <v>83</v>
      </c>
      <c r="Y114" s="6" t="s">
        <v>83</v>
      </c>
      <c r="Z114" s="6" t="s">
        <v>73</v>
      </c>
      <c r="AA114" s="6" t="s">
        <v>83</v>
      </c>
      <c r="AB114" s="6">
        <v>161.99</v>
      </c>
      <c r="AC114" s="6">
        <v>29.15</v>
      </c>
      <c r="AD114" s="6">
        <v>10.95</v>
      </c>
      <c r="AE114" s="6">
        <v>0</v>
      </c>
      <c r="AF114" s="6">
        <v>0</v>
      </c>
      <c r="AG114" s="6">
        <v>0</v>
      </c>
      <c r="AH114" s="6">
        <v>0</v>
      </c>
      <c r="AI114" s="6" t="s">
        <v>654</v>
      </c>
      <c r="AJ114" s="6" t="s">
        <v>259</v>
      </c>
      <c r="AK114" s="6" t="s">
        <v>14</v>
      </c>
      <c r="AL114" s="6" t="s">
        <v>50</v>
      </c>
      <c r="AM114" s="6" t="s">
        <v>260</v>
      </c>
      <c r="AN114" s="6" t="s">
        <v>20</v>
      </c>
      <c r="AO114" s="6" t="s">
        <v>250</v>
      </c>
      <c r="AP114" s="6" t="s">
        <v>251</v>
      </c>
      <c r="AQ114" s="6" t="s">
        <v>18</v>
      </c>
    </row>
    <row r="115" spans="1:43" x14ac:dyDescent="0.25">
      <c r="A115" s="6">
        <v>22730196</v>
      </c>
      <c r="B115" s="6">
        <v>23527714</v>
      </c>
      <c r="C115" s="6" t="s">
        <v>237</v>
      </c>
      <c r="D115" s="14">
        <v>45881.584548611107</v>
      </c>
      <c r="E115" s="14">
        <v>45881.588043981479</v>
      </c>
      <c r="F115" s="6" t="s">
        <v>17</v>
      </c>
      <c r="G115" s="6" t="s">
        <v>17</v>
      </c>
      <c r="H115" s="6" t="s">
        <v>655</v>
      </c>
      <c r="I115" s="6" t="s">
        <v>14</v>
      </c>
      <c r="J115" s="6" t="s">
        <v>653</v>
      </c>
      <c r="K115" s="6" t="s">
        <v>649</v>
      </c>
      <c r="L115" s="6" t="s">
        <v>649</v>
      </c>
      <c r="M115" s="14">
        <v>45880.700694444437</v>
      </c>
      <c r="N115" s="6">
        <v>17262512</v>
      </c>
      <c r="O115" s="6" t="s">
        <v>83</v>
      </c>
      <c r="P115" s="6" t="s">
        <v>272</v>
      </c>
      <c r="Q115" s="6" t="s">
        <v>243</v>
      </c>
      <c r="R115" s="6" t="s">
        <v>244</v>
      </c>
      <c r="S115" s="6" t="s">
        <v>3</v>
      </c>
      <c r="T115" s="6" t="s">
        <v>245</v>
      </c>
      <c r="U115" s="6" t="s">
        <v>133</v>
      </c>
      <c r="V115" s="6" t="s">
        <v>650</v>
      </c>
      <c r="W115" s="6" t="s">
        <v>83</v>
      </c>
      <c r="X115" s="6" t="s">
        <v>83</v>
      </c>
      <c r="Y115" s="6" t="s">
        <v>83</v>
      </c>
      <c r="Z115" s="6" t="s">
        <v>73</v>
      </c>
      <c r="AA115" s="6" t="s">
        <v>83</v>
      </c>
      <c r="AB115" s="6">
        <v>139.29</v>
      </c>
      <c r="AC115" s="6">
        <v>25.07</v>
      </c>
      <c r="AD115" s="6">
        <v>9.9499999999999993</v>
      </c>
      <c r="AE115" s="6">
        <v>0</v>
      </c>
      <c r="AF115" s="6">
        <v>0</v>
      </c>
      <c r="AG115" s="6">
        <v>0</v>
      </c>
      <c r="AH115" s="6">
        <v>0</v>
      </c>
      <c r="AI115" s="6" t="s">
        <v>654</v>
      </c>
      <c r="AJ115" s="6" t="s">
        <v>259</v>
      </c>
      <c r="AK115" s="6" t="s">
        <v>14</v>
      </c>
      <c r="AL115" s="6" t="s">
        <v>50</v>
      </c>
      <c r="AM115" s="6" t="s">
        <v>260</v>
      </c>
      <c r="AN115" s="6" t="s">
        <v>20</v>
      </c>
      <c r="AO115" s="6" t="s">
        <v>250</v>
      </c>
      <c r="AP115" s="6" t="s">
        <v>251</v>
      </c>
      <c r="AQ115" s="6" t="s">
        <v>18</v>
      </c>
    </row>
    <row r="116" spans="1:43" x14ac:dyDescent="0.25">
      <c r="A116" s="6">
        <v>22729095</v>
      </c>
      <c r="B116" s="6">
        <v>23526657</v>
      </c>
      <c r="C116" s="6" t="s">
        <v>237</v>
      </c>
      <c r="D116" s="14">
        <v>45881.500983796293</v>
      </c>
      <c r="E116" s="14">
        <v>45881.50440972222</v>
      </c>
      <c r="F116" s="6" t="s">
        <v>17</v>
      </c>
      <c r="G116" s="6" t="s">
        <v>17</v>
      </c>
      <c r="H116" s="6" t="s">
        <v>656</v>
      </c>
      <c r="I116" s="6" t="s">
        <v>14</v>
      </c>
      <c r="J116" s="6" t="s">
        <v>657</v>
      </c>
      <c r="K116" s="6" t="s">
        <v>649</v>
      </c>
      <c r="L116" s="6" t="s">
        <v>649</v>
      </c>
      <c r="M116" s="14">
        <v>45881</v>
      </c>
      <c r="N116" s="6">
        <v>17244126</v>
      </c>
      <c r="O116" s="6" t="s">
        <v>83</v>
      </c>
      <c r="P116" s="6" t="s">
        <v>242</v>
      </c>
      <c r="Q116" s="6" t="s">
        <v>243</v>
      </c>
      <c r="R116" s="6" t="s">
        <v>244</v>
      </c>
      <c r="S116" s="6" t="s">
        <v>9</v>
      </c>
      <c r="T116" s="6" t="s">
        <v>245</v>
      </c>
      <c r="U116" s="6" t="s">
        <v>133</v>
      </c>
      <c r="V116" s="6" t="s">
        <v>650</v>
      </c>
      <c r="W116" s="6" t="s">
        <v>83</v>
      </c>
      <c r="X116" s="6" t="s">
        <v>83</v>
      </c>
      <c r="Y116" s="6" t="s">
        <v>83</v>
      </c>
      <c r="Z116" s="6" t="s">
        <v>73</v>
      </c>
      <c r="AA116" s="6" t="s">
        <v>83</v>
      </c>
      <c r="AB116" s="6">
        <v>8335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 t="s">
        <v>658</v>
      </c>
      <c r="AJ116" s="6" t="s">
        <v>259</v>
      </c>
      <c r="AK116" s="6" t="s">
        <v>14</v>
      </c>
      <c r="AL116" s="6" t="s">
        <v>50</v>
      </c>
      <c r="AM116" s="6" t="s">
        <v>260</v>
      </c>
      <c r="AN116" s="6" t="s">
        <v>20</v>
      </c>
      <c r="AO116" s="6" t="s">
        <v>250</v>
      </c>
      <c r="AP116" s="6" t="s">
        <v>251</v>
      </c>
      <c r="AQ116" s="6" t="s">
        <v>18</v>
      </c>
    </row>
    <row r="117" spans="1:43" x14ac:dyDescent="0.25">
      <c r="A117" s="6">
        <v>22724128</v>
      </c>
      <c r="B117" s="6">
        <v>23522378</v>
      </c>
      <c r="C117" s="6" t="s">
        <v>237</v>
      </c>
      <c r="D117" s="14">
        <v>45880.75072916667</v>
      </c>
      <c r="E117" s="14">
        <v>45880.754791666674</v>
      </c>
      <c r="F117" s="6" t="s">
        <v>17</v>
      </c>
      <c r="G117" s="6" t="s">
        <v>17</v>
      </c>
      <c r="H117" s="6" t="s">
        <v>659</v>
      </c>
      <c r="I117" s="6" t="s">
        <v>14</v>
      </c>
      <c r="J117" s="6" t="s">
        <v>660</v>
      </c>
      <c r="K117" s="6" t="s">
        <v>649</v>
      </c>
      <c r="L117" s="6" t="s">
        <v>649</v>
      </c>
      <c r="M117" s="14">
        <v>45880</v>
      </c>
      <c r="N117" s="6">
        <v>17222446</v>
      </c>
      <c r="O117" s="6" t="s">
        <v>83</v>
      </c>
      <c r="P117" s="6" t="s">
        <v>242</v>
      </c>
      <c r="Q117" s="6" t="s">
        <v>243</v>
      </c>
      <c r="R117" s="6" t="s">
        <v>244</v>
      </c>
      <c r="S117" s="6" t="s">
        <v>9</v>
      </c>
      <c r="T117" s="6" t="s">
        <v>245</v>
      </c>
      <c r="U117" s="6" t="s">
        <v>133</v>
      </c>
      <c r="V117" s="6" t="s">
        <v>650</v>
      </c>
      <c r="W117" s="6" t="s">
        <v>83</v>
      </c>
      <c r="X117" s="6" t="s">
        <v>83</v>
      </c>
      <c r="Y117" s="6" t="s">
        <v>83</v>
      </c>
      <c r="Z117" s="6" t="s">
        <v>73</v>
      </c>
      <c r="AA117" s="6" t="s">
        <v>83</v>
      </c>
      <c r="AB117" s="6">
        <v>3252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 t="s">
        <v>661</v>
      </c>
      <c r="AJ117" s="6" t="s">
        <v>259</v>
      </c>
      <c r="AK117" s="6" t="s">
        <v>14</v>
      </c>
      <c r="AL117" s="6" t="s">
        <v>50</v>
      </c>
      <c r="AM117" s="6" t="s">
        <v>260</v>
      </c>
      <c r="AN117" s="6" t="s">
        <v>20</v>
      </c>
      <c r="AO117" s="6" t="s">
        <v>250</v>
      </c>
      <c r="AP117" s="6" t="s">
        <v>251</v>
      </c>
      <c r="AQ117" s="6" t="s">
        <v>18</v>
      </c>
    </row>
    <row r="118" spans="1:43" x14ac:dyDescent="0.25">
      <c r="A118" s="6">
        <v>22724136</v>
      </c>
      <c r="B118" s="6">
        <v>23522388</v>
      </c>
      <c r="C118" s="6" t="s">
        <v>237</v>
      </c>
      <c r="D118" s="14">
        <v>45880.751145833332</v>
      </c>
      <c r="E118" s="14">
        <v>45880.754953703698</v>
      </c>
      <c r="F118" s="6" t="s">
        <v>17</v>
      </c>
      <c r="G118" s="6" t="s">
        <v>17</v>
      </c>
      <c r="H118" s="6" t="s">
        <v>662</v>
      </c>
      <c r="I118" s="6" t="s">
        <v>14</v>
      </c>
      <c r="J118" s="6" t="s">
        <v>663</v>
      </c>
      <c r="K118" s="6" t="s">
        <v>649</v>
      </c>
      <c r="L118" s="6" t="s">
        <v>649</v>
      </c>
      <c r="M118" s="14">
        <v>45880</v>
      </c>
      <c r="N118" s="6">
        <v>17244115</v>
      </c>
      <c r="O118" s="6" t="s">
        <v>83</v>
      </c>
      <c r="P118" s="6" t="s">
        <v>242</v>
      </c>
      <c r="Q118" s="6" t="s">
        <v>243</v>
      </c>
      <c r="R118" s="6" t="s">
        <v>244</v>
      </c>
      <c r="S118" s="6" t="s">
        <v>9</v>
      </c>
      <c r="T118" s="6" t="s">
        <v>245</v>
      </c>
      <c r="U118" s="6" t="s">
        <v>133</v>
      </c>
      <c r="V118" s="6" t="s">
        <v>650</v>
      </c>
      <c r="W118" s="6" t="s">
        <v>83</v>
      </c>
      <c r="X118" s="6" t="s">
        <v>83</v>
      </c>
      <c r="Y118" s="6" t="s">
        <v>83</v>
      </c>
      <c r="Z118" s="6" t="s">
        <v>73</v>
      </c>
      <c r="AA118" s="6" t="s">
        <v>83</v>
      </c>
      <c r="AB118" s="6">
        <v>8335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 t="s">
        <v>664</v>
      </c>
      <c r="AJ118" s="6" t="s">
        <v>259</v>
      </c>
      <c r="AK118" s="6" t="s">
        <v>14</v>
      </c>
      <c r="AL118" s="6" t="s">
        <v>50</v>
      </c>
      <c r="AM118" s="6" t="s">
        <v>260</v>
      </c>
      <c r="AN118" s="6" t="s">
        <v>20</v>
      </c>
      <c r="AO118" s="6" t="s">
        <v>250</v>
      </c>
      <c r="AP118" s="6" t="s">
        <v>251</v>
      </c>
      <c r="AQ118" s="6" t="s">
        <v>18</v>
      </c>
    </row>
    <row r="119" spans="1:43" x14ac:dyDescent="0.25">
      <c r="A119" s="6">
        <v>22724176</v>
      </c>
      <c r="B119" s="6">
        <v>23522425</v>
      </c>
      <c r="C119" s="6" t="s">
        <v>237</v>
      </c>
      <c r="D119" s="14">
        <v>45880.752187500002</v>
      </c>
      <c r="E119" s="14">
        <v>45880.755069444444</v>
      </c>
      <c r="F119" s="6" t="s">
        <v>17</v>
      </c>
      <c r="G119" s="6" t="s">
        <v>17</v>
      </c>
      <c r="H119" s="6" t="s">
        <v>665</v>
      </c>
      <c r="I119" s="6" t="s">
        <v>14</v>
      </c>
      <c r="J119" s="6" t="s">
        <v>666</v>
      </c>
      <c r="K119" s="6" t="s">
        <v>667</v>
      </c>
      <c r="L119" s="6" t="s">
        <v>667</v>
      </c>
      <c r="M119" s="14">
        <v>45880</v>
      </c>
      <c r="N119" s="6">
        <v>17260897</v>
      </c>
      <c r="O119" s="6" t="s">
        <v>83</v>
      </c>
      <c r="P119" s="6" t="s">
        <v>242</v>
      </c>
      <c r="Q119" s="6" t="s">
        <v>243</v>
      </c>
      <c r="R119" s="6" t="s">
        <v>244</v>
      </c>
      <c r="S119" s="6" t="s">
        <v>9</v>
      </c>
      <c r="T119" s="6" t="s">
        <v>245</v>
      </c>
      <c r="U119" s="6" t="s">
        <v>133</v>
      </c>
      <c r="V119" s="6" t="s">
        <v>650</v>
      </c>
      <c r="W119" s="6" t="s">
        <v>83</v>
      </c>
      <c r="X119" s="6" t="s">
        <v>83</v>
      </c>
      <c r="Y119" s="6" t="s">
        <v>83</v>
      </c>
      <c r="Z119" s="6" t="s">
        <v>73</v>
      </c>
      <c r="AA119" s="6" t="s">
        <v>83</v>
      </c>
      <c r="AB119" s="6">
        <v>12629.1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>
        <v>0</v>
      </c>
      <c r="AI119" s="6" t="s">
        <v>668</v>
      </c>
      <c r="AJ119" s="6" t="s">
        <v>259</v>
      </c>
      <c r="AK119" s="6" t="s">
        <v>14</v>
      </c>
      <c r="AL119" s="6" t="s">
        <v>50</v>
      </c>
      <c r="AM119" s="6" t="s">
        <v>260</v>
      </c>
      <c r="AN119" s="6" t="s">
        <v>20</v>
      </c>
      <c r="AO119" s="6" t="s">
        <v>250</v>
      </c>
      <c r="AP119" s="6" t="s">
        <v>251</v>
      </c>
      <c r="AQ119" s="6" t="s">
        <v>18</v>
      </c>
    </row>
    <row r="120" spans="1:43" x14ac:dyDescent="0.25">
      <c r="A120" s="6">
        <v>22731109</v>
      </c>
      <c r="B120" s="6">
        <v>23528598</v>
      </c>
      <c r="C120" s="6" t="s">
        <v>237</v>
      </c>
      <c r="D120" s="14">
        <v>45881.710034722222</v>
      </c>
      <c r="E120" s="14">
        <v>45881.713240740741</v>
      </c>
      <c r="F120" s="6" t="s">
        <v>17</v>
      </c>
      <c r="G120" s="6" t="s">
        <v>17</v>
      </c>
      <c r="H120" s="6" t="s">
        <v>669</v>
      </c>
      <c r="I120" s="6" t="s">
        <v>14</v>
      </c>
      <c r="J120" s="6" t="s">
        <v>670</v>
      </c>
      <c r="K120" s="6" t="s">
        <v>667</v>
      </c>
      <c r="L120" s="6" t="s">
        <v>667</v>
      </c>
      <c r="M120" s="14">
        <v>45881.604861111111</v>
      </c>
      <c r="N120" s="6">
        <v>17270685</v>
      </c>
      <c r="O120" s="6" t="s">
        <v>83</v>
      </c>
      <c r="P120" s="6" t="s">
        <v>272</v>
      </c>
      <c r="Q120" s="6" t="s">
        <v>243</v>
      </c>
      <c r="R120" s="6" t="s">
        <v>244</v>
      </c>
      <c r="S120" s="6" t="s">
        <v>3</v>
      </c>
      <c r="T120" s="6" t="s">
        <v>245</v>
      </c>
      <c r="U120" s="6" t="s">
        <v>133</v>
      </c>
      <c r="V120" s="6" t="s">
        <v>650</v>
      </c>
      <c r="W120" s="6" t="s">
        <v>83</v>
      </c>
      <c r="X120" s="6" t="s">
        <v>83</v>
      </c>
      <c r="Y120" s="6" t="s">
        <v>83</v>
      </c>
      <c r="Z120" s="6" t="s">
        <v>73</v>
      </c>
      <c r="AA120" s="6" t="s">
        <v>83</v>
      </c>
      <c r="AB120" s="6">
        <v>225.96</v>
      </c>
      <c r="AC120" s="6">
        <v>40.67</v>
      </c>
      <c r="AD120" s="6">
        <v>9.9499999999999993</v>
      </c>
      <c r="AE120" s="6">
        <v>0</v>
      </c>
      <c r="AF120" s="6">
        <v>0</v>
      </c>
      <c r="AG120" s="6">
        <v>0</v>
      </c>
      <c r="AH120" s="6">
        <v>0</v>
      </c>
      <c r="AI120" s="6" t="s">
        <v>671</v>
      </c>
      <c r="AJ120" s="6" t="s">
        <v>259</v>
      </c>
      <c r="AK120" s="6" t="s">
        <v>14</v>
      </c>
      <c r="AL120" s="6" t="s">
        <v>50</v>
      </c>
      <c r="AM120" s="6" t="s">
        <v>260</v>
      </c>
      <c r="AN120" s="6" t="s">
        <v>20</v>
      </c>
      <c r="AO120" s="6" t="s">
        <v>250</v>
      </c>
      <c r="AP120" s="6" t="s">
        <v>251</v>
      </c>
      <c r="AQ120" s="6" t="s">
        <v>18</v>
      </c>
    </row>
    <row r="121" spans="1:43" x14ac:dyDescent="0.25">
      <c r="A121" s="6">
        <v>22728498</v>
      </c>
      <c r="B121" s="6">
        <v>23526077</v>
      </c>
      <c r="C121" s="6" t="s">
        <v>237</v>
      </c>
      <c r="D121" s="14">
        <v>45881.418946759259</v>
      </c>
      <c r="E121" s="14">
        <v>45881.421805555547</v>
      </c>
      <c r="F121" s="6" t="s">
        <v>17</v>
      </c>
      <c r="G121" s="6" t="s">
        <v>17</v>
      </c>
      <c r="H121" s="6" t="s">
        <v>672</v>
      </c>
      <c r="I121" s="6" t="s">
        <v>14</v>
      </c>
      <c r="J121" s="6" t="s">
        <v>673</v>
      </c>
      <c r="K121" s="6" t="s">
        <v>667</v>
      </c>
      <c r="L121" s="6" t="s">
        <v>667</v>
      </c>
      <c r="M121" s="14">
        <v>45880.585416666669</v>
      </c>
      <c r="N121" s="6">
        <v>17258829</v>
      </c>
      <c r="O121" s="6" t="s">
        <v>83</v>
      </c>
      <c r="P121" s="6" t="s">
        <v>272</v>
      </c>
      <c r="Q121" s="6" t="s">
        <v>243</v>
      </c>
      <c r="R121" s="6" t="s">
        <v>244</v>
      </c>
      <c r="S121" s="6" t="s">
        <v>3</v>
      </c>
      <c r="T121" s="6" t="s">
        <v>245</v>
      </c>
      <c r="U121" s="6" t="s">
        <v>133</v>
      </c>
      <c r="V121" s="6" t="s">
        <v>650</v>
      </c>
      <c r="W121" s="6" t="s">
        <v>83</v>
      </c>
      <c r="X121" s="6" t="s">
        <v>83</v>
      </c>
      <c r="Y121" s="6" t="s">
        <v>83</v>
      </c>
      <c r="Z121" s="6" t="s">
        <v>73</v>
      </c>
      <c r="AA121" s="6" t="s">
        <v>83</v>
      </c>
      <c r="AB121" s="6">
        <v>225.96</v>
      </c>
      <c r="AC121" s="6">
        <v>40.67</v>
      </c>
      <c r="AD121" s="6">
        <v>9.9499999999999993</v>
      </c>
      <c r="AE121" s="6">
        <v>0</v>
      </c>
      <c r="AF121" s="6">
        <v>0</v>
      </c>
      <c r="AG121" s="6">
        <v>0</v>
      </c>
      <c r="AH121" s="6">
        <v>0</v>
      </c>
      <c r="AI121" s="6" t="s">
        <v>674</v>
      </c>
      <c r="AJ121" s="6" t="s">
        <v>259</v>
      </c>
      <c r="AK121" s="6" t="s">
        <v>14</v>
      </c>
      <c r="AL121" s="6" t="s">
        <v>50</v>
      </c>
      <c r="AM121" s="6" t="s">
        <v>260</v>
      </c>
      <c r="AN121" s="6" t="s">
        <v>20</v>
      </c>
      <c r="AO121" s="6" t="s">
        <v>250</v>
      </c>
      <c r="AP121" s="6" t="s">
        <v>251</v>
      </c>
      <c r="AQ121" s="6" t="s">
        <v>18</v>
      </c>
    </row>
    <row r="122" spans="1:43" x14ac:dyDescent="0.25">
      <c r="A122" s="6">
        <v>22728499</v>
      </c>
      <c r="B122" s="6">
        <v>23526078</v>
      </c>
      <c r="C122" s="6" t="s">
        <v>237</v>
      </c>
      <c r="D122" s="14">
        <v>45881.418958333343</v>
      </c>
      <c r="E122" s="14">
        <v>45881.421805555547</v>
      </c>
      <c r="F122" s="6" t="s">
        <v>17</v>
      </c>
      <c r="G122" s="6" t="s">
        <v>17</v>
      </c>
      <c r="H122" s="6" t="s">
        <v>675</v>
      </c>
      <c r="I122" s="6" t="s">
        <v>14</v>
      </c>
      <c r="J122" s="6" t="s">
        <v>673</v>
      </c>
      <c r="K122" s="6" t="s">
        <v>667</v>
      </c>
      <c r="L122" s="6" t="s">
        <v>667</v>
      </c>
      <c r="M122" s="14">
        <v>45880.586111111108</v>
      </c>
      <c r="N122" s="6">
        <v>17258829</v>
      </c>
      <c r="O122" s="6" t="s">
        <v>83</v>
      </c>
      <c r="P122" s="6" t="s">
        <v>272</v>
      </c>
      <c r="Q122" s="6" t="s">
        <v>243</v>
      </c>
      <c r="R122" s="6" t="s">
        <v>244</v>
      </c>
      <c r="S122" s="6" t="s">
        <v>3</v>
      </c>
      <c r="T122" s="6" t="s">
        <v>245</v>
      </c>
      <c r="U122" s="6" t="s">
        <v>133</v>
      </c>
      <c r="V122" s="6" t="s">
        <v>650</v>
      </c>
      <c r="W122" s="6" t="s">
        <v>83</v>
      </c>
      <c r="X122" s="6" t="s">
        <v>83</v>
      </c>
      <c r="Y122" s="6" t="s">
        <v>83</v>
      </c>
      <c r="Z122" s="6" t="s">
        <v>73</v>
      </c>
      <c r="AA122" s="6" t="s">
        <v>83</v>
      </c>
      <c r="AB122" s="6">
        <v>225.95</v>
      </c>
      <c r="AC122" s="6">
        <v>40.67</v>
      </c>
      <c r="AD122" s="6">
        <v>9.9499999999999993</v>
      </c>
      <c r="AE122" s="6">
        <v>0</v>
      </c>
      <c r="AF122" s="6">
        <v>0</v>
      </c>
      <c r="AG122" s="6">
        <v>0</v>
      </c>
      <c r="AH122" s="6">
        <v>0</v>
      </c>
      <c r="AI122" s="6" t="s">
        <v>674</v>
      </c>
      <c r="AJ122" s="6" t="s">
        <v>259</v>
      </c>
      <c r="AK122" s="6" t="s">
        <v>14</v>
      </c>
      <c r="AL122" s="6" t="s">
        <v>50</v>
      </c>
      <c r="AM122" s="6" t="s">
        <v>260</v>
      </c>
      <c r="AN122" s="6" t="s">
        <v>20</v>
      </c>
      <c r="AO122" s="6" t="s">
        <v>250</v>
      </c>
      <c r="AP122" s="6" t="s">
        <v>251</v>
      </c>
      <c r="AQ122" s="6" t="s">
        <v>18</v>
      </c>
    </row>
    <row r="123" spans="1:43" x14ac:dyDescent="0.25">
      <c r="A123" s="6">
        <v>22728500</v>
      </c>
      <c r="B123" s="6">
        <v>23526080</v>
      </c>
      <c r="C123" s="6" t="s">
        <v>237</v>
      </c>
      <c r="D123" s="14">
        <v>45881.419108796297</v>
      </c>
      <c r="E123" s="14">
        <v>45881.425474537027</v>
      </c>
      <c r="F123" s="6" t="s">
        <v>17</v>
      </c>
      <c r="G123" s="6" t="s">
        <v>17</v>
      </c>
      <c r="H123" s="6" t="s">
        <v>676</v>
      </c>
      <c r="I123" s="6" t="s">
        <v>14</v>
      </c>
      <c r="J123" s="6" t="s">
        <v>677</v>
      </c>
      <c r="K123" s="6" t="s">
        <v>678</v>
      </c>
      <c r="L123" s="6" t="s">
        <v>678</v>
      </c>
      <c r="M123" s="14">
        <v>45881</v>
      </c>
      <c r="N123" s="6">
        <v>17259517</v>
      </c>
      <c r="O123" s="6" t="s">
        <v>83</v>
      </c>
      <c r="P123" s="6" t="s">
        <v>242</v>
      </c>
      <c r="Q123" s="6" t="s">
        <v>256</v>
      </c>
      <c r="R123" s="6" t="s">
        <v>256</v>
      </c>
      <c r="S123" s="6" t="s">
        <v>9</v>
      </c>
      <c r="T123" s="6" t="s">
        <v>245</v>
      </c>
      <c r="U123" s="6" t="s">
        <v>133</v>
      </c>
      <c r="V123" s="6" t="s">
        <v>650</v>
      </c>
      <c r="W123" s="6" t="s">
        <v>83</v>
      </c>
      <c r="X123" s="6" t="s">
        <v>83</v>
      </c>
      <c r="Y123" s="6" t="s">
        <v>83</v>
      </c>
      <c r="Z123" s="6" t="s">
        <v>73</v>
      </c>
      <c r="AA123" s="6" t="s">
        <v>83</v>
      </c>
      <c r="AB123" s="6">
        <v>4779.8999999999996</v>
      </c>
      <c r="AC123" s="6">
        <v>0</v>
      </c>
      <c r="AD123" s="6">
        <v>0</v>
      </c>
      <c r="AE123" s="6">
        <v>0</v>
      </c>
      <c r="AF123" s="6">
        <v>0</v>
      </c>
      <c r="AG123" s="6">
        <v>0</v>
      </c>
      <c r="AH123" s="6">
        <v>0</v>
      </c>
      <c r="AI123" s="6" t="s">
        <v>679</v>
      </c>
      <c r="AJ123" s="6" t="s">
        <v>259</v>
      </c>
      <c r="AK123" s="6" t="s">
        <v>14</v>
      </c>
      <c r="AL123" s="6" t="s">
        <v>50</v>
      </c>
      <c r="AM123" s="6" t="s">
        <v>260</v>
      </c>
      <c r="AN123" s="6" t="s">
        <v>20</v>
      </c>
      <c r="AO123" s="6" t="s">
        <v>250</v>
      </c>
      <c r="AP123" s="6" t="s">
        <v>251</v>
      </c>
      <c r="AQ123" s="6" t="s">
        <v>18</v>
      </c>
    </row>
    <row r="124" spans="1:43" x14ac:dyDescent="0.25">
      <c r="A124" s="6">
        <v>22730740</v>
      </c>
      <c r="B124" s="6">
        <v>23528232</v>
      </c>
      <c r="C124" s="6" t="s">
        <v>237</v>
      </c>
      <c r="D124" s="14">
        <v>45881.667314814818</v>
      </c>
      <c r="E124" s="14">
        <v>45881.667349537027</v>
      </c>
      <c r="F124" s="6" t="s">
        <v>17</v>
      </c>
      <c r="G124" s="6" t="s">
        <v>17</v>
      </c>
      <c r="H124" s="6" t="s">
        <v>680</v>
      </c>
      <c r="I124" s="6" t="s">
        <v>14</v>
      </c>
      <c r="J124" s="6" t="s">
        <v>681</v>
      </c>
      <c r="K124" s="6" t="s">
        <v>678</v>
      </c>
      <c r="L124" s="6" t="s">
        <v>678</v>
      </c>
      <c r="M124" s="14">
        <v>45881</v>
      </c>
      <c r="N124" s="6">
        <v>17231468</v>
      </c>
      <c r="O124" s="6" t="s">
        <v>83</v>
      </c>
      <c r="P124" s="6" t="s">
        <v>242</v>
      </c>
      <c r="Q124" s="6" t="s">
        <v>243</v>
      </c>
      <c r="R124" s="6" t="s">
        <v>244</v>
      </c>
      <c r="S124" s="6" t="s">
        <v>9</v>
      </c>
      <c r="T124" s="6" t="s">
        <v>245</v>
      </c>
      <c r="U124" s="6" t="s">
        <v>133</v>
      </c>
      <c r="V124" s="6" t="s">
        <v>650</v>
      </c>
      <c r="W124" s="6" t="s">
        <v>83</v>
      </c>
      <c r="X124" s="6" t="s">
        <v>83</v>
      </c>
      <c r="Y124" s="6" t="s">
        <v>83</v>
      </c>
      <c r="Z124" s="6" t="s">
        <v>73</v>
      </c>
      <c r="AA124" s="6" t="s">
        <v>83</v>
      </c>
      <c r="AB124" s="6">
        <v>10428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 t="s">
        <v>682</v>
      </c>
      <c r="AJ124" s="6" t="s">
        <v>259</v>
      </c>
      <c r="AK124" s="6" t="s">
        <v>14</v>
      </c>
      <c r="AL124" s="6" t="s">
        <v>50</v>
      </c>
      <c r="AM124" s="6" t="s">
        <v>260</v>
      </c>
      <c r="AN124" s="6" t="s">
        <v>20</v>
      </c>
      <c r="AO124" s="6" t="s">
        <v>250</v>
      </c>
      <c r="AP124" s="6" t="s">
        <v>251</v>
      </c>
      <c r="AQ124" s="6" t="s">
        <v>18</v>
      </c>
    </row>
    <row r="125" spans="1:43" x14ac:dyDescent="0.25">
      <c r="A125" s="6">
        <v>22731584</v>
      </c>
      <c r="B125" s="6">
        <v>23529048</v>
      </c>
      <c r="C125" s="6" t="s">
        <v>237</v>
      </c>
      <c r="D125" s="14">
        <v>45881.753113425933</v>
      </c>
      <c r="E125" s="14">
        <v>45881.763541666667</v>
      </c>
      <c r="F125" s="6" t="s">
        <v>17</v>
      </c>
      <c r="G125" s="6" t="s">
        <v>17</v>
      </c>
      <c r="H125" s="6" t="s">
        <v>683</v>
      </c>
      <c r="I125" s="6" t="s">
        <v>14</v>
      </c>
      <c r="J125" s="6" t="s">
        <v>684</v>
      </c>
      <c r="K125" s="6" t="s">
        <v>678</v>
      </c>
      <c r="L125" s="6" t="s">
        <v>678</v>
      </c>
      <c r="M125" s="14">
        <v>45881.731249999997</v>
      </c>
      <c r="N125" s="6">
        <v>17275152</v>
      </c>
      <c r="O125" s="6" t="s">
        <v>83</v>
      </c>
      <c r="P125" s="6" t="s">
        <v>272</v>
      </c>
      <c r="Q125" s="6" t="s">
        <v>243</v>
      </c>
      <c r="R125" s="6" t="s">
        <v>244</v>
      </c>
      <c r="S125" s="6" t="s">
        <v>3</v>
      </c>
      <c r="T125" s="6" t="s">
        <v>245</v>
      </c>
      <c r="U125" s="6" t="s">
        <v>133</v>
      </c>
      <c r="V125" s="6" t="s">
        <v>650</v>
      </c>
      <c r="W125" s="6" t="s">
        <v>83</v>
      </c>
      <c r="X125" s="6" t="s">
        <v>83</v>
      </c>
      <c r="Y125" s="6" t="s">
        <v>83</v>
      </c>
      <c r="Z125" s="6" t="s">
        <v>73</v>
      </c>
      <c r="AA125" s="6" t="s">
        <v>83</v>
      </c>
      <c r="AB125" s="6">
        <v>1749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685</v>
      </c>
      <c r="AJ125" s="6" t="s">
        <v>259</v>
      </c>
      <c r="AK125" s="6" t="s">
        <v>14</v>
      </c>
      <c r="AL125" s="6" t="s">
        <v>50</v>
      </c>
      <c r="AM125" s="6" t="s">
        <v>260</v>
      </c>
      <c r="AN125" s="6" t="s">
        <v>20</v>
      </c>
      <c r="AO125" s="6" t="s">
        <v>250</v>
      </c>
      <c r="AP125" s="6" t="s">
        <v>251</v>
      </c>
      <c r="AQ125" s="6" t="s">
        <v>18</v>
      </c>
    </row>
    <row r="126" spans="1:43" x14ac:dyDescent="0.25">
      <c r="A126" s="6">
        <v>22731585</v>
      </c>
      <c r="B126" s="6">
        <v>23529049</v>
      </c>
      <c r="C126" s="6" t="s">
        <v>237</v>
      </c>
      <c r="D126" s="14">
        <v>45881.753125000003</v>
      </c>
      <c r="E126" s="14">
        <v>45881.763553240737</v>
      </c>
      <c r="F126" s="6" t="s">
        <v>17</v>
      </c>
      <c r="G126" s="6" t="s">
        <v>17</v>
      </c>
      <c r="H126" s="6" t="s">
        <v>686</v>
      </c>
      <c r="I126" s="6" t="s">
        <v>14</v>
      </c>
      <c r="J126" s="6" t="s">
        <v>687</v>
      </c>
      <c r="K126" s="6" t="s">
        <v>678</v>
      </c>
      <c r="L126" s="6" t="s">
        <v>678</v>
      </c>
      <c r="M126" s="14">
        <v>45881.734027777777</v>
      </c>
      <c r="N126" s="6">
        <v>17275213</v>
      </c>
      <c r="O126" s="6" t="s">
        <v>83</v>
      </c>
      <c r="P126" s="6" t="s">
        <v>272</v>
      </c>
      <c r="Q126" s="6" t="s">
        <v>243</v>
      </c>
      <c r="R126" s="6" t="s">
        <v>244</v>
      </c>
      <c r="S126" s="6" t="s">
        <v>3</v>
      </c>
      <c r="T126" s="6" t="s">
        <v>245</v>
      </c>
      <c r="U126" s="6" t="s">
        <v>133</v>
      </c>
      <c r="V126" s="6" t="s">
        <v>650</v>
      </c>
      <c r="W126" s="6" t="s">
        <v>83</v>
      </c>
      <c r="X126" s="6" t="s">
        <v>83</v>
      </c>
      <c r="Y126" s="6" t="s">
        <v>83</v>
      </c>
      <c r="Z126" s="6" t="s">
        <v>73</v>
      </c>
      <c r="AA126" s="6" t="s">
        <v>83</v>
      </c>
      <c r="AB126" s="6">
        <v>1325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688</v>
      </c>
      <c r="AJ126" s="6" t="s">
        <v>259</v>
      </c>
      <c r="AK126" s="6" t="s">
        <v>14</v>
      </c>
      <c r="AL126" s="6" t="s">
        <v>50</v>
      </c>
      <c r="AM126" s="6" t="s">
        <v>260</v>
      </c>
      <c r="AN126" s="6" t="s">
        <v>20</v>
      </c>
      <c r="AO126" s="6" t="s">
        <v>250</v>
      </c>
      <c r="AP126" s="6" t="s">
        <v>251</v>
      </c>
      <c r="AQ126" s="6" t="s">
        <v>18</v>
      </c>
    </row>
    <row r="127" spans="1:43" x14ac:dyDescent="0.25">
      <c r="A127" s="6">
        <v>22731587</v>
      </c>
      <c r="B127" s="6">
        <v>23529051</v>
      </c>
      <c r="C127" s="6" t="s">
        <v>237</v>
      </c>
      <c r="D127" s="14">
        <v>45881.753148148149</v>
      </c>
      <c r="E127" s="14">
        <v>45881.763564814813</v>
      </c>
      <c r="F127" s="6" t="s">
        <v>17</v>
      </c>
      <c r="G127" s="6" t="s">
        <v>17</v>
      </c>
      <c r="H127" s="6" t="s">
        <v>689</v>
      </c>
      <c r="I127" s="6" t="s">
        <v>14</v>
      </c>
      <c r="J127" s="6" t="s">
        <v>690</v>
      </c>
      <c r="K127" s="6" t="s">
        <v>678</v>
      </c>
      <c r="L127" s="6" t="s">
        <v>678</v>
      </c>
      <c r="M127" s="14">
        <v>45881.736111111109</v>
      </c>
      <c r="N127" s="6">
        <v>17275239</v>
      </c>
      <c r="O127" s="6" t="s">
        <v>83</v>
      </c>
      <c r="P127" s="6" t="s">
        <v>272</v>
      </c>
      <c r="Q127" s="6" t="s">
        <v>243</v>
      </c>
      <c r="R127" s="6" t="s">
        <v>244</v>
      </c>
      <c r="S127" s="6" t="s">
        <v>3</v>
      </c>
      <c r="T127" s="6" t="s">
        <v>245</v>
      </c>
      <c r="U127" s="6" t="s">
        <v>133</v>
      </c>
      <c r="V127" s="6" t="s">
        <v>650</v>
      </c>
      <c r="W127" s="6" t="s">
        <v>83</v>
      </c>
      <c r="X127" s="6" t="s">
        <v>83</v>
      </c>
      <c r="Y127" s="6" t="s">
        <v>83</v>
      </c>
      <c r="Z127" s="6" t="s">
        <v>73</v>
      </c>
      <c r="AA127" s="6" t="s">
        <v>83</v>
      </c>
      <c r="AB127" s="6">
        <v>1150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691</v>
      </c>
      <c r="AJ127" s="6" t="s">
        <v>259</v>
      </c>
      <c r="AK127" s="6" t="s">
        <v>14</v>
      </c>
      <c r="AL127" s="6" t="s">
        <v>50</v>
      </c>
      <c r="AM127" s="6" t="s">
        <v>260</v>
      </c>
      <c r="AN127" s="6" t="s">
        <v>20</v>
      </c>
      <c r="AO127" s="6" t="s">
        <v>250</v>
      </c>
      <c r="AP127" s="6" t="s">
        <v>251</v>
      </c>
      <c r="AQ127" s="6" t="s">
        <v>18</v>
      </c>
    </row>
    <row r="128" spans="1:43" x14ac:dyDescent="0.25">
      <c r="A128" s="6">
        <v>22731588</v>
      </c>
      <c r="B128" s="6">
        <v>23529052</v>
      </c>
      <c r="C128" s="6" t="s">
        <v>237</v>
      </c>
      <c r="D128" s="14">
        <v>45881.753159722219</v>
      </c>
      <c r="E128" s="14">
        <v>45881.767025462963</v>
      </c>
      <c r="F128" s="6" t="s">
        <v>17</v>
      </c>
      <c r="G128" s="6" t="s">
        <v>17</v>
      </c>
      <c r="H128" s="6" t="s">
        <v>692</v>
      </c>
      <c r="I128" s="6" t="s">
        <v>14</v>
      </c>
      <c r="J128" s="6" t="s">
        <v>693</v>
      </c>
      <c r="K128" s="6" t="s">
        <v>678</v>
      </c>
      <c r="L128" s="6" t="s">
        <v>678</v>
      </c>
      <c r="M128" s="14">
        <v>45881.738194444442</v>
      </c>
      <c r="N128" s="6">
        <v>17275278</v>
      </c>
      <c r="O128" s="6" t="s">
        <v>83</v>
      </c>
      <c r="P128" s="6" t="s">
        <v>272</v>
      </c>
      <c r="Q128" s="6" t="s">
        <v>243</v>
      </c>
      <c r="R128" s="6" t="s">
        <v>244</v>
      </c>
      <c r="S128" s="6" t="s">
        <v>3</v>
      </c>
      <c r="T128" s="6" t="s">
        <v>245</v>
      </c>
      <c r="U128" s="6" t="s">
        <v>133</v>
      </c>
      <c r="V128" s="6" t="s">
        <v>650</v>
      </c>
      <c r="W128" s="6" t="s">
        <v>83</v>
      </c>
      <c r="X128" s="6" t="s">
        <v>83</v>
      </c>
      <c r="Y128" s="6" t="s">
        <v>83</v>
      </c>
      <c r="Z128" s="6" t="s">
        <v>73</v>
      </c>
      <c r="AA128" s="6" t="s">
        <v>83</v>
      </c>
      <c r="AB128" s="6">
        <v>400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 t="s">
        <v>694</v>
      </c>
      <c r="AJ128" s="6" t="s">
        <v>259</v>
      </c>
      <c r="AK128" s="6" t="s">
        <v>14</v>
      </c>
      <c r="AL128" s="6" t="s">
        <v>50</v>
      </c>
      <c r="AM128" s="6" t="s">
        <v>260</v>
      </c>
      <c r="AN128" s="6" t="s">
        <v>20</v>
      </c>
      <c r="AO128" s="6" t="s">
        <v>250</v>
      </c>
      <c r="AP128" s="6" t="s">
        <v>251</v>
      </c>
      <c r="AQ128" s="6" t="s">
        <v>18</v>
      </c>
    </row>
    <row r="129" spans="1:43" x14ac:dyDescent="0.25">
      <c r="A129" s="6">
        <v>22731589</v>
      </c>
      <c r="B129" s="6">
        <v>23529053</v>
      </c>
      <c r="C129" s="6" t="s">
        <v>237</v>
      </c>
      <c r="D129" s="14">
        <v>45881.753171296303</v>
      </c>
      <c r="E129" s="14">
        <v>45881.76703703704</v>
      </c>
      <c r="F129" s="6" t="s">
        <v>17</v>
      </c>
      <c r="G129" s="6" t="s">
        <v>17</v>
      </c>
      <c r="H129" s="6" t="s">
        <v>695</v>
      </c>
      <c r="I129" s="6" t="s">
        <v>14</v>
      </c>
      <c r="J129" s="6" t="s">
        <v>696</v>
      </c>
      <c r="K129" s="6" t="s">
        <v>678</v>
      </c>
      <c r="L129" s="6" t="s">
        <v>678</v>
      </c>
      <c r="M129" s="14">
        <v>45881.739583333343</v>
      </c>
      <c r="N129" s="6">
        <v>17275319</v>
      </c>
      <c r="O129" s="6" t="s">
        <v>83</v>
      </c>
      <c r="P129" s="6" t="s">
        <v>272</v>
      </c>
      <c r="Q129" s="6" t="s">
        <v>243</v>
      </c>
      <c r="R129" s="6" t="s">
        <v>244</v>
      </c>
      <c r="S129" s="6" t="s">
        <v>3</v>
      </c>
      <c r="T129" s="6" t="s">
        <v>245</v>
      </c>
      <c r="U129" s="6" t="s">
        <v>133</v>
      </c>
      <c r="V129" s="6" t="s">
        <v>650</v>
      </c>
      <c r="W129" s="6" t="s">
        <v>83</v>
      </c>
      <c r="X129" s="6" t="s">
        <v>83</v>
      </c>
      <c r="Y129" s="6" t="s">
        <v>83</v>
      </c>
      <c r="Z129" s="6" t="s">
        <v>73</v>
      </c>
      <c r="AA129" s="6" t="s">
        <v>83</v>
      </c>
      <c r="AB129" s="6">
        <v>1692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 t="s">
        <v>697</v>
      </c>
      <c r="AJ129" s="6" t="s">
        <v>259</v>
      </c>
      <c r="AK129" s="6" t="s">
        <v>14</v>
      </c>
      <c r="AL129" s="6" t="s">
        <v>50</v>
      </c>
      <c r="AM129" s="6" t="s">
        <v>260</v>
      </c>
      <c r="AN129" s="6" t="s">
        <v>20</v>
      </c>
      <c r="AO129" s="6" t="s">
        <v>250</v>
      </c>
      <c r="AP129" s="6" t="s">
        <v>251</v>
      </c>
      <c r="AQ129" s="6" t="s">
        <v>18</v>
      </c>
    </row>
    <row r="130" spans="1:43" x14ac:dyDescent="0.25">
      <c r="A130" s="6">
        <v>22724161</v>
      </c>
      <c r="B130" s="6">
        <v>23522412</v>
      </c>
      <c r="C130" s="6" t="s">
        <v>237</v>
      </c>
      <c r="D130" s="14">
        <v>45880.751863425918</v>
      </c>
      <c r="E130" s="14">
        <v>45880.754999999997</v>
      </c>
      <c r="F130" s="6" t="s">
        <v>17</v>
      </c>
      <c r="G130" s="6" t="s">
        <v>17</v>
      </c>
      <c r="H130" s="6" t="s">
        <v>698</v>
      </c>
      <c r="I130" s="6" t="s">
        <v>14</v>
      </c>
      <c r="J130" s="6" t="s">
        <v>699</v>
      </c>
      <c r="K130" s="6" t="s">
        <v>678</v>
      </c>
      <c r="L130" s="6" t="s">
        <v>678</v>
      </c>
      <c r="M130" s="14">
        <v>45880</v>
      </c>
      <c r="N130" s="6">
        <v>17259081</v>
      </c>
      <c r="O130" s="6" t="s">
        <v>83</v>
      </c>
      <c r="P130" s="6" t="s">
        <v>242</v>
      </c>
      <c r="Q130" s="6" t="s">
        <v>243</v>
      </c>
      <c r="R130" s="6" t="s">
        <v>244</v>
      </c>
      <c r="S130" s="6" t="s">
        <v>9</v>
      </c>
      <c r="T130" s="6" t="s">
        <v>245</v>
      </c>
      <c r="U130" s="6" t="s">
        <v>133</v>
      </c>
      <c r="V130" s="6" t="s">
        <v>650</v>
      </c>
      <c r="W130" s="6" t="s">
        <v>83</v>
      </c>
      <c r="X130" s="6" t="s">
        <v>83</v>
      </c>
      <c r="Y130" s="6" t="s">
        <v>83</v>
      </c>
      <c r="Z130" s="6" t="s">
        <v>73</v>
      </c>
      <c r="AA130" s="6" t="s">
        <v>83</v>
      </c>
      <c r="AB130" s="6">
        <v>1437.66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 t="s">
        <v>700</v>
      </c>
      <c r="AJ130" s="6" t="s">
        <v>259</v>
      </c>
      <c r="AK130" s="6" t="s">
        <v>14</v>
      </c>
      <c r="AL130" s="6" t="s">
        <v>50</v>
      </c>
      <c r="AM130" s="6" t="s">
        <v>260</v>
      </c>
      <c r="AN130" s="6" t="s">
        <v>20</v>
      </c>
      <c r="AO130" s="6" t="s">
        <v>250</v>
      </c>
      <c r="AP130" s="6" t="s">
        <v>251</v>
      </c>
      <c r="AQ130" s="6" t="s">
        <v>18</v>
      </c>
    </row>
    <row r="131" spans="1:43" x14ac:dyDescent="0.25">
      <c r="A131" s="6">
        <v>22720861</v>
      </c>
      <c r="B131" s="6">
        <v>23519280</v>
      </c>
      <c r="C131" s="6" t="s">
        <v>237</v>
      </c>
      <c r="D131" s="14">
        <v>45880.375775462962</v>
      </c>
      <c r="E131" s="14">
        <v>45880.379212962973</v>
      </c>
      <c r="F131" s="6" t="s">
        <v>17</v>
      </c>
      <c r="G131" s="6" t="s">
        <v>17</v>
      </c>
      <c r="H131" s="6" t="s">
        <v>701</v>
      </c>
      <c r="I131" s="6" t="s">
        <v>14</v>
      </c>
      <c r="J131" s="6" t="s">
        <v>702</v>
      </c>
      <c r="K131" s="6" t="s">
        <v>678</v>
      </c>
      <c r="L131" s="6" t="s">
        <v>678</v>
      </c>
      <c r="M131" s="14">
        <v>45880</v>
      </c>
      <c r="N131" s="6">
        <v>17221532</v>
      </c>
      <c r="O131" s="6" t="s">
        <v>83</v>
      </c>
      <c r="P131" s="6" t="s">
        <v>242</v>
      </c>
      <c r="Q131" s="6" t="s">
        <v>243</v>
      </c>
      <c r="R131" s="6" t="s">
        <v>244</v>
      </c>
      <c r="S131" s="6" t="s">
        <v>9</v>
      </c>
      <c r="T131" s="6" t="s">
        <v>245</v>
      </c>
      <c r="U131" s="6" t="s">
        <v>133</v>
      </c>
      <c r="V131" s="6" t="s">
        <v>650</v>
      </c>
      <c r="W131" s="6" t="s">
        <v>83</v>
      </c>
      <c r="X131" s="6" t="s">
        <v>83</v>
      </c>
      <c r="Y131" s="6" t="s">
        <v>83</v>
      </c>
      <c r="Z131" s="6" t="s">
        <v>73</v>
      </c>
      <c r="AA131" s="6" t="s">
        <v>83</v>
      </c>
      <c r="AB131" s="6">
        <v>40.46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 t="s">
        <v>703</v>
      </c>
      <c r="AJ131" s="6" t="s">
        <v>259</v>
      </c>
      <c r="AK131" s="6" t="s">
        <v>14</v>
      </c>
      <c r="AL131" s="6" t="s">
        <v>50</v>
      </c>
      <c r="AM131" s="6" t="s">
        <v>260</v>
      </c>
      <c r="AN131" s="6" t="s">
        <v>20</v>
      </c>
      <c r="AO131" s="6" t="s">
        <v>250</v>
      </c>
      <c r="AP131" s="6" t="s">
        <v>251</v>
      </c>
      <c r="AQ131" s="6" t="s">
        <v>18</v>
      </c>
    </row>
    <row r="132" spans="1:43" x14ac:dyDescent="0.25">
      <c r="A132" s="6">
        <v>22720868</v>
      </c>
      <c r="B132" s="6">
        <v>23519287</v>
      </c>
      <c r="C132" s="6" t="s">
        <v>237</v>
      </c>
      <c r="D132" s="14">
        <v>45880.376319444447</v>
      </c>
      <c r="E132" s="14">
        <v>45880.37945601852</v>
      </c>
      <c r="F132" s="6" t="s">
        <v>17</v>
      </c>
      <c r="G132" s="6" t="s">
        <v>17</v>
      </c>
      <c r="H132" s="6" t="s">
        <v>704</v>
      </c>
      <c r="I132" s="6" t="s">
        <v>14</v>
      </c>
      <c r="J132" s="6" t="s">
        <v>705</v>
      </c>
      <c r="K132" s="6" t="s">
        <v>678</v>
      </c>
      <c r="L132" s="6" t="s">
        <v>678</v>
      </c>
      <c r="M132" s="14">
        <v>45880</v>
      </c>
      <c r="N132" s="6">
        <v>17248713</v>
      </c>
      <c r="O132" s="6" t="s">
        <v>83</v>
      </c>
      <c r="P132" s="6" t="s">
        <v>242</v>
      </c>
      <c r="Q132" s="6" t="s">
        <v>243</v>
      </c>
      <c r="R132" s="6" t="s">
        <v>244</v>
      </c>
      <c r="S132" s="6" t="s">
        <v>9</v>
      </c>
      <c r="T132" s="6" t="s">
        <v>245</v>
      </c>
      <c r="U132" s="6" t="s">
        <v>133</v>
      </c>
      <c r="V132" s="6" t="s">
        <v>650</v>
      </c>
      <c r="W132" s="6" t="s">
        <v>83</v>
      </c>
      <c r="X132" s="6" t="s">
        <v>83</v>
      </c>
      <c r="Y132" s="6" t="s">
        <v>83</v>
      </c>
      <c r="Z132" s="6" t="s">
        <v>73</v>
      </c>
      <c r="AA132" s="6" t="s">
        <v>83</v>
      </c>
      <c r="AB132" s="6">
        <v>12053.02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 t="s">
        <v>706</v>
      </c>
      <c r="AJ132" s="6" t="s">
        <v>259</v>
      </c>
      <c r="AK132" s="6" t="s">
        <v>14</v>
      </c>
      <c r="AL132" s="6" t="s">
        <v>50</v>
      </c>
      <c r="AM132" s="6" t="s">
        <v>260</v>
      </c>
      <c r="AN132" s="6" t="s">
        <v>20</v>
      </c>
      <c r="AO132" s="6" t="s">
        <v>250</v>
      </c>
      <c r="AP132" s="6" t="s">
        <v>251</v>
      </c>
      <c r="AQ132" s="6" t="s">
        <v>18</v>
      </c>
    </row>
    <row r="133" spans="1:43" x14ac:dyDescent="0.25">
      <c r="A133" s="6">
        <v>22709980</v>
      </c>
      <c r="B133" s="6">
        <v>23511337</v>
      </c>
      <c r="C133" s="6" t="s">
        <v>237</v>
      </c>
      <c r="D133" s="14">
        <v>45877.752476851849</v>
      </c>
      <c r="E133" s="14">
        <v>45877.755277777767</v>
      </c>
      <c r="F133" s="6" t="s">
        <v>19</v>
      </c>
      <c r="G133" s="6" t="s">
        <v>19</v>
      </c>
      <c r="H133" s="6" t="s">
        <v>707</v>
      </c>
      <c r="I133" s="6" t="s">
        <v>14</v>
      </c>
      <c r="J133" s="6" t="s">
        <v>708</v>
      </c>
      <c r="K133" s="6" t="s">
        <v>678</v>
      </c>
      <c r="L133" s="6" t="s">
        <v>678</v>
      </c>
      <c r="M133" s="14">
        <v>45877</v>
      </c>
      <c r="N133" s="6">
        <v>17248123</v>
      </c>
      <c r="O133" s="6" t="s">
        <v>83</v>
      </c>
      <c r="P133" s="6" t="s">
        <v>242</v>
      </c>
      <c r="Q133" s="6" t="s">
        <v>243</v>
      </c>
      <c r="R133" s="6" t="s">
        <v>244</v>
      </c>
      <c r="S133" s="6" t="s">
        <v>9</v>
      </c>
      <c r="T133" s="6" t="s">
        <v>245</v>
      </c>
      <c r="U133" s="6" t="s">
        <v>133</v>
      </c>
      <c r="V133" s="6" t="s">
        <v>650</v>
      </c>
      <c r="W133" s="6" t="s">
        <v>83</v>
      </c>
      <c r="X133" s="6" t="s">
        <v>83</v>
      </c>
      <c r="Y133" s="6" t="s">
        <v>83</v>
      </c>
      <c r="Z133" s="6" t="s">
        <v>73</v>
      </c>
      <c r="AA133" s="6" t="s">
        <v>83</v>
      </c>
      <c r="AB133" s="6">
        <v>6433.36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 t="s">
        <v>709</v>
      </c>
      <c r="AJ133" s="6" t="s">
        <v>259</v>
      </c>
      <c r="AK133" s="6" t="s">
        <v>14</v>
      </c>
      <c r="AL133" s="6" t="s">
        <v>50</v>
      </c>
      <c r="AM133" s="6" t="s">
        <v>260</v>
      </c>
      <c r="AN133" s="6" t="s">
        <v>20</v>
      </c>
      <c r="AO133" s="6" t="s">
        <v>250</v>
      </c>
      <c r="AP133" s="6" t="s">
        <v>251</v>
      </c>
      <c r="AQ133" s="6" t="s">
        <v>18</v>
      </c>
    </row>
    <row r="134" spans="1:43" x14ac:dyDescent="0.25">
      <c r="A134" s="6">
        <v>22721448</v>
      </c>
      <c r="B134" s="6">
        <v>23519808</v>
      </c>
      <c r="C134" s="6" t="s">
        <v>237</v>
      </c>
      <c r="D134" s="14">
        <v>45880.459988425922</v>
      </c>
      <c r="E134" s="14">
        <v>45880.467013888891</v>
      </c>
      <c r="F134" s="6" t="s">
        <v>17</v>
      </c>
      <c r="G134" s="6" t="s">
        <v>17</v>
      </c>
      <c r="H134" s="6" t="s">
        <v>710</v>
      </c>
      <c r="I134" s="6" t="s">
        <v>14</v>
      </c>
      <c r="J134" s="6" t="s">
        <v>711</v>
      </c>
      <c r="K134" s="6" t="s">
        <v>678</v>
      </c>
      <c r="L134" s="6" t="s">
        <v>678</v>
      </c>
      <c r="M134" s="14">
        <v>45880</v>
      </c>
      <c r="N134" s="6">
        <v>17255625</v>
      </c>
      <c r="O134" s="6" t="s">
        <v>83</v>
      </c>
      <c r="P134" s="6" t="s">
        <v>242</v>
      </c>
      <c r="Q134" s="6" t="s">
        <v>243</v>
      </c>
      <c r="R134" s="6" t="s">
        <v>244</v>
      </c>
      <c r="S134" s="6" t="s">
        <v>9</v>
      </c>
      <c r="T134" s="6" t="s">
        <v>245</v>
      </c>
      <c r="U134" s="6" t="s">
        <v>133</v>
      </c>
      <c r="V134" s="6" t="s">
        <v>650</v>
      </c>
      <c r="W134" s="6" t="s">
        <v>83</v>
      </c>
      <c r="X134" s="6" t="s">
        <v>83</v>
      </c>
      <c r="Y134" s="6" t="s">
        <v>83</v>
      </c>
      <c r="Z134" s="6" t="s">
        <v>73</v>
      </c>
      <c r="AA134" s="6" t="s">
        <v>83</v>
      </c>
      <c r="AB134" s="6">
        <v>925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712</v>
      </c>
      <c r="AJ134" s="6" t="s">
        <v>259</v>
      </c>
      <c r="AK134" s="6" t="s">
        <v>14</v>
      </c>
      <c r="AL134" s="6" t="s">
        <v>50</v>
      </c>
      <c r="AM134" s="6" t="s">
        <v>260</v>
      </c>
      <c r="AN134" s="6" t="s">
        <v>20</v>
      </c>
      <c r="AO134" s="6" t="s">
        <v>250</v>
      </c>
      <c r="AP134" s="6" t="s">
        <v>251</v>
      </c>
      <c r="AQ134" s="6" t="s">
        <v>18</v>
      </c>
    </row>
    <row r="135" spans="1:43" x14ac:dyDescent="0.25">
      <c r="A135" s="6">
        <v>22706945</v>
      </c>
      <c r="B135" s="6">
        <v>23508393</v>
      </c>
      <c r="C135" s="6" t="s">
        <v>237</v>
      </c>
      <c r="D135" s="14">
        <v>45877.417048611111</v>
      </c>
      <c r="E135" s="14">
        <v>45877.417094907411</v>
      </c>
      <c r="F135" s="6" t="s">
        <v>19</v>
      </c>
      <c r="G135" s="6" t="s">
        <v>19</v>
      </c>
      <c r="H135" s="6" t="s">
        <v>713</v>
      </c>
      <c r="I135" s="6" t="s">
        <v>14</v>
      </c>
      <c r="J135" s="6" t="s">
        <v>714</v>
      </c>
      <c r="K135" s="6" t="s">
        <v>678</v>
      </c>
      <c r="L135" s="6" t="s">
        <v>678</v>
      </c>
      <c r="M135" s="14">
        <v>45874.726388888892</v>
      </c>
      <c r="N135" s="6">
        <v>17130921</v>
      </c>
      <c r="O135" s="6" t="s">
        <v>83</v>
      </c>
      <c r="P135" s="6" t="s">
        <v>272</v>
      </c>
      <c r="Q135" s="6" t="s">
        <v>243</v>
      </c>
      <c r="R135" s="6" t="s">
        <v>244</v>
      </c>
      <c r="S135" s="6" t="s">
        <v>3</v>
      </c>
      <c r="T135" s="6" t="s">
        <v>245</v>
      </c>
      <c r="U135" s="6" t="s">
        <v>133</v>
      </c>
      <c r="V135" s="6" t="s">
        <v>650</v>
      </c>
      <c r="W135" s="6" t="s">
        <v>83</v>
      </c>
      <c r="X135" s="6" t="s">
        <v>83</v>
      </c>
      <c r="Y135" s="6" t="s">
        <v>83</v>
      </c>
      <c r="Z135" s="6" t="s">
        <v>73</v>
      </c>
      <c r="AA135" s="6" t="s">
        <v>83</v>
      </c>
      <c r="AB135" s="6">
        <v>11290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 t="s">
        <v>715</v>
      </c>
      <c r="AJ135" s="6" t="s">
        <v>259</v>
      </c>
      <c r="AK135" s="6" t="s">
        <v>14</v>
      </c>
      <c r="AL135" s="6" t="s">
        <v>50</v>
      </c>
      <c r="AM135" s="6" t="s">
        <v>260</v>
      </c>
      <c r="AN135" s="6" t="s">
        <v>20</v>
      </c>
      <c r="AO135" s="6" t="s">
        <v>250</v>
      </c>
      <c r="AP135" s="6" t="s">
        <v>251</v>
      </c>
      <c r="AQ135" s="6" t="s">
        <v>18</v>
      </c>
    </row>
    <row r="136" spans="1:43" x14ac:dyDescent="0.25">
      <c r="A136" s="6">
        <v>22653035</v>
      </c>
      <c r="B136" s="6">
        <v>23462600</v>
      </c>
      <c r="C136" s="6" t="s">
        <v>237</v>
      </c>
      <c r="D136" s="14">
        <v>45868.750451388893</v>
      </c>
      <c r="E136" s="14">
        <v>45868.750509259262</v>
      </c>
      <c r="F136" s="6" t="s">
        <v>23</v>
      </c>
      <c r="G136" s="6" t="s">
        <v>23</v>
      </c>
      <c r="H136" s="6" t="s">
        <v>716</v>
      </c>
      <c r="I136" s="6" t="s">
        <v>14</v>
      </c>
      <c r="J136" s="6" t="s">
        <v>717</v>
      </c>
      <c r="K136" s="6" t="s">
        <v>678</v>
      </c>
      <c r="L136" s="6" t="s">
        <v>678</v>
      </c>
      <c r="M136" s="14">
        <v>45868</v>
      </c>
      <c r="N136" s="6">
        <v>17088272</v>
      </c>
      <c r="O136" s="6" t="s">
        <v>83</v>
      </c>
      <c r="P136" s="6" t="s">
        <v>242</v>
      </c>
      <c r="Q136" s="6" t="s">
        <v>243</v>
      </c>
      <c r="R136" s="6" t="s">
        <v>244</v>
      </c>
      <c r="S136" s="6" t="s">
        <v>9</v>
      </c>
      <c r="T136" s="6" t="s">
        <v>245</v>
      </c>
      <c r="U136" s="6" t="s">
        <v>133</v>
      </c>
      <c r="V136" s="6" t="s">
        <v>650</v>
      </c>
      <c r="W136" s="6" t="s">
        <v>83</v>
      </c>
      <c r="X136" s="6" t="s">
        <v>83</v>
      </c>
      <c r="Y136" s="6" t="s">
        <v>83</v>
      </c>
      <c r="Z136" s="6" t="s">
        <v>73</v>
      </c>
      <c r="AA136" s="6" t="s">
        <v>83</v>
      </c>
      <c r="AB136" s="6">
        <v>487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 t="s">
        <v>718</v>
      </c>
      <c r="AJ136" s="6" t="s">
        <v>259</v>
      </c>
      <c r="AK136" s="6" t="s">
        <v>14</v>
      </c>
      <c r="AL136" s="6" t="s">
        <v>50</v>
      </c>
      <c r="AM136" s="6" t="s">
        <v>260</v>
      </c>
      <c r="AN136" s="6" t="s">
        <v>20</v>
      </c>
      <c r="AO136" s="6" t="s">
        <v>250</v>
      </c>
      <c r="AP136" s="6" t="s">
        <v>251</v>
      </c>
      <c r="AQ136" s="6" t="s">
        <v>18</v>
      </c>
    </row>
    <row r="137" spans="1:43" x14ac:dyDescent="0.25">
      <c r="A137" s="6">
        <v>22677964</v>
      </c>
      <c r="B137" s="6">
        <v>23482555</v>
      </c>
      <c r="C137" s="6" t="s">
        <v>237</v>
      </c>
      <c r="D137" s="14">
        <v>45873.500451388893</v>
      </c>
      <c r="E137" s="14">
        <v>45873.500532407408</v>
      </c>
      <c r="F137" s="6" t="s">
        <v>23</v>
      </c>
      <c r="G137" s="6" t="s">
        <v>23</v>
      </c>
      <c r="H137" s="6" t="s">
        <v>719</v>
      </c>
      <c r="I137" s="6" t="s">
        <v>14</v>
      </c>
      <c r="J137" s="6" t="s">
        <v>720</v>
      </c>
      <c r="K137" s="6" t="s">
        <v>678</v>
      </c>
      <c r="L137" s="6" t="s">
        <v>678</v>
      </c>
      <c r="M137" s="14">
        <v>45862</v>
      </c>
      <c r="N137" s="6">
        <v>17072029</v>
      </c>
      <c r="O137" s="6" t="s">
        <v>83</v>
      </c>
      <c r="P137" s="6" t="s">
        <v>242</v>
      </c>
      <c r="Q137" s="6" t="s">
        <v>243</v>
      </c>
      <c r="R137" s="6" t="s">
        <v>244</v>
      </c>
      <c r="S137" s="6" t="s">
        <v>9</v>
      </c>
      <c r="T137" s="6" t="s">
        <v>245</v>
      </c>
      <c r="U137" s="6" t="s">
        <v>133</v>
      </c>
      <c r="V137" s="6" t="s">
        <v>650</v>
      </c>
      <c r="W137" s="6" t="s">
        <v>83</v>
      </c>
      <c r="X137" s="6" t="s">
        <v>83</v>
      </c>
      <c r="Y137" s="6" t="s">
        <v>83</v>
      </c>
      <c r="Z137" s="6" t="s">
        <v>73</v>
      </c>
      <c r="AA137" s="6" t="s">
        <v>83</v>
      </c>
      <c r="AB137" s="6">
        <v>487</v>
      </c>
      <c r="AC137" s="6">
        <v>0</v>
      </c>
      <c r="AD137" s="6">
        <v>0</v>
      </c>
      <c r="AE137" s="6">
        <v>0</v>
      </c>
      <c r="AF137" s="6">
        <v>0</v>
      </c>
      <c r="AG137" s="6">
        <v>0</v>
      </c>
      <c r="AH137" s="6">
        <v>0</v>
      </c>
      <c r="AI137" s="6" t="s">
        <v>721</v>
      </c>
      <c r="AJ137" s="6" t="s">
        <v>259</v>
      </c>
      <c r="AK137" s="6" t="s">
        <v>14</v>
      </c>
      <c r="AL137" s="6" t="s">
        <v>50</v>
      </c>
      <c r="AM137" s="6" t="s">
        <v>260</v>
      </c>
      <c r="AN137" s="6" t="s">
        <v>20</v>
      </c>
      <c r="AO137" s="6" t="s">
        <v>250</v>
      </c>
      <c r="AP137" s="6" t="s">
        <v>251</v>
      </c>
      <c r="AQ137" s="6" t="s">
        <v>18</v>
      </c>
    </row>
    <row r="138" spans="1:43" x14ac:dyDescent="0.25">
      <c r="A138" s="6">
        <v>22677965</v>
      </c>
      <c r="B138" s="6">
        <v>23482556</v>
      </c>
      <c r="C138" s="6" t="s">
        <v>237</v>
      </c>
      <c r="D138" s="14">
        <v>45873.500486111108</v>
      </c>
      <c r="E138" s="14">
        <v>45873.500532407408</v>
      </c>
      <c r="F138" s="6" t="s">
        <v>23</v>
      </c>
      <c r="G138" s="6" t="s">
        <v>23</v>
      </c>
      <c r="H138" s="6" t="s">
        <v>722</v>
      </c>
      <c r="I138" s="6" t="s">
        <v>14</v>
      </c>
      <c r="J138" s="6" t="s">
        <v>714</v>
      </c>
      <c r="K138" s="6" t="s">
        <v>678</v>
      </c>
      <c r="L138" s="6" t="s">
        <v>678</v>
      </c>
      <c r="M138" s="14">
        <v>45862</v>
      </c>
      <c r="N138" s="6">
        <v>17072037</v>
      </c>
      <c r="O138" s="6" t="s">
        <v>83</v>
      </c>
      <c r="P138" s="6" t="s">
        <v>242</v>
      </c>
      <c r="Q138" s="6" t="s">
        <v>243</v>
      </c>
      <c r="R138" s="6" t="s">
        <v>244</v>
      </c>
      <c r="S138" s="6" t="s">
        <v>9</v>
      </c>
      <c r="T138" s="6" t="s">
        <v>245</v>
      </c>
      <c r="U138" s="6" t="s">
        <v>133</v>
      </c>
      <c r="V138" s="6" t="s">
        <v>650</v>
      </c>
      <c r="W138" s="6" t="s">
        <v>83</v>
      </c>
      <c r="X138" s="6" t="s">
        <v>83</v>
      </c>
      <c r="Y138" s="6" t="s">
        <v>83</v>
      </c>
      <c r="Z138" s="6" t="s">
        <v>73</v>
      </c>
      <c r="AA138" s="6" t="s">
        <v>83</v>
      </c>
      <c r="AB138" s="6">
        <v>486</v>
      </c>
      <c r="AC138" s="6">
        <v>0</v>
      </c>
      <c r="AD138" s="6">
        <v>0</v>
      </c>
      <c r="AE138" s="6">
        <v>0</v>
      </c>
      <c r="AF138" s="6">
        <v>0</v>
      </c>
      <c r="AG138" s="6">
        <v>0</v>
      </c>
      <c r="AH138" s="6">
        <v>0</v>
      </c>
      <c r="AI138" s="6" t="s">
        <v>723</v>
      </c>
      <c r="AJ138" s="6" t="s">
        <v>259</v>
      </c>
      <c r="AK138" s="6" t="s">
        <v>14</v>
      </c>
      <c r="AL138" s="6" t="s">
        <v>50</v>
      </c>
      <c r="AM138" s="6" t="s">
        <v>260</v>
      </c>
      <c r="AN138" s="6" t="s">
        <v>20</v>
      </c>
      <c r="AO138" s="6" t="s">
        <v>250</v>
      </c>
      <c r="AP138" s="6" t="s">
        <v>251</v>
      </c>
      <c r="AQ138" s="6" t="s">
        <v>18</v>
      </c>
    </row>
    <row r="139" spans="1:43" x14ac:dyDescent="0.25">
      <c r="A139" s="6">
        <v>22705301</v>
      </c>
      <c r="B139" s="6">
        <v>23507217</v>
      </c>
      <c r="C139" s="6" t="s">
        <v>237</v>
      </c>
      <c r="D139" s="14">
        <v>45877.045034722221</v>
      </c>
      <c r="E139" s="14">
        <v>45877.04587962963</v>
      </c>
      <c r="F139" s="6" t="s">
        <v>19</v>
      </c>
      <c r="G139" s="6" t="s">
        <v>19</v>
      </c>
      <c r="H139" s="6" t="s">
        <v>724</v>
      </c>
      <c r="I139" s="6" t="s">
        <v>14</v>
      </c>
      <c r="J139" s="6" t="s">
        <v>725</v>
      </c>
      <c r="K139" s="6" t="s">
        <v>726</v>
      </c>
      <c r="L139" s="6" t="s">
        <v>726</v>
      </c>
      <c r="M139" s="14">
        <v>45854</v>
      </c>
      <c r="N139" s="6">
        <v>17240154</v>
      </c>
      <c r="O139" s="6" t="s">
        <v>83</v>
      </c>
      <c r="P139" s="6" t="s">
        <v>242</v>
      </c>
      <c r="Q139" s="6" t="s">
        <v>256</v>
      </c>
      <c r="R139" s="6" t="s">
        <v>256</v>
      </c>
      <c r="S139" s="6" t="s">
        <v>9</v>
      </c>
      <c r="T139" s="6" t="s">
        <v>245</v>
      </c>
      <c r="U139" s="6" t="s">
        <v>133</v>
      </c>
      <c r="V139" s="6" t="s">
        <v>650</v>
      </c>
      <c r="W139" s="6" t="s">
        <v>83</v>
      </c>
      <c r="X139" s="6" t="s">
        <v>83</v>
      </c>
      <c r="Y139" s="6" t="s">
        <v>83</v>
      </c>
      <c r="Z139" s="6" t="s">
        <v>73</v>
      </c>
      <c r="AA139" s="6" t="s">
        <v>83</v>
      </c>
      <c r="AB139" s="6">
        <v>488</v>
      </c>
      <c r="AC139" s="6">
        <v>0</v>
      </c>
      <c r="AD139" s="6">
        <v>0</v>
      </c>
      <c r="AE139" s="6">
        <v>0</v>
      </c>
      <c r="AF139" s="6">
        <v>0</v>
      </c>
      <c r="AG139" s="6">
        <v>24.4</v>
      </c>
      <c r="AH139" s="6">
        <v>0</v>
      </c>
      <c r="AI139" s="6" t="s">
        <v>727</v>
      </c>
      <c r="AJ139" s="6" t="s">
        <v>259</v>
      </c>
      <c r="AK139" s="6" t="s">
        <v>14</v>
      </c>
      <c r="AL139" s="6" t="s">
        <v>50</v>
      </c>
      <c r="AM139" s="6" t="s">
        <v>260</v>
      </c>
      <c r="AN139" s="6" t="s">
        <v>20</v>
      </c>
      <c r="AO139" s="6" t="s">
        <v>250</v>
      </c>
      <c r="AP139" s="6" t="s">
        <v>251</v>
      </c>
      <c r="AQ139" s="6" t="s">
        <v>18</v>
      </c>
    </row>
    <row r="140" spans="1:43" x14ac:dyDescent="0.25">
      <c r="A140" s="6">
        <v>22727011</v>
      </c>
      <c r="B140" s="6">
        <v>23525087</v>
      </c>
      <c r="C140" s="6" t="s">
        <v>237</v>
      </c>
      <c r="D140" s="14">
        <v>45881.011712962973</v>
      </c>
      <c r="E140" s="14">
        <v>45881.032164351847</v>
      </c>
      <c r="F140" s="6" t="s">
        <v>17</v>
      </c>
      <c r="G140" s="6" t="s">
        <v>17</v>
      </c>
      <c r="H140" s="6" t="s">
        <v>728</v>
      </c>
      <c r="I140" s="6" t="s">
        <v>253</v>
      </c>
      <c r="J140" s="6" t="s">
        <v>729</v>
      </c>
      <c r="K140" s="6" t="s">
        <v>255</v>
      </c>
      <c r="L140" s="6" t="s">
        <v>255</v>
      </c>
      <c r="M140" s="14">
        <v>45880.76458333333</v>
      </c>
      <c r="N140" s="6">
        <v>5010</v>
      </c>
      <c r="O140" s="6" t="s">
        <v>83</v>
      </c>
      <c r="P140" s="6" t="s">
        <v>242</v>
      </c>
      <c r="Q140" s="6" t="s">
        <v>243</v>
      </c>
      <c r="R140" s="6" t="s">
        <v>244</v>
      </c>
      <c r="S140" s="6" t="s">
        <v>9</v>
      </c>
      <c r="T140" s="6" t="s">
        <v>245</v>
      </c>
      <c r="U140" s="6" t="s">
        <v>167</v>
      </c>
      <c r="V140" s="6" t="s">
        <v>730</v>
      </c>
      <c r="W140" s="6" t="s">
        <v>83</v>
      </c>
      <c r="X140" s="6" t="s">
        <v>83</v>
      </c>
      <c r="Y140" s="6" t="s">
        <v>83</v>
      </c>
      <c r="Z140" s="6" t="s">
        <v>57</v>
      </c>
      <c r="AA140" s="6" t="s">
        <v>83</v>
      </c>
      <c r="AB140" s="6">
        <v>541.66999999999996</v>
      </c>
      <c r="AC140" s="6">
        <v>0</v>
      </c>
      <c r="AD140" s="6">
        <v>0</v>
      </c>
      <c r="AE140" s="6">
        <v>0</v>
      </c>
      <c r="AF140" s="6">
        <v>0</v>
      </c>
      <c r="AG140" s="6">
        <v>13.54</v>
      </c>
      <c r="AH140" s="6">
        <v>0</v>
      </c>
      <c r="AI140" s="6" t="s">
        <v>731</v>
      </c>
      <c r="AJ140" s="6" t="s">
        <v>259</v>
      </c>
      <c r="AK140" s="6" t="s">
        <v>12</v>
      </c>
      <c r="AL140" s="6" t="s">
        <v>50</v>
      </c>
      <c r="AM140" s="6" t="s">
        <v>260</v>
      </c>
      <c r="AN140" s="6" t="s">
        <v>20</v>
      </c>
      <c r="AO140" s="6" t="s">
        <v>261</v>
      </c>
      <c r="AP140" s="6" t="s">
        <v>262</v>
      </c>
      <c r="AQ140" s="6" t="s">
        <v>30</v>
      </c>
    </row>
    <row r="141" spans="1:43" x14ac:dyDescent="0.25">
      <c r="A141" s="6">
        <v>22679969</v>
      </c>
      <c r="B141" s="6">
        <v>23484417</v>
      </c>
      <c r="C141" s="6" t="s">
        <v>237</v>
      </c>
      <c r="D141" s="14">
        <v>45873.710370370369</v>
      </c>
      <c r="E141" s="14">
        <v>45873.71197916667</v>
      </c>
      <c r="F141" s="6" t="s">
        <v>23</v>
      </c>
      <c r="G141" s="6" t="s">
        <v>23</v>
      </c>
      <c r="H141" s="6" t="s">
        <v>732</v>
      </c>
      <c r="I141" s="6" t="s">
        <v>15</v>
      </c>
      <c r="J141" s="6" t="s">
        <v>733</v>
      </c>
      <c r="K141" s="6" t="s">
        <v>255</v>
      </c>
      <c r="L141" s="6" t="s">
        <v>255</v>
      </c>
      <c r="M141" s="14">
        <v>45705.618750000001</v>
      </c>
      <c r="N141" s="6">
        <v>296</v>
      </c>
      <c r="O141" s="6" t="s">
        <v>83</v>
      </c>
      <c r="P141" s="6" t="s">
        <v>272</v>
      </c>
      <c r="Q141" s="6" t="s">
        <v>243</v>
      </c>
      <c r="R141" s="6" t="s">
        <v>244</v>
      </c>
      <c r="S141" s="6" t="s">
        <v>9</v>
      </c>
      <c r="T141" s="6" t="s">
        <v>245</v>
      </c>
      <c r="U141" s="6" t="s">
        <v>167</v>
      </c>
      <c r="V141" s="6" t="s">
        <v>734</v>
      </c>
      <c r="W141" s="6" t="s">
        <v>83</v>
      </c>
      <c r="X141" s="6" t="s">
        <v>735</v>
      </c>
      <c r="Y141" s="6" t="s">
        <v>83</v>
      </c>
      <c r="Z141" s="6" t="s">
        <v>57</v>
      </c>
      <c r="AA141" s="6" t="s">
        <v>83</v>
      </c>
      <c r="AB141" s="6">
        <v>4717.96</v>
      </c>
      <c r="AC141" s="6">
        <v>0</v>
      </c>
      <c r="AD141" s="6">
        <v>0</v>
      </c>
      <c r="AE141" s="6">
        <v>0</v>
      </c>
      <c r="AF141" s="6">
        <v>0</v>
      </c>
      <c r="AG141" s="6">
        <v>0</v>
      </c>
      <c r="AH141" s="6">
        <v>0</v>
      </c>
      <c r="AI141" s="6" t="s">
        <v>736</v>
      </c>
      <c r="AJ141" s="6" t="s">
        <v>737</v>
      </c>
      <c r="AK141" s="6" t="s">
        <v>15</v>
      </c>
      <c r="AL141" s="6" t="s">
        <v>56</v>
      </c>
      <c r="AM141" s="6" t="s">
        <v>331</v>
      </c>
      <c r="AN141" s="6" t="s">
        <v>20</v>
      </c>
      <c r="AO141" s="6" t="s">
        <v>250</v>
      </c>
      <c r="AP141" s="6" t="s">
        <v>251</v>
      </c>
      <c r="AQ141" s="6" t="s">
        <v>94</v>
      </c>
    </row>
    <row r="142" spans="1:43" x14ac:dyDescent="0.25">
      <c r="A142" s="6">
        <v>22679983</v>
      </c>
      <c r="B142" s="6">
        <v>23484427</v>
      </c>
      <c r="C142" s="6" t="s">
        <v>237</v>
      </c>
      <c r="D142" s="14">
        <v>45873.711631944447</v>
      </c>
      <c r="E142" s="14">
        <v>45873.712812500002</v>
      </c>
      <c r="F142" s="6" t="s">
        <v>23</v>
      </c>
      <c r="G142" s="6" t="s">
        <v>23</v>
      </c>
      <c r="H142" s="6" t="s">
        <v>738</v>
      </c>
      <c r="I142" s="6" t="s">
        <v>15</v>
      </c>
      <c r="J142" s="6" t="s">
        <v>733</v>
      </c>
      <c r="K142" s="6" t="s">
        <v>255</v>
      </c>
      <c r="L142" s="6" t="s">
        <v>255</v>
      </c>
      <c r="M142" s="14">
        <v>45705.618750000001</v>
      </c>
      <c r="N142" s="6">
        <v>296</v>
      </c>
      <c r="O142" s="6" t="s">
        <v>83</v>
      </c>
      <c r="P142" s="6" t="s">
        <v>272</v>
      </c>
      <c r="Q142" s="6" t="s">
        <v>243</v>
      </c>
      <c r="R142" s="6" t="s">
        <v>244</v>
      </c>
      <c r="S142" s="6" t="s">
        <v>9</v>
      </c>
      <c r="T142" s="6" t="s">
        <v>245</v>
      </c>
      <c r="U142" s="6" t="s">
        <v>167</v>
      </c>
      <c r="V142" s="6" t="s">
        <v>734</v>
      </c>
      <c r="W142" s="6" t="s">
        <v>83</v>
      </c>
      <c r="X142" s="6" t="s">
        <v>735</v>
      </c>
      <c r="Y142" s="6" t="s">
        <v>83</v>
      </c>
      <c r="Z142" s="6" t="s">
        <v>57</v>
      </c>
      <c r="AA142" s="6" t="s">
        <v>83</v>
      </c>
      <c r="AB142" s="6">
        <v>4717.96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 t="s">
        <v>736</v>
      </c>
      <c r="AJ142" s="6" t="s">
        <v>737</v>
      </c>
      <c r="AK142" s="6" t="s">
        <v>15</v>
      </c>
      <c r="AL142" s="6" t="s">
        <v>56</v>
      </c>
      <c r="AM142" s="6" t="s">
        <v>331</v>
      </c>
      <c r="AN142" s="6" t="s">
        <v>20</v>
      </c>
      <c r="AO142" s="6" t="s">
        <v>250</v>
      </c>
      <c r="AP142" s="6" t="s">
        <v>251</v>
      </c>
      <c r="AQ142" s="6" t="s">
        <v>94</v>
      </c>
    </row>
    <row r="143" spans="1:43" x14ac:dyDescent="0.25">
      <c r="A143" s="6">
        <v>22732464</v>
      </c>
      <c r="B143" s="6">
        <v>23529899</v>
      </c>
      <c r="C143" s="6" t="s">
        <v>237</v>
      </c>
      <c r="D143" s="14">
        <v>45881.782673611109</v>
      </c>
      <c r="E143" s="14">
        <v>45881.817233796297</v>
      </c>
      <c r="F143" s="6" t="s">
        <v>17</v>
      </c>
      <c r="G143" s="6" t="s">
        <v>17</v>
      </c>
      <c r="H143" s="6" t="s">
        <v>739</v>
      </c>
      <c r="I143" s="6" t="s">
        <v>253</v>
      </c>
      <c r="J143" s="6" t="s">
        <v>740</v>
      </c>
      <c r="K143" s="6" t="s">
        <v>255</v>
      </c>
      <c r="L143" s="6" t="s">
        <v>255</v>
      </c>
      <c r="M143" s="14">
        <v>45881.731249999997</v>
      </c>
      <c r="N143" s="6">
        <v>586</v>
      </c>
      <c r="O143" s="6" t="s">
        <v>83</v>
      </c>
      <c r="P143" s="6" t="s">
        <v>242</v>
      </c>
      <c r="Q143" s="6" t="s">
        <v>243</v>
      </c>
      <c r="R143" s="6" t="s">
        <v>244</v>
      </c>
      <c r="S143" s="6" t="s">
        <v>9</v>
      </c>
      <c r="T143" s="6" t="s">
        <v>245</v>
      </c>
      <c r="U143" s="6" t="s">
        <v>167</v>
      </c>
      <c r="V143" s="6" t="s">
        <v>734</v>
      </c>
      <c r="W143" s="6" t="s">
        <v>83</v>
      </c>
      <c r="X143" s="6" t="s">
        <v>83</v>
      </c>
      <c r="Y143" s="6" t="s">
        <v>83</v>
      </c>
      <c r="Z143" s="6" t="s">
        <v>57</v>
      </c>
      <c r="AA143" s="6" t="s">
        <v>83</v>
      </c>
      <c r="AB143" s="6">
        <v>311.60000000000002</v>
      </c>
      <c r="AC143" s="6">
        <v>0</v>
      </c>
      <c r="AD143" s="6">
        <v>0</v>
      </c>
      <c r="AE143" s="6">
        <v>0</v>
      </c>
      <c r="AF143" s="6">
        <v>0</v>
      </c>
      <c r="AG143" s="6">
        <v>9.35</v>
      </c>
      <c r="AH143" s="6">
        <v>0</v>
      </c>
      <c r="AI143" s="6" t="s">
        <v>741</v>
      </c>
      <c r="AJ143" s="6" t="s">
        <v>259</v>
      </c>
      <c r="AK143" s="6" t="s">
        <v>12</v>
      </c>
      <c r="AL143" s="6" t="s">
        <v>50</v>
      </c>
      <c r="AM143" s="6" t="s">
        <v>260</v>
      </c>
      <c r="AN143" s="6" t="s">
        <v>20</v>
      </c>
      <c r="AO143" s="6" t="s">
        <v>261</v>
      </c>
      <c r="AP143" s="6" t="s">
        <v>262</v>
      </c>
      <c r="AQ143" s="6" t="s">
        <v>30</v>
      </c>
    </row>
    <row r="144" spans="1:43" x14ac:dyDescent="0.25">
      <c r="A144" s="6">
        <v>22732465</v>
      </c>
      <c r="B144" s="6">
        <v>23529900</v>
      </c>
      <c r="C144" s="6" t="s">
        <v>237</v>
      </c>
      <c r="D144" s="14">
        <v>45881.782708333332</v>
      </c>
      <c r="E144" s="14">
        <v>45881.817233796297</v>
      </c>
      <c r="F144" s="6" t="s">
        <v>17</v>
      </c>
      <c r="G144" s="6" t="s">
        <v>17</v>
      </c>
      <c r="H144" s="6" t="s">
        <v>742</v>
      </c>
      <c r="I144" s="6" t="s">
        <v>253</v>
      </c>
      <c r="J144" s="6" t="s">
        <v>743</v>
      </c>
      <c r="K144" s="6" t="s">
        <v>255</v>
      </c>
      <c r="L144" s="6" t="s">
        <v>255</v>
      </c>
      <c r="M144" s="14">
        <v>45881.69027777778</v>
      </c>
      <c r="N144" s="6">
        <v>585</v>
      </c>
      <c r="O144" s="6" t="s">
        <v>83</v>
      </c>
      <c r="P144" s="6" t="s">
        <v>242</v>
      </c>
      <c r="Q144" s="6" t="s">
        <v>243</v>
      </c>
      <c r="R144" s="6" t="s">
        <v>244</v>
      </c>
      <c r="S144" s="6" t="s">
        <v>9</v>
      </c>
      <c r="T144" s="6" t="s">
        <v>245</v>
      </c>
      <c r="U144" s="6" t="s">
        <v>167</v>
      </c>
      <c r="V144" s="6" t="s">
        <v>734</v>
      </c>
      <c r="W144" s="6" t="s">
        <v>83</v>
      </c>
      <c r="X144" s="6" t="s">
        <v>83</v>
      </c>
      <c r="Y144" s="6" t="s">
        <v>83</v>
      </c>
      <c r="Z144" s="6" t="s">
        <v>57</v>
      </c>
      <c r="AA144" s="6" t="s">
        <v>83</v>
      </c>
      <c r="AB144" s="6">
        <v>311.60000000000002</v>
      </c>
      <c r="AC144" s="6">
        <v>0</v>
      </c>
      <c r="AD144" s="6">
        <v>0</v>
      </c>
      <c r="AE144" s="6">
        <v>0</v>
      </c>
      <c r="AF144" s="6">
        <v>0</v>
      </c>
      <c r="AG144" s="6">
        <v>9.35</v>
      </c>
      <c r="AH144" s="6">
        <v>0</v>
      </c>
      <c r="AI144" s="6" t="s">
        <v>744</v>
      </c>
      <c r="AJ144" s="6" t="s">
        <v>259</v>
      </c>
      <c r="AK144" s="6" t="s">
        <v>12</v>
      </c>
      <c r="AL144" s="6" t="s">
        <v>50</v>
      </c>
      <c r="AM144" s="6" t="s">
        <v>260</v>
      </c>
      <c r="AN144" s="6" t="s">
        <v>20</v>
      </c>
      <c r="AO144" s="6" t="s">
        <v>261</v>
      </c>
      <c r="AP144" s="6" t="s">
        <v>262</v>
      </c>
      <c r="AQ144" s="6" t="s">
        <v>30</v>
      </c>
    </row>
    <row r="145" spans="1:43" x14ac:dyDescent="0.25">
      <c r="A145" s="6">
        <v>22680829</v>
      </c>
      <c r="B145" s="6">
        <v>23485310</v>
      </c>
      <c r="C145" s="6" t="s">
        <v>237</v>
      </c>
      <c r="D145" s="14">
        <v>45873.765347222223</v>
      </c>
      <c r="E145" s="14">
        <v>45873.786400462966</v>
      </c>
      <c r="F145" s="6" t="s">
        <v>23</v>
      </c>
      <c r="G145" s="6" t="s">
        <v>23</v>
      </c>
      <c r="H145" s="6" t="s">
        <v>745</v>
      </c>
      <c r="I145" s="6" t="s">
        <v>253</v>
      </c>
      <c r="J145" s="6" t="s">
        <v>746</v>
      </c>
      <c r="K145" s="6" t="s">
        <v>747</v>
      </c>
      <c r="L145" s="6" t="s">
        <v>747</v>
      </c>
      <c r="M145" s="14">
        <v>45873.730555555558</v>
      </c>
      <c r="N145" s="6">
        <v>3457</v>
      </c>
      <c r="O145" s="6" t="s">
        <v>83</v>
      </c>
      <c r="P145" s="6" t="s">
        <v>272</v>
      </c>
      <c r="Q145" s="6" t="s">
        <v>256</v>
      </c>
      <c r="R145" s="6" t="s">
        <v>256</v>
      </c>
      <c r="S145" s="6" t="s">
        <v>9</v>
      </c>
      <c r="T145" s="6" t="s">
        <v>245</v>
      </c>
      <c r="U145" s="6" t="s">
        <v>160</v>
      </c>
      <c r="V145" s="6" t="s">
        <v>748</v>
      </c>
      <c r="W145" s="6" t="s">
        <v>83</v>
      </c>
      <c r="X145" s="6" t="s">
        <v>83</v>
      </c>
      <c r="Y145" s="6" t="s">
        <v>83</v>
      </c>
      <c r="Z145" s="6" t="s">
        <v>57</v>
      </c>
      <c r="AA145" s="6" t="s">
        <v>83</v>
      </c>
      <c r="AB145" s="6">
        <v>326</v>
      </c>
      <c r="AC145" s="6">
        <v>0</v>
      </c>
      <c r="AD145" s="6">
        <v>0</v>
      </c>
      <c r="AE145" s="6">
        <v>0</v>
      </c>
      <c r="AF145" s="6">
        <v>0</v>
      </c>
      <c r="AG145" s="6">
        <v>9.7799999999999994</v>
      </c>
      <c r="AH145" s="6">
        <v>0</v>
      </c>
      <c r="AI145" s="6" t="s">
        <v>749</v>
      </c>
      <c r="AJ145" s="6" t="s">
        <v>259</v>
      </c>
      <c r="AK145" s="6" t="s">
        <v>12</v>
      </c>
      <c r="AL145" s="6" t="s">
        <v>50</v>
      </c>
      <c r="AM145" s="6" t="s">
        <v>260</v>
      </c>
      <c r="AN145" s="6" t="s">
        <v>20</v>
      </c>
      <c r="AO145" s="6" t="s">
        <v>250</v>
      </c>
      <c r="AP145" s="6" t="s">
        <v>251</v>
      </c>
      <c r="AQ145" s="6" t="s">
        <v>18</v>
      </c>
    </row>
    <row r="146" spans="1:43" x14ac:dyDescent="0.25">
      <c r="A146" s="6">
        <v>22724679</v>
      </c>
      <c r="B146" s="6">
        <v>23522920</v>
      </c>
      <c r="C146" s="6" t="s">
        <v>237</v>
      </c>
      <c r="D146" s="14">
        <v>45880.768807870372</v>
      </c>
      <c r="E146" s="14">
        <v>45880.793842592589</v>
      </c>
      <c r="F146" s="6" t="s">
        <v>17</v>
      </c>
      <c r="G146" s="6" t="s">
        <v>17</v>
      </c>
      <c r="H146" s="6" t="s">
        <v>750</v>
      </c>
      <c r="I146" s="6" t="s">
        <v>253</v>
      </c>
      <c r="J146" s="6" t="s">
        <v>751</v>
      </c>
      <c r="K146" s="6" t="s">
        <v>255</v>
      </c>
      <c r="L146" s="6" t="s">
        <v>255</v>
      </c>
      <c r="M146" s="14">
        <v>45880.699305555558</v>
      </c>
      <c r="N146" s="6">
        <v>3513</v>
      </c>
      <c r="O146" s="6" t="s">
        <v>83</v>
      </c>
      <c r="P146" s="6" t="s">
        <v>242</v>
      </c>
      <c r="Q146" s="6" t="s">
        <v>256</v>
      </c>
      <c r="R146" s="6" t="s">
        <v>256</v>
      </c>
      <c r="S146" s="6" t="s">
        <v>9</v>
      </c>
      <c r="T146" s="6" t="s">
        <v>245</v>
      </c>
      <c r="U146" s="6" t="s">
        <v>160</v>
      </c>
      <c r="V146" s="6" t="s">
        <v>748</v>
      </c>
      <c r="W146" s="6" t="s">
        <v>83</v>
      </c>
      <c r="X146" s="6" t="s">
        <v>83</v>
      </c>
      <c r="Y146" s="6" t="s">
        <v>83</v>
      </c>
      <c r="Z146" s="6" t="s">
        <v>57</v>
      </c>
      <c r="AA146" s="6" t="s">
        <v>83</v>
      </c>
      <c r="AB146" s="6">
        <v>385.2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0</v>
      </c>
      <c r="AI146" s="6" t="s">
        <v>752</v>
      </c>
      <c r="AJ146" s="6" t="s">
        <v>259</v>
      </c>
      <c r="AK146" s="6" t="s">
        <v>12</v>
      </c>
      <c r="AL146" s="6" t="s">
        <v>50</v>
      </c>
      <c r="AM146" s="6" t="s">
        <v>260</v>
      </c>
      <c r="AN146" s="6" t="s">
        <v>20</v>
      </c>
      <c r="AO146" s="6" t="s">
        <v>261</v>
      </c>
      <c r="AP146" s="6" t="s">
        <v>262</v>
      </c>
      <c r="AQ146" s="6" t="s">
        <v>30</v>
      </c>
    </row>
    <row r="147" spans="1:43" x14ac:dyDescent="0.25">
      <c r="A147" s="6">
        <v>22729436</v>
      </c>
      <c r="B147" s="6">
        <v>23526987</v>
      </c>
      <c r="C147" s="6" t="s">
        <v>237</v>
      </c>
      <c r="D147" s="14">
        <v>45881.512731481482</v>
      </c>
      <c r="E147" s="14">
        <v>45881.535393518519</v>
      </c>
      <c r="F147" s="6" t="s">
        <v>17</v>
      </c>
      <c r="G147" s="6" t="s">
        <v>17</v>
      </c>
      <c r="H147" s="6" t="s">
        <v>753</v>
      </c>
      <c r="I147" s="6" t="s">
        <v>253</v>
      </c>
      <c r="J147" s="6" t="s">
        <v>754</v>
      </c>
      <c r="K147" s="6" t="s">
        <v>255</v>
      </c>
      <c r="L147" s="6" t="s">
        <v>255</v>
      </c>
      <c r="M147" s="14">
        <v>45881.477083333331</v>
      </c>
      <c r="N147" s="6">
        <v>3526</v>
      </c>
      <c r="O147" s="6" t="s">
        <v>755</v>
      </c>
      <c r="P147" s="6" t="s">
        <v>242</v>
      </c>
      <c r="Q147" s="6" t="s">
        <v>243</v>
      </c>
      <c r="R147" s="6" t="s">
        <v>244</v>
      </c>
      <c r="S147" s="6" t="s">
        <v>8</v>
      </c>
      <c r="T147" s="6" t="s">
        <v>245</v>
      </c>
      <c r="U147" s="6" t="s">
        <v>160</v>
      </c>
      <c r="V147" s="6" t="s">
        <v>748</v>
      </c>
      <c r="W147" s="6" t="s">
        <v>83</v>
      </c>
      <c r="X147" s="6" t="s">
        <v>83</v>
      </c>
      <c r="Y147" s="6" t="s">
        <v>83</v>
      </c>
      <c r="Z147" s="6" t="s">
        <v>57</v>
      </c>
      <c r="AA147" s="6" t="s">
        <v>83</v>
      </c>
      <c r="AB147" s="6">
        <v>933.50879999999995</v>
      </c>
      <c r="AC147" s="6">
        <v>0</v>
      </c>
      <c r="AD147" s="6">
        <v>0</v>
      </c>
      <c r="AE147" s="6">
        <v>0</v>
      </c>
      <c r="AF147" s="6">
        <v>0</v>
      </c>
      <c r="AG147" s="6">
        <v>0</v>
      </c>
      <c r="AH147" s="6">
        <v>0</v>
      </c>
      <c r="AI147" s="6" t="s">
        <v>756</v>
      </c>
      <c r="AJ147" s="6" t="s">
        <v>259</v>
      </c>
      <c r="AK147" s="6" t="s">
        <v>12</v>
      </c>
      <c r="AL147" s="6" t="s">
        <v>50</v>
      </c>
      <c r="AM147" s="6" t="s">
        <v>260</v>
      </c>
      <c r="AN147" s="6" t="s">
        <v>20</v>
      </c>
      <c r="AO147" s="6" t="s">
        <v>250</v>
      </c>
      <c r="AP147" s="6" t="s">
        <v>251</v>
      </c>
      <c r="AQ147" s="6" t="s">
        <v>18</v>
      </c>
    </row>
    <row r="148" spans="1:43" x14ac:dyDescent="0.25">
      <c r="A148" s="6">
        <v>22733911</v>
      </c>
      <c r="B148" s="6">
        <v>23531194</v>
      </c>
      <c r="C148" s="6" t="s">
        <v>237</v>
      </c>
      <c r="D148" s="14">
        <v>45882.011423611111</v>
      </c>
      <c r="E148" s="14">
        <v>45882.014513888891</v>
      </c>
      <c r="F148" s="6" t="s">
        <v>17</v>
      </c>
      <c r="G148" s="6" t="s">
        <v>17</v>
      </c>
      <c r="H148" s="6" t="s">
        <v>757</v>
      </c>
      <c r="I148" s="6" t="s">
        <v>253</v>
      </c>
      <c r="J148" s="6" t="s">
        <v>758</v>
      </c>
      <c r="K148" s="6" t="s">
        <v>759</v>
      </c>
      <c r="L148" s="6" t="s">
        <v>759</v>
      </c>
      <c r="M148" s="14">
        <v>45881.788888888892</v>
      </c>
      <c r="N148" s="6">
        <v>915</v>
      </c>
      <c r="O148" s="6" t="s">
        <v>83</v>
      </c>
      <c r="P148" s="6" t="s">
        <v>272</v>
      </c>
      <c r="Q148" s="6" t="s">
        <v>243</v>
      </c>
      <c r="R148" s="6" t="s">
        <v>244</v>
      </c>
      <c r="S148" s="6" t="s">
        <v>7</v>
      </c>
      <c r="T148" s="6" t="s">
        <v>245</v>
      </c>
      <c r="U148" s="6" t="s">
        <v>176</v>
      </c>
      <c r="V148" s="6" t="s">
        <v>760</v>
      </c>
      <c r="W148" s="6" t="s">
        <v>83</v>
      </c>
      <c r="X148" s="6" t="s">
        <v>306</v>
      </c>
      <c r="Y148" s="6">
        <v>4432056194</v>
      </c>
      <c r="Z148" s="6" t="s">
        <v>57</v>
      </c>
      <c r="AA148" s="6" t="s">
        <v>83</v>
      </c>
      <c r="AB148" s="6">
        <v>0</v>
      </c>
      <c r="AC148" s="6">
        <v>85</v>
      </c>
      <c r="AD148" s="6">
        <v>0</v>
      </c>
      <c r="AE148" s="6">
        <v>0</v>
      </c>
      <c r="AF148" s="6">
        <v>0</v>
      </c>
      <c r="AG148" s="6">
        <v>0</v>
      </c>
      <c r="AH148" s="6">
        <v>0</v>
      </c>
      <c r="AI148" s="6" t="s">
        <v>761</v>
      </c>
      <c r="AJ148" s="6" t="s">
        <v>762</v>
      </c>
      <c r="AK148" s="6" t="s">
        <v>12</v>
      </c>
      <c r="AL148" s="6" t="s">
        <v>58</v>
      </c>
      <c r="AM148" s="6" t="s">
        <v>74</v>
      </c>
      <c r="AN148" s="6" t="s">
        <v>20</v>
      </c>
      <c r="AO148" s="6" t="s">
        <v>250</v>
      </c>
      <c r="AP148" s="6" t="s">
        <v>251</v>
      </c>
      <c r="AQ148" s="6" t="s">
        <v>94</v>
      </c>
    </row>
    <row r="149" spans="1:43" x14ac:dyDescent="0.25">
      <c r="A149" s="6">
        <v>22688330</v>
      </c>
      <c r="B149" s="6">
        <v>23491973</v>
      </c>
      <c r="C149" s="6" t="s">
        <v>237</v>
      </c>
      <c r="D149" s="14">
        <v>45874.766747685193</v>
      </c>
      <c r="E149" s="14">
        <v>45874.802465277768</v>
      </c>
      <c r="F149" s="6" t="s">
        <v>21</v>
      </c>
      <c r="G149" s="6" t="s">
        <v>21</v>
      </c>
      <c r="H149" s="6" t="s">
        <v>763</v>
      </c>
      <c r="I149" s="6" t="s">
        <v>253</v>
      </c>
      <c r="J149" s="6" t="s">
        <v>764</v>
      </c>
      <c r="K149" s="6" t="s">
        <v>765</v>
      </c>
      <c r="L149" s="6" t="s">
        <v>765</v>
      </c>
      <c r="M149" s="14">
        <v>45874.543055555558</v>
      </c>
      <c r="N149" s="6">
        <v>3425</v>
      </c>
      <c r="O149" s="6" t="s">
        <v>83</v>
      </c>
      <c r="P149" s="6" t="s">
        <v>272</v>
      </c>
      <c r="Q149" s="6" t="s">
        <v>243</v>
      </c>
      <c r="R149" s="6" t="s">
        <v>244</v>
      </c>
      <c r="S149" s="6" t="s">
        <v>9</v>
      </c>
      <c r="T149" s="6" t="s">
        <v>245</v>
      </c>
      <c r="U149" s="6" t="s">
        <v>164</v>
      </c>
      <c r="V149" s="6" t="s">
        <v>766</v>
      </c>
      <c r="W149" s="6" t="s">
        <v>83</v>
      </c>
      <c r="X149" s="6" t="s">
        <v>83</v>
      </c>
      <c r="Y149" s="6" t="s">
        <v>83</v>
      </c>
      <c r="Z149" s="6" t="s">
        <v>57</v>
      </c>
      <c r="AA149" s="6" t="s">
        <v>83</v>
      </c>
      <c r="AB149" s="6">
        <v>1639</v>
      </c>
      <c r="AC149" s="6">
        <v>0</v>
      </c>
      <c r="AD149" s="6">
        <v>0</v>
      </c>
      <c r="AE149" s="6">
        <v>0</v>
      </c>
      <c r="AF149" s="6">
        <v>0</v>
      </c>
      <c r="AG149" s="6">
        <v>0</v>
      </c>
      <c r="AH149" s="6">
        <v>0</v>
      </c>
      <c r="AI149" s="6" t="s">
        <v>767</v>
      </c>
      <c r="AJ149" s="6" t="s">
        <v>259</v>
      </c>
      <c r="AK149" s="6" t="s">
        <v>12</v>
      </c>
      <c r="AL149" s="6" t="s">
        <v>50</v>
      </c>
      <c r="AM149" s="6" t="s">
        <v>260</v>
      </c>
      <c r="AN149" s="6" t="s">
        <v>20</v>
      </c>
      <c r="AO149" s="6" t="s">
        <v>250</v>
      </c>
      <c r="AP149" s="6" t="s">
        <v>251</v>
      </c>
      <c r="AQ149" s="6" t="s">
        <v>18</v>
      </c>
    </row>
    <row r="150" spans="1:43" x14ac:dyDescent="0.25">
      <c r="A150" s="6">
        <v>22733983</v>
      </c>
      <c r="B150" s="6">
        <v>23531267</v>
      </c>
      <c r="C150" s="6" t="s">
        <v>237</v>
      </c>
      <c r="D150" s="14">
        <v>45882.015162037038</v>
      </c>
      <c r="E150" s="14">
        <v>45882.030185185176</v>
      </c>
      <c r="F150" s="6" t="s">
        <v>17</v>
      </c>
      <c r="G150" s="6" t="s">
        <v>17</v>
      </c>
      <c r="H150" s="6" t="s">
        <v>768</v>
      </c>
      <c r="I150" s="6" t="s">
        <v>253</v>
      </c>
      <c r="J150" s="6" t="s">
        <v>769</v>
      </c>
      <c r="K150" s="6" t="s">
        <v>770</v>
      </c>
      <c r="L150" s="6" t="s">
        <v>255</v>
      </c>
      <c r="M150" s="14">
        <v>45881.765972222223</v>
      </c>
      <c r="N150" s="6">
        <v>74525</v>
      </c>
      <c r="O150" s="6" t="s">
        <v>83</v>
      </c>
      <c r="P150" s="6" t="s">
        <v>242</v>
      </c>
      <c r="Q150" s="6" t="s">
        <v>256</v>
      </c>
      <c r="R150" s="6" t="s">
        <v>424</v>
      </c>
      <c r="S150" s="6" t="s">
        <v>7</v>
      </c>
      <c r="T150" s="6" t="s">
        <v>245</v>
      </c>
      <c r="U150" s="6" t="s">
        <v>127</v>
      </c>
      <c r="V150" s="6" t="s">
        <v>771</v>
      </c>
      <c r="W150" s="6" t="s">
        <v>83</v>
      </c>
      <c r="X150" s="6" t="s">
        <v>247</v>
      </c>
      <c r="Y150" s="6">
        <v>2971498996</v>
      </c>
      <c r="Z150" s="6" t="s">
        <v>57</v>
      </c>
      <c r="AA150" s="6" t="s">
        <v>83</v>
      </c>
      <c r="AB150" s="6">
        <v>752.73</v>
      </c>
      <c r="AC150" s="6">
        <v>48.75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772</v>
      </c>
      <c r="AJ150" s="6" t="s">
        <v>307</v>
      </c>
      <c r="AK150" s="6" t="s">
        <v>12</v>
      </c>
      <c r="AL150" s="6" t="s">
        <v>60</v>
      </c>
      <c r="AM150" s="6" t="s">
        <v>308</v>
      </c>
      <c r="AN150" s="6" t="s">
        <v>26</v>
      </c>
      <c r="AO150" s="6" t="s">
        <v>250</v>
      </c>
      <c r="AP150" s="6" t="s">
        <v>262</v>
      </c>
      <c r="AQ150" s="6" t="s">
        <v>24</v>
      </c>
    </row>
    <row r="151" spans="1:43" x14ac:dyDescent="0.25">
      <c r="A151" s="6">
        <v>22727041</v>
      </c>
      <c r="B151" s="6">
        <v>23525117</v>
      </c>
      <c r="C151" s="6" t="s">
        <v>237</v>
      </c>
      <c r="D151" s="14">
        <v>45881.013622685183</v>
      </c>
      <c r="E151" s="14">
        <v>45881.035902777781</v>
      </c>
      <c r="F151" s="6" t="s">
        <v>17</v>
      </c>
      <c r="G151" s="6" t="s">
        <v>17</v>
      </c>
      <c r="H151" s="6" t="s">
        <v>773</v>
      </c>
      <c r="I151" s="6" t="s">
        <v>253</v>
      </c>
      <c r="J151" s="6" t="s">
        <v>774</v>
      </c>
      <c r="K151" s="6" t="s">
        <v>255</v>
      </c>
      <c r="L151" s="6" t="s">
        <v>255</v>
      </c>
      <c r="M151" s="14">
        <v>45880.898611111108</v>
      </c>
      <c r="N151" s="6">
        <v>76695</v>
      </c>
      <c r="O151" s="6" t="s">
        <v>83</v>
      </c>
      <c r="P151" s="6" t="s">
        <v>242</v>
      </c>
      <c r="Q151" s="6" t="s">
        <v>256</v>
      </c>
      <c r="R151" s="6" t="s">
        <v>256</v>
      </c>
      <c r="S151" s="6" t="s">
        <v>9</v>
      </c>
      <c r="T151" s="6" t="s">
        <v>245</v>
      </c>
      <c r="U151" s="6" t="s">
        <v>127</v>
      </c>
      <c r="V151" s="6" t="s">
        <v>775</v>
      </c>
      <c r="W151" s="6" t="s">
        <v>83</v>
      </c>
      <c r="X151" s="6" t="s">
        <v>83</v>
      </c>
      <c r="Y151" s="6" t="s">
        <v>83</v>
      </c>
      <c r="Z151" s="6" t="s">
        <v>57</v>
      </c>
      <c r="AA151" s="6" t="s">
        <v>83</v>
      </c>
      <c r="AB151" s="6">
        <v>220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>
        <v>0</v>
      </c>
      <c r="AI151" s="6" t="s">
        <v>776</v>
      </c>
      <c r="AJ151" s="6" t="s">
        <v>259</v>
      </c>
      <c r="AK151" s="6" t="s">
        <v>12</v>
      </c>
      <c r="AL151" s="6" t="s">
        <v>50</v>
      </c>
      <c r="AM151" s="6" t="s">
        <v>260</v>
      </c>
      <c r="AN151" s="6" t="s">
        <v>20</v>
      </c>
      <c r="AO151" s="6" t="s">
        <v>261</v>
      </c>
      <c r="AP151" s="6" t="s">
        <v>262</v>
      </c>
      <c r="AQ151" s="6" t="s">
        <v>30</v>
      </c>
    </row>
    <row r="152" spans="1:43" x14ac:dyDescent="0.25">
      <c r="A152" s="6">
        <v>22732581</v>
      </c>
      <c r="B152" s="6">
        <v>23530007</v>
      </c>
      <c r="C152" s="6" t="s">
        <v>237</v>
      </c>
      <c r="D152" s="14">
        <v>45881.7893287037</v>
      </c>
      <c r="E152" s="14">
        <v>45881.826956018522</v>
      </c>
      <c r="F152" s="6" t="s">
        <v>17</v>
      </c>
      <c r="G152" s="6" t="s">
        <v>17</v>
      </c>
      <c r="H152" s="6" t="s">
        <v>777</v>
      </c>
      <c r="I152" s="6" t="s">
        <v>253</v>
      </c>
      <c r="J152" s="6" t="s">
        <v>778</v>
      </c>
      <c r="K152" s="6" t="s">
        <v>255</v>
      </c>
      <c r="L152" s="6" t="s">
        <v>255</v>
      </c>
      <c r="M152" s="14">
        <v>45881.627083333333</v>
      </c>
      <c r="N152" s="6">
        <v>76934</v>
      </c>
      <c r="O152" s="6" t="s">
        <v>779</v>
      </c>
      <c r="P152" s="6" t="s">
        <v>242</v>
      </c>
      <c r="Q152" s="6" t="s">
        <v>243</v>
      </c>
      <c r="R152" s="6" t="s">
        <v>244</v>
      </c>
      <c r="S152" s="6" t="s">
        <v>8</v>
      </c>
      <c r="T152" s="6" t="s">
        <v>245</v>
      </c>
      <c r="U152" s="6" t="s">
        <v>127</v>
      </c>
      <c r="V152" s="6" t="s">
        <v>775</v>
      </c>
      <c r="W152" s="6" t="s">
        <v>83</v>
      </c>
      <c r="X152" s="6" t="s">
        <v>83</v>
      </c>
      <c r="Y152" s="6" t="s">
        <v>83</v>
      </c>
      <c r="Z152" s="6" t="s">
        <v>57</v>
      </c>
      <c r="AA152" s="6" t="s">
        <v>83</v>
      </c>
      <c r="AB152" s="6">
        <v>1472.0160000000001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>
        <v>0</v>
      </c>
      <c r="AI152" s="6" t="s">
        <v>780</v>
      </c>
      <c r="AJ152" s="6" t="s">
        <v>259</v>
      </c>
      <c r="AK152" s="6" t="s">
        <v>12</v>
      </c>
      <c r="AL152" s="6" t="s">
        <v>50</v>
      </c>
      <c r="AM152" s="6" t="s">
        <v>260</v>
      </c>
      <c r="AN152" s="6" t="s">
        <v>20</v>
      </c>
      <c r="AO152" s="6" t="s">
        <v>250</v>
      </c>
      <c r="AP152" s="6" t="s">
        <v>251</v>
      </c>
      <c r="AQ152" s="6" t="s">
        <v>18</v>
      </c>
    </row>
    <row r="153" spans="1:43" x14ac:dyDescent="0.25">
      <c r="A153" s="6">
        <v>22727046</v>
      </c>
      <c r="B153" s="6">
        <v>23525122</v>
      </c>
      <c r="C153" s="6" t="s">
        <v>237</v>
      </c>
      <c r="D153" s="14">
        <v>45881.013981481483</v>
      </c>
      <c r="E153" s="14">
        <v>45881.038472222222</v>
      </c>
      <c r="F153" s="6" t="s">
        <v>17</v>
      </c>
      <c r="G153" s="6" t="s">
        <v>17</v>
      </c>
      <c r="H153" s="6" t="s">
        <v>781</v>
      </c>
      <c r="I153" s="6" t="s">
        <v>253</v>
      </c>
      <c r="J153" s="6" t="s">
        <v>782</v>
      </c>
      <c r="K153" s="6" t="s">
        <v>783</v>
      </c>
      <c r="L153" s="6" t="s">
        <v>783</v>
      </c>
      <c r="M153" s="14">
        <v>45880.752083333333</v>
      </c>
      <c r="N153" s="6">
        <v>76595</v>
      </c>
      <c r="O153" s="6" t="s">
        <v>83</v>
      </c>
      <c r="P153" s="6" t="s">
        <v>272</v>
      </c>
      <c r="Q153" s="6" t="s">
        <v>243</v>
      </c>
      <c r="R153" s="6" t="s">
        <v>244</v>
      </c>
      <c r="S153" s="6" t="s">
        <v>9</v>
      </c>
      <c r="T153" s="6" t="s">
        <v>245</v>
      </c>
      <c r="U153" s="6" t="s">
        <v>127</v>
      </c>
      <c r="V153" s="6" t="s">
        <v>771</v>
      </c>
      <c r="W153" s="6" t="s">
        <v>83</v>
      </c>
      <c r="X153" s="6" t="s">
        <v>83</v>
      </c>
      <c r="Y153" s="6" t="s">
        <v>83</v>
      </c>
      <c r="Z153" s="6" t="s">
        <v>57</v>
      </c>
      <c r="AA153" s="6" t="s">
        <v>83</v>
      </c>
      <c r="AB153" s="6">
        <v>234.08</v>
      </c>
      <c r="AC153" s="6">
        <v>0</v>
      </c>
      <c r="AD153" s="6">
        <v>0</v>
      </c>
      <c r="AE153" s="6">
        <v>0</v>
      </c>
      <c r="AF153" s="6">
        <v>0</v>
      </c>
      <c r="AG153" s="6">
        <v>0</v>
      </c>
      <c r="AH153" s="6">
        <v>0</v>
      </c>
      <c r="AI153" s="6" t="s">
        <v>784</v>
      </c>
      <c r="AJ153" s="6" t="s">
        <v>259</v>
      </c>
      <c r="AK153" s="6" t="s">
        <v>12</v>
      </c>
      <c r="AL153" s="6" t="s">
        <v>50</v>
      </c>
      <c r="AM153" s="6" t="s">
        <v>260</v>
      </c>
      <c r="AN153" s="6" t="s">
        <v>20</v>
      </c>
      <c r="AO153" s="6" t="s">
        <v>250</v>
      </c>
      <c r="AP153" s="6" t="s">
        <v>251</v>
      </c>
      <c r="AQ153" s="6" t="s">
        <v>18</v>
      </c>
    </row>
    <row r="154" spans="1:43" x14ac:dyDescent="0.25">
      <c r="A154" s="6">
        <v>22725403</v>
      </c>
      <c r="B154" s="6">
        <v>23523629</v>
      </c>
      <c r="C154" s="6" t="s">
        <v>237</v>
      </c>
      <c r="D154" s="14">
        <v>45880.7966087963</v>
      </c>
      <c r="E154" s="14">
        <v>45880.840902777767</v>
      </c>
      <c r="F154" s="6" t="s">
        <v>17</v>
      </c>
      <c r="G154" s="6" t="s">
        <v>17</v>
      </c>
      <c r="H154" s="6" t="s">
        <v>785</v>
      </c>
      <c r="I154" s="6" t="s">
        <v>253</v>
      </c>
      <c r="J154" s="6" t="s">
        <v>786</v>
      </c>
      <c r="K154" s="6" t="s">
        <v>770</v>
      </c>
      <c r="L154" s="6" t="s">
        <v>770</v>
      </c>
      <c r="M154" s="14">
        <v>45880.728472222218</v>
      </c>
      <c r="N154" s="6">
        <v>76562</v>
      </c>
      <c r="O154" s="6" t="s">
        <v>83</v>
      </c>
      <c r="P154" s="6" t="s">
        <v>272</v>
      </c>
      <c r="Q154" s="6" t="s">
        <v>256</v>
      </c>
      <c r="R154" s="6" t="s">
        <v>256</v>
      </c>
      <c r="S154" s="6" t="s">
        <v>9</v>
      </c>
      <c r="T154" s="6" t="s">
        <v>245</v>
      </c>
      <c r="U154" s="6" t="s">
        <v>127</v>
      </c>
      <c r="V154" s="6" t="s">
        <v>775</v>
      </c>
      <c r="W154" s="6" t="s">
        <v>83</v>
      </c>
      <c r="X154" s="6" t="s">
        <v>83</v>
      </c>
      <c r="Y154" s="6" t="s">
        <v>83</v>
      </c>
      <c r="Z154" s="6" t="s">
        <v>57</v>
      </c>
      <c r="AA154" s="6" t="s">
        <v>83</v>
      </c>
      <c r="AB154" s="6">
        <v>600</v>
      </c>
      <c r="AC154" s="6">
        <v>0</v>
      </c>
      <c r="AD154" s="6">
        <v>0</v>
      </c>
      <c r="AE154" s="6">
        <v>0</v>
      </c>
      <c r="AF154" s="6">
        <v>0</v>
      </c>
      <c r="AG154" s="6">
        <v>0</v>
      </c>
      <c r="AH154" s="6">
        <v>0</v>
      </c>
      <c r="AI154" s="6" t="s">
        <v>787</v>
      </c>
      <c r="AJ154" s="6" t="s">
        <v>259</v>
      </c>
      <c r="AK154" s="6" t="s">
        <v>12</v>
      </c>
      <c r="AL154" s="6" t="s">
        <v>50</v>
      </c>
      <c r="AM154" s="6" t="s">
        <v>260</v>
      </c>
      <c r="AN154" s="6" t="s">
        <v>20</v>
      </c>
      <c r="AO154" s="6" t="s">
        <v>250</v>
      </c>
      <c r="AP154" s="6" t="s">
        <v>251</v>
      </c>
      <c r="AQ154" s="6" t="s">
        <v>18</v>
      </c>
    </row>
    <row r="155" spans="1:43" x14ac:dyDescent="0.25">
      <c r="A155" s="6">
        <v>22703819</v>
      </c>
      <c r="B155" s="6">
        <v>23505909</v>
      </c>
      <c r="C155" s="6" t="s">
        <v>237</v>
      </c>
      <c r="D155" s="14">
        <v>45876.801087962973</v>
      </c>
      <c r="E155" s="14">
        <v>45876.840532407397</v>
      </c>
      <c r="F155" s="6" t="s">
        <v>21</v>
      </c>
      <c r="G155" s="6" t="s">
        <v>21</v>
      </c>
      <c r="H155" s="6" t="s">
        <v>788</v>
      </c>
      <c r="I155" s="6" t="s">
        <v>253</v>
      </c>
      <c r="J155" s="6" t="s">
        <v>789</v>
      </c>
      <c r="K155" s="6" t="s">
        <v>770</v>
      </c>
      <c r="L155" s="6" t="s">
        <v>770</v>
      </c>
      <c r="M155" s="14">
        <v>45876.593055555553</v>
      </c>
      <c r="N155" s="6">
        <v>76303</v>
      </c>
      <c r="O155" s="6" t="s">
        <v>83</v>
      </c>
      <c r="P155" s="6" t="s">
        <v>272</v>
      </c>
      <c r="Q155" s="6" t="s">
        <v>256</v>
      </c>
      <c r="R155" s="6" t="s">
        <v>256</v>
      </c>
      <c r="S155" s="6" t="s">
        <v>9</v>
      </c>
      <c r="T155" s="6" t="s">
        <v>245</v>
      </c>
      <c r="U155" s="6" t="s">
        <v>127</v>
      </c>
      <c r="V155" s="6" t="s">
        <v>771</v>
      </c>
      <c r="W155" s="6" t="s">
        <v>83</v>
      </c>
      <c r="X155" s="6" t="s">
        <v>83</v>
      </c>
      <c r="Y155" s="6" t="s">
        <v>83</v>
      </c>
      <c r="Z155" s="6" t="s">
        <v>57</v>
      </c>
      <c r="AA155" s="6" t="s">
        <v>83</v>
      </c>
      <c r="AB155" s="6">
        <v>185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>
        <v>0</v>
      </c>
      <c r="AI155" s="6" t="s">
        <v>790</v>
      </c>
      <c r="AJ155" s="6" t="s">
        <v>259</v>
      </c>
      <c r="AK155" s="6" t="s">
        <v>12</v>
      </c>
      <c r="AL155" s="6" t="s">
        <v>50</v>
      </c>
      <c r="AM155" s="6" t="s">
        <v>260</v>
      </c>
      <c r="AN155" s="6" t="s">
        <v>20</v>
      </c>
      <c r="AO155" s="6" t="s">
        <v>250</v>
      </c>
      <c r="AP155" s="6" t="s">
        <v>251</v>
      </c>
      <c r="AQ155" s="6" t="s">
        <v>18</v>
      </c>
    </row>
    <row r="156" spans="1:43" x14ac:dyDescent="0.25">
      <c r="A156" s="6">
        <v>22703820</v>
      </c>
      <c r="B156" s="6">
        <v>23505910</v>
      </c>
      <c r="C156" s="6" t="s">
        <v>237</v>
      </c>
      <c r="D156" s="14">
        <v>45876.801180555558</v>
      </c>
      <c r="E156" s="14">
        <v>45876.840532407397</v>
      </c>
      <c r="F156" s="6" t="s">
        <v>21</v>
      </c>
      <c r="G156" s="6" t="s">
        <v>21</v>
      </c>
      <c r="H156" s="6" t="s">
        <v>791</v>
      </c>
      <c r="I156" s="6" t="s">
        <v>253</v>
      </c>
      <c r="J156" s="6" t="s">
        <v>792</v>
      </c>
      <c r="K156" s="6" t="s">
        <v>770</v>
      </c>
      <c r="L156" s="6" t="s">
        <v>770</v>
      </c>
      <c r="M156" s="14">
        <v>45876.583333333343</v>
      </c>
      <c r="N156" s="6">
        <v>76302</v>
      </c>
      <c r="O156" s="6" t="s">
        <v>83</v>
      </c>
      <c r="P156" s="6" t="s">
        <v>272</v>
      </c>
      <c r="Q156" s="6" t="s">
        <v>256</v>
      </c>
      <c r="R156" s="6" t="s">
        <v>256</v>
      </c>
      <c r="S156" s="6" t="s">
        <v>9</v>
      </c>
      <c r="T156" s="6" t="s">
        <v>245</v>
      </c>
      <c r="U156" s="6" t="s">
        <v>127</v>
      </c>
      <c r="V156" s="6" t="s">
        <v>771</v>
      </c>
      <c r="W156" s="6" t="s">
        <v>83</v>
      </c>
      <c r="X156" s="6" t="s">
        <v>83</v>
      </c>
      <c r="Y156" s="6" t="s">
        <v>83</v>
      </c>
      <c r="Z156" s="6" t="s">
        <v>57</v>
      </c>
      <c r="AA156" s="6" t="s">
        <v>83</v>
      </c>
      <c r="AB156" s="6">
        <v>185.02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 t="s">
        <v>793</v>
      </c>
      <c r="AJ156" s="6" t="s">
        <v>259</v>
      </c>
      <c r="AK156" s="6" t="s">
        <v>12</v>
      </c>
      <c r="AL156" s="6" t="s">
        <v>50</v>
      </c>
      <c r="AM156" s="6" t="s">
        <v>260</v>
      </c>
      <c r="AN156" s="6" t="s">
        <v>20</v>
      </c>
      <c r="AO156" s="6" t="s">
        <v>250</v>
      </c>
      <c r="AP156" s="6" t="s">
        <v>251</v>
      </c>
      <c r="AQ156" s="6" t="s">
        <v>18</v>
      </c>
    </row>
    <row r="157" spans="1:43" x14ac:dyDescent="0.25">
      <c r="A157" s="6">
        <v>22722325</v>
      </c>
      <c r="B157" s="6">
        <v>23520682</v>
      </c>
      <c r="C157" s="6" t="s">
        <v>237</v>
      </c>
      <c r="D157" s="14">
        <v>45880.523958333331</v>
      </c>
      <c r="E157" s="14">
        <v>45880.560057870367</v>
      </c>
      <c r="F157" s="6" t="s">
        <v>17</v>
      </c>
      <c r="G157" s="6" t="s">
        <v>17</v>
      </c>
      <c r="H157" s="6" t="s">
        <v>794</v>
      </c>
      <c r="I157" s="6" t="s">
        <v>253</v>
      </c>
      <c r="J157" s="6" t="s">
        <v>795</v>
      </c>
      <c r="K157" s="6" t="s">
        <v>770</v>
      </c>
      <c r="L157" s="6" t="s">
        <v>770</v>
      </c>
      <c r="M157" s="14">
        <v>45880.361805555563</v>
      </c>
      <c r="N157" s="6">
        <v>76560</v>
      </c>
      <c r="O157" s="6" t="s">
        <v>83</v>
      </c>
      <c r="P157" s="6" t="s">
        <v>272</v>
      </c>
      <c r="Q157" s="6" t="s">
        <v>256</v>
      </c>
      <c r="R157" s="6" t="s">
        <v>256</v>
      </c>
      <c r="S157" s="6" t="s">
        <v>9</v>
      </c>
      <c r="T157" s="6" t="s">
        <v>245</v>
      </c>
      <c r="U157" s="6" t="s">
        <v>127</v>
      </c>
      <c r="V157" s="6" t="s">
        <v>775</v>
      </c>
      <c r="W157" s="6" t="s">
        <v>83</v>
      </c>
      <c r="X157" s="6" t="s">
        <v>83</v>
      </c>
      <c r="Y157" s="6" t="s">
        <v>83</v>
      </c>
      <c r="Z157" s="6" t="s">
        <v>57</v>
      </c>
      <c r="AA157" s="6" t="s">
        <v>83</v>
      </c>
      <c r="AB157" s="6">
        <v>600</v>
      </c>
      <c r="AC157" s="6">
        <v>0</v>
      </c>
      <c r="AD157" s="6">
        <v>0</v>
      </c>
      <c r="AE157" s="6">
        <v>0</v>
      </c>
      <c r="AF157" s="6">
        <v>0</v>
      </c>
      <c r="AG157" s="6">
        <v>0</v>
      </c>
      <c r="AH157" s="6">
        <v>0</v>
      </c>
      <c r="AI157" s="6" t="s">
        <v>796</v>
      </c>
      <c r="AJ157" s="6" t="s">
        <v>259</v>
      </c>
      <c r="AK157" s="6" t="s">
        <v>12</v>
      </c>
      <c r="AL157" s="6" t="s">
        <v>50</v>
      </c>
      <c r="AM157" s="6" t="s">
        <v>260</v>
      </c>
      <c r="AN157" s="6" t="s">
        <v>20</v>
      </c>
      <c r="AO157" s="6" t="s">
        <v>250</v>
      </c>
      <c r="AP157" s="6" t="s">
        <v>251</v>
      </c>
      <c r="AQ157" s="6" t="s">
        <v>18</v>
      </c>
    </row>
    <row r="158" spans="1:43" x14ac:dyDescent="0.25">
      <c r="A158" s="6">
        <v>22667347</v>
      </c>
      <c r="B158" s="6">
        <v>23475160</v>
      </c>
      <c r="C158" s="6" t="s">
        <v>237</v>
      </c>
      <c r="D158" s="14">
        <v>45870.78365740741</v>
      </c>
      <c r="E158" s="14">
        <v>45870.823865740742</v>
      </c>
      <c r="F158" s="6" t="s">
        <v>23</v>
      </c>
      <c r="G158" s="6" t="s">
        <v>23</v>
      </c>
      <c r="H158" s="6" t="s">
        <v>797</v>
      </c>
      <c r="I158" s="6" t="s">
        <v>253</v>
      </c>
      <c r="J158" s="6" t="s">
        <v>798</v>
      </c>
      <c r="K158" s="6" t="s">
        <v>255</v>
      </c>
      <c r="L158" s="6" t="s">
        <v>255</v>
      </c>
      <c r="M158" s="14">
        <v>45870.730555555558</v>
      </c>
      <c r="N158" s="6">
        <v>75692</v>
      </c>
      <c r="O158" s="6" t="s">
        <v>799</v>
      </c>
      <c r="P158" s="6" t="s">
        <v>242</v>
      </c>
      <c r="Q158" s="6" t="s">
        <v>243</v>
      </c>
      <c r="R158" s="6" t="s">
        <v>244</v>
      </c>
      <c r="S158" s="6" t="s">
        <v>8</v>
      </c>
      <c r="T158" s="6" t="s">
        <v>245</v>
      </c>
      <c r="U158" s="6" t="s">
        <v>127</v>
      </c>
      <c r="V158" s="6" t="s">
        <v>771</v>
      </c>
      <c r="W158" s="6" t="s">
        <v>83</v>
      </c>
      <c r="X158" s="6" t="s">
        <v>83</v>
      </c>
      <c r="Y158" s="6" t="s">
        <v>83</v>
      </c>
      <c r="Z158" s="6" t="s">
        <v>57</v>
      </c>
      <c r="AA158" s="6" t="s">
        <v>83</v>
      </c>
      <c r="AB158" s="6">
        <v>509.54399999999998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800</v>
      </c>
      <c r="AJ158" s="6" t="s">
        <v>259</v>
      </c>
      <c r="AK158" s="6" t="s">
        <v>12</v>
      </c>
      <c r="AL158" s="6" t="s">
        <v>50</v>
      </c>
      <c r="AM158" s="6" t="s">
        <v>260</v>
      </c>
      <c r="AN158" s="6" t="s">
        <v>20</v>
      </c>
      <c r="AO158" s="6" t="s">
        <v>250</v>
      </c>
      <c r="AP158" s="6" t="s">
        <v>251</v>
      </c>
      <c r="AQ158" s="6" t="s">
        <v>18</v>
      </c>
    </row>
    <row r="159" spans="1:43" x14ac:dyDescent="0.25">
      <c r="A159" s="6">
        <v>22615074</v>
      </c>
      <c r="B159" s="6">
        <v>23431403</v>
      </c>
      <c r="C159" s="6" t="s">
        <v>237</v>
      </c>
      <c r="D159" s="14">
        <v>45861.778761574067</v>
      </c>
      <c r="E159" s="14">
        <v>45861.816435185188</v>
      </c>
      <c r="F159" s="46" t="s">
        <v>25</v>
      </c>
      <c r="G159" s="46" t="s">
        <v>25</v>
      </c>
      <c r="H159" s="6" t="s">
        <v>801</v>
      </c>
      <c r="I159" s="6" t="s">
        <v>253</v>
      </c>
      <c r="J159" s="6" t="s">
        <v>802</v>
      </c>
      <c r="K159" s="6" t="s">
        <v>255</v>
      </c>
      <c r="L159" s="6" t="s">
        <v>255</v>
      </c>
      <c r="M159" s="14">
        <v>45861.602777777778</v>
      </c>
      <c r="N159" s="6">
        <v>74580</v>
      </c>
      <c r="O159" s="6" t="s">
        <v>83</v>
      </c>
      <c r="P159" s="6" t="s">
        <v>242</v>
      </c>
      <c r="Q159" s="6" t="s">
        <v>256</v>
      </c>
      <c r="R159" s="6" t="s">
        <v>256</v>
      </c>
      <c r="S159" s="6" t="s">
        <v>9</v>
      </c>
      <c r="T159" s="6" t="s">
        <v>245</v>
      </c>
      <c r="U159" s="6" t="s">
        <v>127</v>
      </c>
      <c r="V159" s="6" t="s">
        <v>771</v>
      </c>
      <c r="W159" s="6" t="s">
        <v>83</v>
      </c>
      <c r="X159" s="6" t="s">
        <v>83</v>
      </c>
      <c r="Y159" s="6" t="s">
        <v>83</v>
      </c>
      <c r="Z159" s="6" t="s">
        <v>57</v>
      </c>
      <c r="AA159" s="6" t="s">
        <v>83</v>
      </c>
      <c r="AB159" s="6">
        <v>717</v>
      </c>
      <c r="AC159" s="6">
        <v>0</v>
      </c>
      <c r="AD159" s="6">
        <v>0</v>
      </c>
      <c r="AE159" s="6">
        <v>0</v>
      </c>
      <c r="AF159" s="6">
        <v>0</v>
      </c>
      <c r="AG159" s="6">
        <v>14.4</v>
      </c>
      <c r="AH159" s="6">
        <v>0</v>
      </c>
      <c r="AI159" s="6" t="s">
        <v>803</v>
      </c>
      <c r="AJ159" s="6" t="s">
        <v>259</v>
      </c>
      <c r="AK159" s="6" t="s">
        <v>12</v>
      </c>
      <c r="AL159" s="6" t="s">
        <v>50</v>
      </c>
      <c r="AM159" s="6" t="s">
        <v>260</v>
      </c>
      <c r="AN159" s="6" t="s">
        <v>20</v>
      </c>
      <c r="AO159" s="6" t="s">
        <v>261</v>
      </c>
      <c r="AP159" s="6" t="s">
        <v>262</v>
      </c>
      <c r="AQ159" s="6" t="s">
        <v>30</v>
      </c>
    </row>
    <row r="160" spans="1:43" x14ac:dyDescent="0.25">
      <c r="A160" s="6">
        <v>22690391</v>
      </c>
      <c r="B160" s="6">
        <v>23493899</v>
      </c>
      <c r="C160" s="6" t="s">
        <v>237</v>
      </c>
      <c r="D160" s="14">
        <v>45875.011678240742</v>
      </c>
      <c r="E160" s="14">
        <v>45875.01834490741</v>
      </c>
      <c r="F160" s="6" t="s">
        <v>21</v>
      </c>
      <c r="G160" s="6" t="s">
        <v>21</v>
      </c>
      <c r="H160" s="6" t="s">
        <v>804</v>
      </c>
      <c r="I160" s="6" t="s">
        <v>253</v>
      </c>
      <c r="J160" s="6" t="s">
        <v>798</v>
      </c>
      <c r="K160" s="6" t="s">
        <v>255</v>
      </c>
      <c r="L160" s="6" t="s">
        <v>255</v>
      </c>
      <c r="M160" s="14">
        <v>45874.786805555559</v>
      </c>
      <c r="N160" s="6">
        <v>76097</v>
      </c>
      <c r="O160" s="6" t="s">
        <v>83</v>
      </c>
      <c r="P160" s="6" t="s">
        <v>242</v>
      </c>
      <c r="Q160" s="6" t="s">
        <v>256</v>
      </c>
      <c r="R160" s="6" t="s">
        <v>256</v>
      </c>
      <c r="S160" s="6" t="s">
        <v>9</v>
      </c>
      <c r="T160" s="6" t="s">
        <v>245</v>
      </c>
      <c r="U160" s="6" t="s">
        <v>127</v>
      </c>
      <c r="V160" s="6" t="s">
        <v>771</v>
      </c>
      <c r="W160" s="6" t="s">
        <v>83</v>
      </c>
      <c r="X160" s="6" t="s">
        <v>83</v>
      </c>
      <c r="Y160" s="6" t="s">
        <v>83</v>
      </c>
      <c r="Z160" s="6" t="s">
        <v>57</v>
      </c>
      <c r="AA160" s="6" t="s">
        <v>83</v>
      </c>
      <c r="AB160" s="6">
        <v>295</v>
      </c>
      <c r="AC160" s="6">
        <v>0</v>
      </c>
      <c r="AD160" s="6">
        <v>0</v>
      </c>
      <c r="AE160" s="6">
        <v>0</v>
      </c>
      <c r="AF160" s="6">
        <v>0</v>
      </c>
      <c r="AG160" s="6">
        <v>14.75</v>
      </c>
      <c r="AH160" s="6">
        <v>0</v>
      </c>
      <c r="AI160" s="6" t="s">
        <v>805</v>
      </c>
      <c r="AJ160" s="6" t="s">
        <v>259</v>
      </c>
      <c r="AK160" s="6" t="s">
        <v>12</v>
      </c>
      <c r="AL160" s="6" t="s">
        <v>50</v>
      </c>
      <c r="AM160" s="6" t="s">
        <v>260</v>
      </c>
      <c r="AN160" s="6" t="s">
        <v>20</v>
      </c>
      <c r="AO160" s="6" t="s">
        <v>261</v>
      </c>
      <c r="AP160" s="6" t="s">
        <v>262</v>
      </c>
      <c r="AQ160" s="6" t="s">
        <v>30</v>
      </c>
    </row>
    <row r="161" spans="1:43" x14ac:dyDescent="0.25">
      <c r="A161" s="6">
        <v>22690425</v>
      </c>
      <c r="B161" s="6">
        <v>23493933</v>
      </c>
      <c r="C161" s="6" t="s">
        <v>237</v>
      </c>
      <c r="D161" s="14">
        <v>45875.014456018522</v>
      </c>
      <c r="E161" s="14">
        <v>45875.02484953704</v>
      </c>
      <c r="F161" s="6" t="s">
        <v>21</v>
      </c>
      <c r="G161" s="6" t="s">
        <v>21</v>
      </c>
      <c r="H161" s="6" t="s">
        <v>806</v>
      </c>
      <c r="I161" s="6" t="s">
        <v>253</v>
      </c>
      <c r="J161" s="6" t="s">
        <v>807</v>
      </c>
      <c r="K161" s="6" t="s">
        <v>255</v>
      </c>
      <c r="L161" s="6" t="s">
        <v>255</v>
      </c>
      <c r="M161" s="14">
        <v>45874.751388888893</v>
      </c>
      <c r="N161" s="6">
        <v>75930</v>
      </c>
      <c r="O161" s="6" t="s">
        <v>83</v>
      </c>
      <c r="P161" s="6" t="s">
        <v>242</v>
      </c>
      <c r="Q161" s="6" t="s">
        <v>256</v>
      </c>
      <c r="R161" s="6" t="s">
        <v>256</v>
      </c>
      <c r="S161" s="6" t="s">
        <v>9</v>
      </c>
      <c r="T161" s="6" t="s">
        <v>245</v>
      </c>
      <c r="U161" s="6" t="s">
        <v>127</v>
      </c>
      <c r="V161" s="6" t="s">
        <v>771</v>
      </c>
      <c r="W161" s="6" t="s">
        <v>83</v>
      </c>
      <c r="X161" s="6" t="s">
        <v>83</v>
      </c>
      <c r="Y161" s="6" t="s">
        <v>83</v>
      </c>
      <c r="Z161" s="6" t="s">
        <v>57</v>
      </c>
      <c r="AA161" s="6" t="s">
        <v>83</v>
      </c>
      <c r="AB161" s="6">
        <v>590</v>
      </c>
      <c r="AC161" s="6">
        <v>0</v>
      </c>
      <c r="AD161" s="6">
        <v>0</v>
      </c>
      <c r="AE161" s="6">
        <v>0</v>
      </c>
      <c r="AF161" s="6">
        <v>0</v>
      </c>
      <c r="AG161" s="6">
        <v>29.5</v>
      </c>
      <c r="AH161" s="6">
        <v>0</v>
      </c>
      <c r="AI161" s="6" t="s">
        <v>808</v>
      </c>
      <c r="AJ161" s="6" t="s">
        <v>259</v>
      </c>
      <c r="AK161" s="6" t="s">
        <v>12</v>
      </c>
      <c r="AL161" s="6" t="s">
        <v>50</v>
      </c>
      <c r="AM161" s="6" t="s">
        <v>260</v>
      </c>
      <c r="AN161" s="6" t="s">
        <v>20</v>
      </c>
      <c r="AO161" s="6" t="s">
        <v>261</v>
      </c>
      <c r="AP161" s="6" t="s">
        <v>262</v>
      </c>
      <c r="AQ161" s="6" t="s">
        <v>30</v>
      </c>
    </row>
    <row r="162" spans="1:43" x14ac:dyDescent="0.25">
      <c r="A162" s="6">
        <v>22719691</v>
      </c>
      <c r="B162" s="6">
        <v>23518614</v>
      </c>
      <c r="C162" s="6" t="s">
        <v>237</v>
      </c>
      <c r="D162" s="14">
        <v>45880.002592592587</v>
      </c>
      <c r="E162" s="14">
        <v>45880.549884259257</v>
      </c>
      <c r="F162" s="6" t="s">
        <v>17</v>
      </c>
      <c r="G162" s="6" t="s">
        <v>17</v>
      </c>
      <c r="H162" s="6" t="s">
        <v>809</v>
      </c>
      <c r="I162" s="6" t="s">
        <v>253</v>
      </c>
      <c r="J162" s="6" t="s">
        <v>810</v>
      </c>
      <c r="K162" s="6" t="s">
        <v>255</v>
      </c>
      <c r="L162" s="6" t="s">
        <v>255</v>
      </c>
      <c r="M162" s="14">
        <v>45879.82916666667</v>
      </c>
      <c r="N162" s="6">
        <v>76619</v>
      </c>
      <c r="O162" s="6" t="s">
        <v>83</v>
      </c>
      <c r="P162" s="6" t="s">
        <v>242</v>
      </c>
      <c r="Q162" s="6" t="s">
        <v>256</v>
      </c>
      <c r="R162" s="6" t="s">
        <v>256</v>
      </c>
      <c r="S162" s="6" t="s">
        <v>9</v>
      </c>
      <c r="T162" s="6" t="s">
        <v>245</v>
      </c>
      <c r="U162" s="6" t="s">
        <v>127</v>
      </c>
      <c r="V162" s="6" t="s">
        <v>771</v>
      </c>
      <c r="W162" s="6" t="s">
        <v>83</v>
      </c>
      <c r="X162" s="6" t="s">
        <v>811</v>
      </c>
      <c r="Y162" s="6" t="s">
        <v>83</v>
      </c>
      <c r="Z162" s="6" t="s">
        <v>57</v>
      </c>
      <c r="AA162" s="6" t="s">
        <v>83</v>
      </c>
      <c r="AB162" s="6">
        <v>280</v>
      </c>
      <c r="AC162" s="6">
        <v>0</v>
      </c>
      <c r="AD162" s="6">
        <v>0</v>
      </c>
      <c r="AE162" s="6">
        <v>0</v>
      </c>
      <c r="AF162" s="6">
        <v>0</v>
      </c>
      <c r="AG162" s="6">
        <v>14</v>
      </c>
      <c r="AH162" s="6">
        <v>0</v>
      </c>
      <c r="AI162" s="6" t="s">
        <v>812</v>
      </c>
      <c r="AJ162" s="6" t="s">
        <v>813</v>
      </c>
      <c r="AK162" s="6" t="s">
        <v>12</v>
      </c>
      <c r="AL162" s="6" t="s">
        <v>56</v>
      </c>
      <c r="AM162" s="6" t="s">
        <v>331</v>
      </c>
      <c r="AN162" s="6" t="s">
        <v>20</v>
      </c>
      <c r="AO162" s="6" t="s">
        <v>250</v>
      </c>
      <c r="AP162" s="6" t="s">
        <v>251</v>
      </c>
      <c r="AQ162" s="6" t="s">
        <v>18</v>
      </c>
    </row>
    <row r="163" spans="1:43" x14ac:dyDescent="0.25">
      <c r="A163" s="6">
        <v>22725415</v>
      </c>
      <c r="B163" s="6">
        <v>23523642</v>
      </c>
      <c r="C163" s="6" t="s">
        <v>237</v>
      </c>
      <c r="D163" s="14">
        <v>45880.797534722216</v>
      </c>
      <c r="E163" s="14">
        <v>45880.841168981482</v>
      </c>
      <c r="F163" s="6" t="s">
        <v>17</v>
      </c>
      <c r="G163" s="6" t="s">
        <v>17</v>
      </c>
      <c r="H163" s="6" t="s">
        <v>814</v>
      </c>
      <c r="I163" s="6" t="s">
        <v>253</v>
      </c>
      <c r="J163" s="6" t="s">
        <v>815</v>
      </c>
      <c r="K163" s="6" t="s">
        <v>816</v>
      </c>
      <c r="L163" s="6" t="s">
        <v>816</v>
      </c>
      <c r="M163" s="14">
        <v>45880.744444444441</v>
      </c>
      <c r="N163" s="6">
        <v>76305</v>
      </c>
      <c r="O163" s="6" t="s">
        <v>83</v>
      </c>
      <c r="P163" s="6" t="s">
        <v>242</v>
      </c>
      <c r="Q163" s="6" t="s">
        <v>256</v>
      </c>
      <c r="R163" s="6" t="s">
        <v>256</v>
      </c>
      <c r="S163" s="6" t="s">
        <v>9</v>
      </c>
      <c r="T163" s="6" t="s">
        <v>245</v>
      </c>
      <c r="U163" s="6" t="s">
        <v>127</v>
      </c>
      <c r="V163" s="6" t="s">
        <v>771</v>
      </c>
      <c r="W163" s="6" t="s">
        <v>83</v>
      </c>
      <c r="X163" s="6" t="s">
        <v>83</v>
      </c>
      <c r="Y163" s="6" t="s">
        <v>83</v>
      </c>
      <c r="Z163" s="6" t="s">
        <v>57</v>
      </c>
      <c r="AA163" s="6" t="s">
        <v>83</v>
      </c>
      <c r="AB163" s="6">
        <v>826.5</v>
      </c>
      <c r="AC163" s="6">
        <v>0</v>
      </c>
      <c r="AD163" s="6">
        <v>0</v>
      </c>
      <c r="AE163" s="6">
        <v>0</v>
      </c>
      <c r="AF163" s="6">
        <v>0</v>
      </c>
      <c r="AG163" s="6">
        <v>107.45</v>
      </c>
      <c r="AH163" s="6">
        <v>0</v>
      </c>
      <c r="AI163" s="6" t="s">
        <v>817</v>
      </c>
      <c r="AJ163" s="6" t="s">
        <v>259</v>
      </c>
      <c r="AK163" s="6" t="s">
        <v>12</v>
      </c>
      <c r="AL163" s="6" t="s">
        <v>50</v>
      </c>
      <c r="AM163" s="6" t="s">
        <v>260</v>
      </c>
      <c r="AN163" s="6" t="s">
        <v>20</v>
      </c>
      <c r="AO163" s="6" t="s">
        <v>261</v>
      </c>
      <c r="AP163" s="6" t="s">
        <v>262</v>
      </c>
      <c r="AQ163" s="6" t="s">
        <v>30</v>
      </c>
    </row>
    <row r="164" spans="1:43" x14ac:dyDescent="0.25">
      <c r="A164" s="6">
        <v>22732653</v>
      </c>
      <c r="B164" s="6">
        <v>23530080</v>
      </c>
      <c r="C164" s="6" t="s">
        <v>237</v>
      </c>
      <c r="D164" s="14">
        <v>45881.793946759259</v>
      </c>
      <c r="E164" s="14">
        <v>45881.85533564815</v>
      </c>
      <c r="F164" s="6" t="s">
        <v>17</v>
      </c>
      <c r="G164" s="6" t="s">
        <v>17</v>
      </c>
      <c r="H164" s="6" t="s">
        <v>818</v>
      </c>
      <c r="I164" s="6" t="s">
        <v>253</v>
      </c>
      <c r="J164" s="6" t="s">
        <v>819</v>
      </c>
      <c r="K164" s="6" t="s">
        <v>820</v>
      </c>
      <c r="L164" s="6" t="s">
        <v>816</v>
      </c>
      <c r="M164" s="14">
        <v>45881.681250000001</v>
      </c>
      <c r="N164" s="6">
        <v>76090</v>
      </c>
      <c r="O164" s="6" t="s">
        <v>83</v>
      </c>
      <c r="P164" s="6" t="s">
        <v>242</v>
      </c>
      <c r="Q164" s="6" t="s">
        <v>256</v>
      </c>
      <c r="R164" s="6" t="s">
        <v>256</v>
      </c>
      <c r="S164" s="6" t="s">
        <v>9</v>
      </c>
      <c r="T164" s="6" t="s">
        <v>245</v>
      </c>
      <c r="U164" s="6" t="s">
        <v>127</v>
      </c>
      <c r="V164" s="6" t="s">
        <v>771</v>
      </c>
      <c r="W164" s="6" t="s">
        <v>83</v>
      </c>
      <c r="X164" s="6" t="s">
        <v>83</v>
      </c>
      <c r="Y164" s="6" t="s">
        <v>83</v>
      </c>
      <c r="Z164" s="6" t="s">
        <v>57</v>
      </c>
      <c r="AA164" s="6" t="s">
        <v>83</v>
      </c>
      <c r="AB164" s="6">
        <v>490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>
        <v>0</v>
      </c>
      <c r="AI164" s="6" t="s">
        <v>821</v>
      </c>
      <c r="AJ164" s="6" t="s">
        <v>259</v>
      </c>
      <c r="AK164" s="6" t="s">
        <v>12</v>
      </c>
      <c r="AL164" s="6" t="s">
        <v>50</v>
      </c>
      <c r="AM164" s="6" t="s">
        <v>260</v>
      </c>
      <c r="AN164" s="6" t="s">
        <v>20</v>
      </c>
      <c r="AO164" s="6" t="s">
        <v>261</v>
      </c>
      <c r="AP164" s="6" t="s">
        <v>262</v>
      </c>
      <c r="AQ164" s="6" t="s">
        <v>30</v>
      </c>
    </row>
    <row r="165" spans="1:43" x14ac:dyDescent="0.25">
      <c r="A165" s="6">
        <v>22685870</v>
      </c>
      <c r="B165" s="6">
        <v>23489673</v>
      </c>
      <c r="C165" s="6" t="s">
        <v>237</v>
      </c>
      <c r="D165" s="14">
        <v>45874.519560185188</v>
      </c>
      <c r="E165" s="14">
        <v>45874.552465277768</v>
      </c>
      <c r="F165" s="6" t="s">
        <v>21</v>
      </c>
      <c r="G165" s="6" t="s">
        <v>21</v>
      </c>
      <c r="H165" s="6" t="s">
        <v>822</v>
      </c>
      <c r="I165" s="6" t="s">
        <v>253</v>
      </c>
      <c r="J165" s="6" t="s">
        <v>823</v>
      </c>
      <c r="K165" s="6" t="s">
        <v>824</v>
      </c>
      <c r="L165" s="6" t="s">
        <v>824</v>
      </c>
      <c r="M165" s="14">
        <v>45874.472916666673</v>
      </c>
      <c r="N165" s="6">
        <v>75571</v>
      </c>
      <c r="O165" s="6" t="s">
        <v>83</v>
      </c>
      <c r="P165" s="6" t="s">
        <v>272</v>
      </c>
      <c r="Q165" s="6" t="s">
        <v>256</v>
      </c>
      <c r="R165" s="6" t="s">
        <v>256</v>
      </c>
      <c r="S165" s="6" t="s">
        <v>9</v>
      </c>
      <c r="T165" s="6" t="s">
        <v>245</v>
      </c>
      <c r="U165" s="6" t="s">
        <v>127</v>
      </c>
      <c r="V165" s="6" t="s">
        <v>771</v>
      </c>
      <c r="W165" s="6" t="s">
        <v>83</v>
      </c>
      <c r="X165" s="6" t="s">
        <v>83</v>
      </c>
      <c r="Y165" s="6" t="s">
        <v>83</v>
      </c>
      <c r="Z165" s="6" t="s">
        <v>57</v>
      </c>
      <c r="AA165" s="6" t="s">
        <v>83</v>
      </c>
      <c r="AB165" s="6">
        <v>797.88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825</v>
      </c>
      <c r="AJ165" s="6" t="s">
        <v>259</v>
      </c>
      <c r="AK165" s="6" t="s">
        <v>12</v>
      </c>
      <c r="AL165" s="6" t="s">
        <v>50</v>
      </c>
      <c r="AM165" s="6" t="s">
        <v>260</v>
      </c>
      <c r="AN165" s="6" t="s">
        <v>20</v>
      </c>
      <c r="AO165" s="6" t="s">
        <v>250</v>
      </c>
      <c r="AP165" s="6" t="s">
        <v>251</v>
      </c>
      <c r="AQ165" s="6" t="s">
        <v>18</v>
      </c>
    </row>
    <row r="166" spans="1:43" x14ac:dyDescent="0.25">
      <c r="A166" s="6">
        <v>22651362</v>
      </c>
      <c r="B166" s="6">
        <v>23460927</v>
      </c>
      <c r="C166" s="6" t="s">
        <v>237</v>
      </c>
      <c r="D166" s="14">
        <v>45868.540636574071</v>
      </c>
      <c r="E166" s="14">
        <v>45868.567835648151</v>
      </c>
      <c r="F166" s="6" t="s">
        <v>23</v>
      </c>
      <c r="G166" s="6" t="s">
        <v>23</v>
      </c>
      <c r="H166" s="6" t="s">
        <v>826</v>
      </c>
      <c r="I166" s="6" t="s">
        <v>253</v>
      </c>
      <c r="J166" s="6" t="s">
        <v>827</v>
      </c>
      <c r="K166" s="6" t="s">
        <v>824</v>
      </c>
      <c r="L166" s="6" t="s">
        <v>824</v>
      </c>
      <c r="M166" s="14">
        <v>45868.48541666667</v>
      </c>
      <c r="N166" s="6">
        <v>75371</v>
      </c>
      <c r="O166" s="6" t="s">
        <v>83</v>
      </c>
      <c r="P166" s="6" t="s">
        <v>272</v>
      </c>
      <c r="Q166" s="6" t="s">
        <v>256</v>
      </c>
      <c r="R166" s="6" t="s">
        <v>256</v>
      </c>
      <c r="S166" s="6" t="s">
        <v>9</v>
      </c>
      <c r="T166" s="6" t="s">
        <v>245</v>
      </c>
      <c r="U166" s="6" t="s">
        <v>127</v>
      </c>
      <c r="V166" s="6" t="s">
        <v>771</v>
      </c>
      <c r="W166" s="6" t="s">
        <v>83</v>
      </c>
      <c r="X166" s="6" t="s">
        <v>83</v>
      </c>
      <c r="Y166" s="6" t="s">
        <v>83</v>
      </c>
      <c r="Z166" s="6" t="s">
        <v>57</v>
      </c>
      <c r="AA166" s="6" t="s">
        <v>83</v>
      </c>
      <c r="AB166" s="6">
        <v>260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828</v>
      </c>
      <c r="AJ166" s="6" t="s">
        <v>259</v>
      </c>
      <c r="AK166" s="6" t="s">
        <v>12</v>
      </c>
      <c r="AL166" s="6" t="s">
        <v>50</v>
      </c>
      <c r="AM166" s="6" t="s">
        <v>260</v>
      </c>
      <c r="AN166" s="6" t="s">
        <v>20</v>
      </c>
      <c r="AO166" s="6" t="s">
        <v>250</v>
      </c>
      <c r="AP166" s="6" t="s">
        <v>251</v>
      </c>
      <c r="AQ166" s="6" t="s">
        <v>18</v>
      </c>
    </row>
    <row r="167" spans="1:43" x14ac:dyDescent="0.25">
      <c r="A167" s="6">
        <v>22703814</v>
      </c>
      <c r="B167" s="6">
        <v>23505905</v>
      </c>
      <c r="C167" s="6" t="s">
        <v>237</v>
      </c>
      <c r="D167" s="14">
        <v>45876.800706018519</v>
      </c>
      <c r="E167" s="14">
        <v>45876.83792824074</v>
      </c>
      <c r="F167" s="6" t="s">
        <v>21</v>
      </c>
      <c r="G167" s="6" t="s">
        <v>21</v>
      </c>
      <c r="H167" s="6" t="s">
        <v>829</v>
      </c>
      <c r="I167" s="6" t="s">
        <v>253</v>
      </c>
      <c r="J167" s="6" t="s">
        <v>830</v>
      </c>
      <c r="K167" s="6" t="s">
        <v>824</v>
      </c>
      <c r="L167" s="6" t="s">
        <v>824</v>
      </c>
      <c r="M167" s="14">
        <v>45876.509722222218</v>
      </c>
      <c r="N167" s="6">
        <v>76308</v>
      </c>
      <c r="O167" s="6" t="s">
        <v>83</v>
      </c>
      <c r="P167" s="6" t="s">
        <v>272</v>
      </c>
      <c r="Q167" s="6" t="s">
        <v>256</v>
      </c>
      <c r="R167" s="6" t="s">
        <v>256</v>
      </c>
      <c r="S167" s="6" t="s">
        <v>9</v>
      </c>
      <c r="T167" s="6" t="s">
        <v>245</v>
      </c>
      <c r="U167" s="6" t="s">
        <v>127</v>
      </c>
      <c r="V167" s="6" t="s">
        <v>771</v>
      </c>
      <c r="W167" s="6" t="s">
        <v>83</v>
      </c>
      <c r="X167" s="6" t="s">
        <v>83</v>
      </c>
      <c r="Y167" s="6" t="s">
        <v>83</v>
      </c>
      <c r="Z167" s="6" t="s">
        <v>57</v>
      </c>
      <c r="AA167" s="6" t="s">
        <v>83</v>
      </c>
      <c r="AB167" s="6">
        <v>139</v>
      </c>
      <c r="AC167" s="6">
        <v>0</v>
      </c>
      <c r="AD167" s="6">
        <v>0</v>
      </c>
      <c r="AE167" s="6">
        <v>0</v>
      </c>
      <c r="AF167" s="6">
        <v>0</v>
      </c>
      <c r="AG167" s="6">
        <v>20</v>
      </c>
      <c r="AH167" s="6">
        <v>0</v>
      </c>
      <c r="AI167" s="6" t="s">
        <v>831</v>
      </c>
      <c r="AJ167" s="6" t="s">
        <v>259</v>
      </c>
      <c r="AK167" s="6" t="s">
        <v>12</v>
      </c>
      <c r="AL167" s="6" t="s">
        <v>50</v>
      </c>
      <c r="AM167" s="6" t="s">
        <v>260</v>
      </c>
      <c r="AN167" s="6" t="s">
        <v>20</v>
      </c>
      <c r="AO167" s="6" t="s">
        <v>250</v>
      </c>
      <c r="AP167" s="6" t="s">
        <v>251</v>
      </c>
      <c r="AQ167" s="6" t="s">
        <v>18</v>
      </c>
    </row>
    <row r="168" spans="1:43" x14ac:dyDescent="0.25">
      <c r="A168" s="6">
        <v>22703815</v>
      </c>
      <c r="B168" s="6">
        <v>23505906</v>
      </c>
      <c r="C168" s="6" t="s">
        <v>237</v>
      </c>
      <c r="D168" s="14">
        <v>45876.800787037027</v>
      </c>
      <c r="E168" s="14">
        <v>45876.83792824074</v>
      </c>
      <c r="F168" s="6" t="s">
        <v>21</v>
      </c>
      <c r="G168" s="6" t="s">
        <v>21</v>
      </c>
      <c r="H168" s="6" t="s">
        <v>832</v>
      </c>
      <c r="I168" s="6" t="s">
        <v>253</v>
      </c>
      <c r="J168" s="6" t="s">
        <v>833</v>
      </c>
      <c r="K168" s="6" t="s">
        <v>824</v>
      </c>
      <c r="L168" s="6" t="s">
        <v>824</v>
      </c>
      <c r="M168" s="14">
        <v>45876.614583333343</v>
      </c>
      <c r="N168" s="6">
        <v>76307</v>
      </c>
      <c r="O168" s="6" t="s">
        <v>83</v>
      </c>
      <c r="P168" s="6" t="s">
        <v>272</v>
      </c>
      <c r="Q168" s="6" t="s">
        <v>256</v>
      </c>
      <c r="R168" s="6" t="s">
        <v>256</v>
      </c>
      <c r="S168" s="6" t="s">
        <v>9</v>
      </c>
      <c r="T168" s="6" t="s">
        <v>245</v>
      </c>
      <c r="U168" s="6" t="s">
        <v>127</v>
      </c>
      <c r="V168" s="6" t="s">
        <v>771</v>
      </c>
      <c r="W168" s="6" t="s">
        <v>83</v>
      </c>
      <c r="X168" s="6" t="s">
        <v>83</v>
      </c>
      <c r="Y168" s="6" t="s">
        <v>83</v>
      </c>
      <c r="Z168" s="6" t="s">
        <v>57</v>
      </c>
      <c r="AA168" s="6" t="s">
        <v>83</v>
      </c>
      <c r="AB168" s="6">
        <v>154.80000000000001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834</v>
      </c>
      <c r="AJ168" s="6" t="s">
        <v>259</v>
      </c>
      <c r="AK168" s="6" t="s">
        <v>12</v>
      </c>
      <c r="AL168" s="6" t="s">
        <v>50</v>
      </c>
      <c r="AM168" s="6" t="s">
        <v>260</v>
      </c>
      <c r="AN168" s="6" t="s">
        <v>20</v>
      </c>
      <c r="AO168" s="6" t="s">
        <v>250</v>
      </c>
      <c r="AP168" s="6" t="s">
        <v>251</v>
      </c>
      <c r="AQ168" s="6" t="s">
        <v>18</v>
      </c>
    </row>
    <row r="169" spans="1:43" x14ac:dyDescent="0.25">
      <c r="A169" s="6">
        <v>22697828</v>
      </c>
      <c r="B169" s="6">
        <v>23500590</v>
      </c>
      <c r="C169" s="6" t="s">
        <v>237</v>
      </c>
      <c r="D169" s="14">
        <v>45876.011655092603</v>
      </c>
      <c r="E169" s="14">
        <v>45876.021412037036</v>
      </c>
      <c r="F169" s="6" t="s">
        <v>21</v>
      </c>
      <c r="G169" s="6" t="s">
        <v>21</v>
      </c>
      <c r="H169" s="6" t="s">
        <v>835</v>
      </c>
      <c r="I169" s="6" t="s">
        <v>253</v>
      </c>
      <c r="J169" s="6" t="s">
        <v>836</v>
      </c>
      <c r="K169" s="6" t="s">
        <v>824</v>
      </c>
      <c r="L169" s="6" t="s">
        <v>824</v>
      </c>
      <c r="M169" s="14">
        <v>45875.777083333327</v>
      </c>
      <c r="N169" s="6">
        <v>76179</v>
      </c>
      <c r="O169" s="6" t="s">
        <v>83</v>
      </c>
      <c r="P169" s="6" t="s">
        <v>272</v>
      </c>
      <c r="Q169" s="6" t="s">
        <v>256</v>
      </c>
      <c r="R169" s="6" t="s">
        <v>256</v>
      </c>
      <c r="S169" s="6" t="s">
        <v>9</v>
      </c>
      <c r="T169" s="6" t="s">
        <v>245</v>
      </c>
      <c r="U169" s="6" t="s">
        <v>127</v>
      </c>
      <c r="V169" s="6" t="s">
        <v>771</v>
      </c>
      <c r="W169" s="6" t="s">
        <v>83</v>
      </c>
      <c r="X169" s="6" t="s">
        <v>83</v>
      </c>
      <c r="Y169" s="6" t="s">
        <v>83</v>
      </c>
      <c r="Z169" s="6" t="s">
        <v>57</v>
      </c>
      <c r="AA169" s="6" t="s">
        <v>83</v>
      </c>
      <c r="AB169" s="6">
        <v>239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>
        <v>0</v>
      </c>
      <c r="AI169" s="6" t="s">
        <v>837</v>
      </c>
      <c r="AJ169" s="6" t="s">
        <v>259</v>
      </c>
      <c r="AK169" s="6" t="s">
        <v>12</v>
      </c>
      <c r="AL169" s="6" t="s">
        <v>50</v>
      </c>
      <c r="AM169" s="6" t="s">
        <v>260</v>
      </c>
      <c r="AN169" s="6" t="s">
        <v>20</v>
      </c>
      <c r="AO169" s="6" t="s">
        <v>250</v>
      </c>
      <c r="AP169" s="6" t="s">
        <v>251</v>
      </c>
      <c r="AQ169" s="6" t="s">
        <v>18</v>
      </c>
    </row>
    <row r="170" spans="1:43" x14ac:dyDescent="0.25">
      <c r="A170" s="6">
        <v>22690422</v>
      </c>
      <c r="B170" s="6">
        <v>23493930</v>
      </c>
      <c r="C170" s="6" t="s">
        <v>237</v>
      </c>
      <c r="D170" s="14">
        <v>45875.014201388891</v>
      </c>
      <c r="E170" s="14">
        <v>45875.022048611107</v>
      </c>
      <c r="F170" s="6" t="s">
        <v>21</v>
      </c>
      <c r="G170" s="6" t="s">
        <v>21</v>
      </c>
      <c r="H170" s="6" t="s">
        <v>838</v>
      </c>
      <c r="I170" s="6" t="s">
        <v>253</v>
      </c>
      <c r="J170" s="6" t="s">
        <v>769</v>
      </c>
      <c r="K170" s="6" t="s">
        <v>820</v>
      </c>
      <c r="L170" s="6" t="s">
        <v>820</v>
      </c>
      <c r="M170" s="14">
        <v>45874.787499999999</v>
      </c>
      <c r="N170" s="6">
        <v>75959</v>
      </c>
      <c r="O170" s="6" t="s">
        <v>83</v>
      </c>
      <c r="P170" s="6" t="s">
        <v>272</v>
      </c>
      <c r="Q170" s="6" t="s">
        <v>256</v>
      </c>
      <c r="R170" s="6" t="s">
        <v>256</v>
      </c>
      <c r="S170" s="6" t="s">
        <v>9</v>
      </c>
      <c r="T170" s="6" t="s">
        <v>245</v>
      </c>
      <c r="U170" s="6" t="s">
        <v>127</v>
      </c>
      <c r="V170" s="6" t="s">
        <v>775</v>
      </c>
      <c r="W170" s="6" t="s">
        <v>83</v>
      </c>
      <c r="X170" s="6" t="s">
        <v>83</v>
      </c>
      <c r="Y170" s="6" t="s">
        <v>83</v>
      </c>
      <c r="Z170" s="6" t="s">
        <v>57</v>
      </c>
      <c r="AA170" s="6" t="s">
        <v>83</v>
      </c>
      <c r="AB170" s="6">
        <v>445.96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>
        <v>0</v>
      </c>
      <c r="AI170" s="6" t="s">
        <v>839</v>
      </c>
      <c r="AJ170" s="6" t="s">
        <v>259</v>
      </c>
      <c r="AK170" s="6" t="s">
        <v>12</v>
      </c>
      <c r="AL170" s="6" t="s">
        <v>50</v>
      </c>
      <c r="AM170" s="6" t="s">
        <v>260</v>
      </c>
      <c r="AN170" s="6" t="s">
        <v>20</v>
      </c>
      <c r="AO170" s="6" t="s">
        <v>250</v>
      </c>
      <c r="AP170" s="6" t="s">
        <v>251</v>
      </c>
      <c r="AQ170" s="6" t="s">
        <v>18</v>
      </c>
    </row>
    <row r="171" spans="1:43" x14ac:dyDescent="0.25">
      <c r="A171" s="6">
        <v>22696304</v>
      </c>
      <c r="B171" s="6">
        <v>23499151</v>
      </c>
      <c r="C171" s="6" t="s">
        <v>237</v>
      </c>
      <c r="D171" s="14">
        <v>45875.789189814823</v>
      </c>
      <c r="E171" s="14">
        <v>45875.837233796286</v>
      </c>
      <c r="F171" s="6" t="s">
        <v>21</v>
      </c>
      <c r="G171" s="6" t="s">
        <v>21</v>
      </c>
      <c r="H171" s="6" t="s">
        <v>840</v>
      </c>
      <c r="I171" s="6" t="s">
        <v>253</v>
      </c>
      <c r="J171" s="6" t="s">
        <v>841</v>
      </c>
      <c r="K171" s="6" t="s">
        <v>820</v>
      </c>
      <c r="L171" s="6" t="s">
        <v>820</v>
      </c>
      <c r="M171" s="14">
        <v>45875.586111111108</v>
      </c>
      <c r="N171" s="6">
        <v>76060</v>
      </c>
      <c r="O171" s="6" t="s">
        <v>83</v>
      </c>
      <c r="P171" s="6" t="s">
        <v>272</v>
      </c>
      <c r="Q171" s="6" t="s">
        <v>256</v>
      </c>
      <c r="R171" s="6" t="s">
        <v>256</v>
      </c>
      <c r="S171" s="6" t="s">
        <v>9</v>
      </c>
      <c r="T171" s="6" t="s">
        <v>245</v>
      </c>
      <c r="U171" s="6" t="s">
        <v>127</v>
      </c>
      <c r="V171" s="6" t="s">
        <v>771</v>
      </c>
      <c r="W171" s="6" t="s">
        <v>83</v>
      </c>
      <c r="X171" s="6" t="s">
        <v>83</v>
      </c>
      <c r="Y171" s="6" t="s">
        <v>83</v>
      </c>
      <c r="Z171" s="6" t="s">
        <v>57</v>
      </c>
      <c r="AA171" s="6" t="s">
        <v>83</v>
      </c>
      <c r="AB171" s="6">
        <v>923.36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 t="s">
        <v>842</v>
      </c>
      <c r="AJ171" s="6" t="s">
        <v>259</v>
      </c>
      <c r="AK171" s="6" t="s">
        <v>12</v>
      </c>
      <c r="AL171" s="6" t="s">
        <v>50</v>
      </c>
      <c r="AM171" s="6" t="s">
        <v>260</v>
      </c>
      <c r="AN171" s="6" t="s">
        <v>20</v>
      </c>
      <c r="AO171" s="6" t="s">
        <v>250</v>
      </c>
      <c r="AP171" s="6" t="s">
        <v>251</v>
      </c>
      <c r="AQ171" s="6" t="s">
        <v>18</v>
      </c>
    </row>
    <row r="172" spans="1:43" x14ac:dyDescent="0.25">
      <c r="A172" s="6">
        <v>22729722</v>
      </c>
      <c r="B172" s="6">
        <v>23527268</v>
      </c>
      <c r="C172" s="6" t="s">
        <v>237</v>
      </c>
      <c r="D172" s="14">
        <v>45881.524733796286</v>
      </c>
      <c r="E172" s="14">
        <v>45881.559363425928</v>
      </c>
      <c r="F172" s="6" t="s">
        <v>17</v>
      </c>
      <c r="G172" s="6" t="s">
        <v>17</v>
      </c>
      <c r="H172" s="6" t="s">
        <v>843</v>
      </c>
      <c r="I172" s="6" t="s">
        <v>253</v>
      </c>
      <c r="J172" s="6" t="s">
        <v>844</v>
      </c>
      <c r="K172" s="6" t="s">
        <v>255</v>
      </c>
      <c r="L172" s="6" t="s">
        <v>255</v>
      </c>
      <c r="M172" s="14">
        <v>45881.413194444453</v>
      </c>
      <c r="N172" s="6">
        <v>76933</v>
      </c>
      <c r="O172" s="6" t="s">
        <v>845</v>
      </c>
      <c r="P172" s="6" t="s">
        <v>242</v>
      </c>
      <c r="Q172" s="6" t="s">
        <v>243</v>
      </c>
      <c r="R172" s="6" t="s">
        <v>244</v>
      </c>
      <c r="S172" s="6" t="s">
        <v>8</v>
      </c>
      <c r="T172" s="6" t="s">
        <v>245</v>
      </c>
      <c r="U172" s="6" t="s">
        <v>127</v>
      </c>
      <c r="V172" s="6" t="s">
        <v>771</v>
      </c>
      <c r="W172" s="6" t="s">
        <v>83</v>
      </c>
      <c r="X172" s="6" t="s">
        <v>83</v>
      </c>
      <c r="Y172" s="6" t="s">
        <v>83</v>
      </c>
      <c r="Z172" s="6" t="s">
        <v>57</v>
      </c>
      <c r="AA172" s="6" t="s">
        <v>83</v>
      </c>
      <c r="AB172" s="6">
        <v>901.84640000000002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846</v>
      </c>
      <c r="AJ172" s="6" t="s">
        <v>259</v>
      </c>
      <c r="AK172" s="6" t="s">
        <v>12</v>
      </c>
      <c r="AL172" s="6" t="s">
        <v>50</v>
      </c>
      <c r="AM172" s="6" t="s">
        <v>260</v>
      </c>
      <c r="AN172" s="6" t="s">
        <v>20</v>
      </c>
      <c r="AO172" s="6" t="s">
        <v>250</v>
      </c>
      <c r="AP172" s="6" t="s">
        <v>251</v>
      </c>
      <c r="AQ172" s="6" t="s">
        <v>18</v>
      </c>
    </row>
    <row r="173" spans="1:43" x14ac:dyDescent="0.25">
      <c r="A173" s="6">
        <v>22707818</v>
      </c>
      <c r="B173" s="6">
        <v>23509275</v>
      </c>
      <c r="C173" s="6" t="s">
        <v>237</v>
      </c>
      <c r="D173" s="14">
        <v>45877.510011574072</v>
      </c>
      <c r="E173" s="14">
        <v>45877.529641203713</v>
      </c>
      <c r="F173" s="6" t="s">
        <v>19</v>
      </c>
      <c r="G173" s="6" t="s">
        <v>19</v>
      </c>
      <c r="H173" s="6" t="s">
        <v>847</v>
      </c>
      <c r="I173" s="6" t="s">
        <v>253</v>
      </c>
      <c r="J173" s="6" t="s">
        <v>848</v>
      </c>
      <c r="K173" s="6" t="s">
        <v>849</v>
      </c>
      <c r="L173" s="6" t="s">
        <v>849</v>
      </c>
      <c r="M173" s="14">
        <v>45877.363194444442</v>
      </c>
      <c r="N173" s="6">
        <v>110903</v>
      </c>
      <c r="O173" s="6" t="s">
        <v>83</v>
      </c>
      <c r="P173" s="6" t="s">
        <v>272</v>
      </c>
      <c r="Q173" s="6" t="s">
        <v>256</v>
      </c>
      <c r="R173" s="6" t="s">
        <v>424</v>
      </c>
      <c r="S173" s="6" t="s">
        <v>7</v>
      </c>
      <c r="T173" s="6" t="s">
        <v>245</v>
      </c>
      <c r="U173" s="6" t="s">
        <v>143</v>
      </c>
      <c r="V173" s="6" t="s">
        <v>850</v>
      </c>
      <c r="W173" s="6" t="s">
        <v>83</v>
      </c>
      <c r="X173" s="6" t="s">
        <v>851</v>
      </c>
      <c r="Y173" s="6">
        <v>2971622195</v>
      </c>
      <c r="Z173" s="6" t="s">
        <v>87</v>
      </c>
      <c r="AA173" s="6" t="s">
        <v>83</v>
      </c>
      <c r="AB173" s="6">
        <v>548.02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852</v>
      </c>
      <c r="AJ173" s="6" t="s">
        <v>853</v>
      </c>
      <c r="AK173" s="6" t="s">
        <v>12</v>
      </c>
      <c r="AL173" s="6" t="s">
        <v>51</v>
      </c>
      <c r="AM173" s="6" t="s">
        <v>342</v>
      </c>
      <c r="AN173" s="6" t="s">
        <v>26</v>
      </c>
      <c r="AO173" s="6" t="s">
        <v>250</v>
      </c>
      <c r="AP173" s="6" t="s">
        <v>262</v>
      </c>
      <c r="AQ173" s="6" t="s">
        <v>24</v>
      </c>
    </row>
    <row r="174" spans="1:43" x14ac:dyDescent="0.25">
      <c r="A174" s="6">
        <v>22731930</v>
      </c>
      <c r="B174" s="6">
        <v>23529381</v>
      </c>
      <c r="C174" s="6" t="s">
        <v>237</v>
      </c>
      <c r="D174" s="14">
        <v>45881.764166666668</v>
      </c>
      <c r="E174" s="14">
        <v>45881.771215277768</v>
      </c>
      <c r="F174" s="6" t="s">
        <v>17</v>
      </c>
      <c r="G174" s="6" t="s">
        <v>17</v>
      </c>
      <c r="H174" s="6" t="s">
        <v>854</v>
      </c>
      <c r="I174" s="6" t="s">
        <v>253</v>
      </c>
      <c r="J174" s="6" t="s">
        <v>855</v>
      </c>
      <c r="K174" s="6" t="s">
        <v>849</v>
      </c>
      <c r="L174" s="6" t="s">
        <v>849</v>
      </c>
      <c r="M174" s="14">
        <v>45881.701388888891</v>
      </c>
      <c r="N174" s="6">
        <v>111225</v>
      </c>
      <c r="O174" s="6" t="s">
        <v>83</v>
      </c>
      <c r="P174" s="6" t="s">
        <v>272</v>
      </c>
      <c r="Q174" s="6" t="s">
        <v>256</v>
      </c>
      <c r="R174" s="6" t="s">
        <v>424</v>
      </c>
      <c r="S174" s="6" t="s">
        <v>7</v>
      </c>
      <c r="T174" s="6" t="s">
        <v>245</v>
      </c>
      <c r="U174" s="6" t="s">
        <v>143</v>
      </c>
      <c r="V174" s="6" t="s">
        <v>856</v>
      </c>
      <c r="W174" s="6" t="s">
        <v>83</v>
      </c>
      <c r="X174" s="6" t="s">
        <v>851</v>
      </c>
      <c r="Y174" s="6">
        <v>2971622238</v>
      </c>
      <c r="Z174" s="6" t="s">
        <v>87</v>
      </c>
      <c r="AA174" s="6" t="s">
        <v>83</v>
      </c>
      <c r="AB174" s="6">
        <v>30346.9</v>
      </c>
      <c r="AC174" s="6">
        <v>427.97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857</v>
      </c>
      <c r="AJ174" s="6" t="s">
        <v>858</v>
      </c>
      <c r="AK174" s="6" t="s">
        <v>12</v>
      </c>
      <c r="AL174" s="6" t="s">
        <v>58</v>
      </c>
      <c r="AM174" s="6" t="s">
        <v>74</v>
      </c>
      <c r="AN174" s="6" t="s">
        <v>20</v>
      </c>
      <c r="AO174" s="6" t="s">
        <v>250</v>
      </c>
      <c r="AP174" s="6" t="s">
        <v>251</v>
      </c>
      <c r="AQ174" s="6" t="s">
        <v>94</v>
      </c>
    </row>
    <row r="175" spans="1:43" x14ac:dyDescent="0.25">
      <c r="A175" s="6">
        <v>22731934</v>
      </c>
      <c r="B175" s="6">
        <v>23529385</v>
      </c>
      <c r="C175" s="6" t="s">
        <v>237</v>
      </c>
      <c r="D175" s="14">
        <v>45881.764282407406</v>
      </c>
      <c r="E175" s="14">
        <v>45881.771226851852</v>
      </c>
      <c r="F175" s="6" t="s">
        <v>17</v>
      </c>
      <c r="G175" s="6" t="s">
        <v>17</v>
      </c>
      <c r="H175" s="6" t="s">
        <v>859</v>
      </c>
      <c r="I175" s="6" t="s">
        <v>253</v>
      </c>
      <c r="J175" s="6" t="s">
        <v>860</v>
      </c>
      <c r="K175" s="6" t="s">
        <v>849</v>
      </c>
      <c r="L175" s="6" t="s">
        <v>849</v>
      </c>
      <c r="M175" s="14">
        <v>45881.555555555547</v>
      </c>
      <c r="N175" s="6">
        <v>111161</v>
      </c>
      <c r="O175" s="6" t="s">
        <v>83</v>
      </c>
      <c r="P175" s="6" t="s">
        <v>272</v>
      </c>
      <c r="Q175" s="6" t="s">
        <v>256</v>
      </c>
      <c r="R175" s="6" t="s">
        <v>424</v>
      </c>
      <c r="S175" s="6" t="s">
        <v>7</v>
      </c>
      <c r="T175" s="6" t="s">
        <v>245</v>
      </c>
      <c r="U175" s="6" t="s">
        <v>143</v>
      </c>
      <c r="V175" s="6" t="s">
        <v>861</v>
      </c>
      <c r="W175" s="6" t="s">
        <v>83</v>
      </c>
      <c r="X175" s="6" t="s">
        <v>862</v>
      </c>
      <c r="Y175" s="6">
        <v>2971622226</v>
      </c>
      <c r="Z175" s="6" t="s">
        <v>87</v>
      </c>
      <c r="AA175" s="6" t="s">
        <v>83</v>
      </c>
      <c r="AB175" s="6">
        <v>16628.849999999999</v>
      </c>
      <c r="AC175" s="6">
        <v>438.75</v>
      </c>
      <c r="AD175" s="6">
        <v>0</v>
      </c>
      <c r="AE175" s="6">
        <v>0</v>
      </c>
      <c r="AF175" s="6">
        <v>0</v>
      </c>
      <c r="AG175" s="6">
        <v>0</v>
      </c>
      <c r="AH175" s="6">
        <v>0</v>
      </c>
      <c r="AI175" s="6" t="s">
        <v>863</v>
      </c>
      <c r="AJ175" s="6" t="s">
        <v>858</v>
      </c>
      <c r="AK175" s="6" t="s">
        <v>12</v>
      </c>
      <c r="AL175" s="6" t="s">
        <v>58</v>
      </c>
      <c r="AM175" s="6" t="s">
        <v>74</v>
      </c>
      <c r="AN175" s="6" t="s">
        <v>20</v>
      </c>
      <c r="AO175" s="6" t="s">
        <v>250</v>
      </c>
      <c r="AP175" s="6" t="s">
        <v>251</v>
      </c>
      <c r="AQ175" s="6" t="s">
        <v>94</v>
      </c>
    </row>
    <row r="176" spans="1:43" x14ac:dyDescent="0.25">
      <c r="A176" s="6">
        <v>22620713</v>
      </c>
      <c r="B176" s="6">
        <v>23436166</v>
      </c>
      <c r="C176" s="6" t="s">
        <v>237</v>
      </c>
      <c r="D176" s="14">
        <v>45862.762638888889</v>
      </c>
      <c r="E176" s="14">
        <v>45868.339780092603</v>
      </c>
      <c r="F176" s="6" t="s">
        <v>23</v>
      </c>
      <c r="G176" s="6" t="s">
        <v>25</v>
      </c>
      <c r="H176" s="6" t="s">
        <v>864</v>
      </c>
      <c r="I176" s="6" t="s">
        <v>253</v>
      </c>
      <c r="J176" s="6" t="s">
        <v>865</v>
      </c>
      <c r="K176" s="6" t="s">
        <v>866</v>
      </c>
      <c r="L176" s="6" t="s">
        <v>866</v>
      </c>
      <c r="M176" s="14">
        <v>45862.736805555563</v>
      </c>
      <c r="N176" s="6">
        <v>109945</v>
      </c>
      <c r="O176" s="6" t="s">
        <v>83</v>
      </c>
      <c r="P176" s="6" t="s">
        <v>272</v>
      </c>
      <c r="Q176" s="6" t="s">
        <v>616</v>
      </c>
      <c r="R176" s="6" t="s">
        <v>616</v>
      </c>
      <c r="S176" s="6" t="s">
        <v>9</v>
      </c>
      <c r="T176" s="6" t="s">
        <v>245</v>
      </c>
      <c r="U176" s="6" t="s">
        <v>143</v>
      </c>
      <c r="V176" s="6" t="s">
        <v>867</v>
      </c>
      <c r="W176" s="6" t="s">
        <v>83</v>
      </c>
      <c r="X176" s="6" t="s">
        <v>868</v>
      </c>
      <c r="Y176" s="6" t="s">
        <v>83</v>
      </c>
      <c r="Z176" s="6" t="s">
        <v>87</v>
      </c>
      <c r="AA176" s="6" t="s">
        <v>83</v>
      </c>
      <c r="AB176" s="6">
        <v>1694.54</v>
      </c>
      <c r="AC176" s="6">
        <v>0</v>
      </c>
      <c r="AD176" s="6">
        <v>0</v>
      </c>
      <c r="AE176" s="6">
        <v>0</v>
      </c>
      <c r="AF176" s="6">
        <v>0</v>
      </c>
      <c r="AG176" s="6">
        <v>0</v>
      </c>
      <c r="AH176" s="6">
        <v>0</v>
      </c>
      <c r="AI176" s="6" t="s">
        <v>869</v>
      </c>
      <c r="AJ176" s="6" t="s">
        <v>870</v>
      </c>
      <c r="AK176" s="6" t="s">
        <v>12</v>
      </c>
      <c r="AL176" s="6" t="s">
        <v>56</v>
      </c>
      <c r="AM176" s="6" t="s">
        <v>331</v>
      </c>
      <c r="AN176" s="6" t="s">
        <v>20</v>
      </c>
      <c r="AO176" s="6" t="s">
        <v>250</v>
      </c>
      <c r="AP176" s="6" t="s">
        <v>251</v>
      </c>
      <c r="AQ176" s="6" t="s">
        <v>18</v>
      </c>
    </row>
    <row r="177" spans="1:43" x14ac:dyDescent="0.25">
      <c r="A177" s="6">
        <v>22620719</v>
      </c>
      <c r="B177" s="6">
        <v>23436172</v>
      </c>
      <c r="C177" s="6" t="s">
        <v>237</v>
      </c>
      <c r="D177" s="14">
        <v>45862.762824074067</v>
      </c>
      <c r="E177" s="14">
        <v>45868.339803240742</v>
      </c>
      <c r="F177" s="6" t="s">
        <v>23</v>
      </c>
      <c r="G177" s="6" t="s">
        <v>25</v>
      </c>
      <c r="H177" s="6" t="s">
        <v>871</v>
      </c>
      <c r="I177" s="6" t="s">
        <v>253</v>
      </c>
      <c r="J177" s="6" t="s">
        <v>865</v>
      </c>
      <c r="K177" s="6" t="s">
        <v>866</v>
      </c>
      <c r="L177" s="6" t="s">
        <v>866</v>
      </c>
      <c r="M177" s="14">
        <v>45862.739583333343</v>
      </c>
      <c r="N177" s="6">
        <v>109907</v>
      </c>
      <c r="O177" s="6" t="s">
        <v>83</v>
      </c>
      <c r="P177" s="6" t="s">
        <v>272</v>
      </c>
      <c r="Q177" s="6" t="s">
        <v>616</v>
      </c>
      <c r="R177" s="6" t="s">
        <v>616</v>
      </c>
      <c r="S177" s="6" t="s">
        <v>9</v>
      </c>
      <c r="T177" s="6" t="s">
        <v>245</v>
      </c>
      <c r="U177" s="6" t="s">
        <v>143</v>
      </c>
      <c r="V177" s="6" t="s">
        <v>867</v>
      </c>
      <c r="W177" s="6" t="s">
        <v>83</v>
      </c>
      <c r="X177" s="6" t="s">
        <v>868</v>
      </c>
      <c r="Y177" s="6" t="s">
        <v>83</v>
      </c>
      <c r="Z177" s="6" t="s">
        <v>87</v>
      </c>
      <c r="AA177" s="6" t="s">
        <v>83</v>
      </c>
      <c r="AB177" s="6">
        <v>1593.07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 t="s">
        <v>872</v>
      </c>
      <c r="AJ177" s="6" t="s">
        <v>870</v>
      </c>
      <c r="AK177" s="6" t="s">
        <v>12</v>
      </c>
      <c r="AL177" s="6" t="s">
        <v>56</v>
      </c>
      <c r="AM177" s="6" t="s">
        <v>331</v>
      </c>
      <c r="AN177" s="6" t="s">
        <v>20</v>
      </c>
      <c r="AO177" s="6" t="s">
        <v>250</v>
      </c>
      <c r="AP177" s="6" t="s">
        <v>251</v>
      </c>
      <c r="AQ177" s="6" t="s">
        <v>18</v>
      </c>
    </row>
    <row r="178" spans="1:43" x14ac:dyDescent="0.25">
      <c r="A178" s="6">
        <v>22731937</v>
      </c>
      <c r="B178" s="6">
        <v>23529388</v>
      </c>
      <c r="C178" s="6" t="s">
        <v>237</v>
      </c>
      <c r="D178" s="14">
        <v>45881.764409722222</v>
      </c>
      <c r="E178" s="14">
        <v>45881.778541666667</v>
      </c>
      <c r="F178" s="6" t="s">
        <v>17</v>
      </c>
      <c r="G178" s="6" t="s">
        <v>17</v>
      </c>
      <c r="H178" s="6" t="s">
        <v>873</v>
      </c>
      <c r="I178" s="6" t="s">
        <v>253</v>
      </c>
      <c r="J178" s="6" t="s">
        <v>874</v>
      </c>
      <c r="K178" s="6" t="s">
        <v>875</v>
      </c>
      <c r="L178" s="6" t="s">
        <v>875</v>
      </c>
      <c r="M178" s="14">
        <v>45881.73541666667</v>
      </c>
      <c r="N178" s="6">
        <v>111088</v>
      </c>
      <c r="O178" s="6" t="s">
        <v>876</v>
      </c>
      <c r="P178" s="6" t="s">
        <v>272</v>
      </c>
      <c r="Q178" s="6" t="s">
        <v>616</v>
      </c>
      <c r="R178" s="6" t="s">
        <v>616</v>
      </c>
      <c r="S178" s="6" t="s">
        <v>8</v>
      </c>
      <c r="T178" s="6" t="s">
        <v>245</v>
      </c>
      <c r="U178" s="6" t="s">
        <v>143</v>
      </c>
      <c r="V178" s="6" t="s">
        <v>850</v>
      </c>
      <c r="W178" s="6" t="s">
        <v>83</v>
      </c>
      <c r="X178" s="6" t="s">
        <v>83</v>
      </c>
      <c r="Y178" s="6" t="s">
        <v>83</v>
      </c>
      <c r="Z178" s="6" t="s">
        <v>87</v>
      </c>
      <c r="AA178" s="6" t="s">
        <v>83</v>
      </c>
      <c r="AB178" s="6">
        <v>2178.9899999999998</v>
      </c>
      <c r="AC178" s="6">
        <v>0</v>
      </c>
      <c r="AD178" s="6">
        <v>356.56</v>
      </c>
      <c r="AE178" s="6">
        <v>0</v>
      </c>
      <c r="AF178" s="6">
        <v>0</v>
      </c>
      <c r="AG178" s="6">
        <v>0</v>
      </c>
      <c r="AH178" s="6">
        <v>0</v>
      </c>
      <c r="AI178" s="6" t="s">
        <v>877</v>
      </c>
      <c r="AJ178" s="6" t="s">
        <v>259</v>
      </c>
      <c r="AK178" s="6" t="s">
        <v>12</v>
      </c>
      <c r="AL178" s="6" t="s">
        <v>50</v>
      </c>
      <c r="AM178" s="6" t="s">
        <v>260</v>
      </c>
      <c r="AN178" s="6" t="s">
        <v>20</v>
      </c>
      <c r="AO178" s="6" t="s">
        <v>250</v>
      </c>
      <c r="AP178" s="6" t="s">
        <v>251</v>
      </c>
      <c r="AQ178" s="6" t="s">
        <v>18</v>
      </c>
    </row>
    <row r="179" spans="1:43" x14ac:dyDescent="0.25">
      <c r="A179" s="6">
        <v>22680752</v>
      </c>
      <c r="B179" s="6">
        <v>23485233</v>
      </c>
      <c r="C179" s="6" t="s">
        <v>237</v>
      </c>
      <c r="D179" s="14">
        <v>45873.762569444443</v>
      </c>
      <c r="E179" s="14">
        <v>45874.299085648148</v>
      </c>
      <c r="F179" s="6" t="s">
        <v>21</v>
      </c>
      <c r="G179" s="6" t="s">
        <v>23</v>
      </c>
      <c r="H179" s="6" t="s">
        <v>878</v>
      </c>
      <c r="I179" s="6" t="s">
        <v>253</v>
      </c>
      <c r="J179" s="6" t="s">
        <v>879</v>
      </c>
      <c r="K179" s="6" t="s">
        <v>255</v>
      </c>
      <c r="L179" s="6" t="s">
        <v>255</v>
      </c>
      <c r="M179" s="14">
        <v>45873.605555555558</v>
      </c>
      <c r="N179" s="6">
        <v>110580</v>
      </c>
      <c r="O179" s="6" t="s">
        <v>83</v>
      </c>
      <c r="P179" s="6" t="s">
        <v>242</v>
      </c>
      <c r="Q179" s="6" t="s">
        <v>256</v>
      </c>
      <c r="R179" s="6" t="s">
        <v>256</v>
      </c>
      <c r="S179" s="6" t="s">
        <v>9</v>
      </c>
      <c r="T179" s="6" t="s">
        <v>245</v>
      </c>
      <c r="U179" s="6" t="s">
        <v>143</v>
      </c>
      <c r="V179" s="6" t="s">
        <v>880</v>
      </c>
      <c r="W179" s="6" t="s">
        <v>83</v>
      </c>
      <c r="X179" s="6" t="s">
        <v>881</v>
      </c>
      <c r="Y179" s="6" t="s">
        <v>83</v>
      </c>
      <c r="Z179" s="6" t="s">
        <v>87</v>
      </c>
      <c r="AA179" s="6" t="s">
        <v>83</v>
      </c>
      <c r="AB179" s="6">
        <v>2495</v>
      </c>
      <c r="AC179" s="6">
        <v>0</v>
      </c>
      <c r="AD179" s="6">
        <v>0</v>
      </c>
      <c r="AE179" s="6">
        <v>0</v>
      </c>
      <c r="AF179" s="6">
        <v>0</v>
      </c>
      <c r="AG179" s="6">
        <v>0</v>
      </c>
      <c r="AH179" s="6">
        <v>0</v>
      </c>
      <c r="AI179" s="6" t="s">
        <v>882</v>
      </c>
      <c r="AJ179" s="6" t="s">
        <v>883</v>
      </c>
      <c r="AK179" s="6" t="s">
        <v>12</v>
      </c>
      <c r="AL179" s="6" t="s">
        <v>56</v>
      </c>
      <c r="AM179" s="6" t="s">
        <v>331</v>
      </c>
      <c r="AN179" s="6" t="s">
        <v>20</v>
      </c>
      <c r="AO179" s="6" t="s">
        <v>250</v>
      </c>
      <c r="AP179" s="6" t="s">
        <v>251</v>
      </c>
      <c r="AQ179" s="6" t="s">
        <v>18</v>
      </c>
    </row>
    <row r="180" spans="1:43" x14ac:dyDescent="0.25">
      <c r="A180" s="6">
        <v>22640232</v>
      </c>
      <c r="B180" s="6">
        <v>23451217</v>
      </c>
      <c r="C180" s="6" t="s">
        <v>237</v>
      </c>
      <c r="D180" s="14">
        <v>45866.766388888893</v>
      </c>
      <c r="E180" s="14">
        <v>45873.548842592587</v>
      </c>
      <c r="F180" s="6" t="s">
        <v>23</v>
      </c>
      <c r="G180" s="6" t="s">
        <v>25</v>
      </c>
      <c r="H180" s="6" t="s">
        <v>884</v>
      </c>
      <c r="I180" s="6" t="s">
        <v>253</v>
      </c>
      <c r="J180" s="6" t="s">
        <v>885</v>
      </c>
      <c r="K180" s="6" t="s">
        <v>255</v>
      </c>
      <c r="L180" s="6" t="s">
        <v>255</v>
      </c>
      <c r="M180" s="14">
        <v>45866.577777777777</v>
      </c>
      <c r="N180" s="6">
        <v>110165</v>
      </c>
      <c r="O180" s="6" t="s">
        <v>83</v>
      </c>
      <c r="P180" s="6" t="s">
        <v>242</v>
      </c>
      <c r="Q180" s="6" t="s">
        <v>256</v>
      </c>
      <c r="R180" s="6" t="s">
        <v>256</v>
      </c>
      <c r="S180" s="6" t="s">
        <v>9</v>
      </c>
      <c r="T180" s="6" t="s">
        <v>245</v>
      </c>
      <c r="U180" s="6" t="s">
        <v>143</v>
      </c>
      <c r="V180" s="6" t="s">
        <v>850</v>
      </c>
      <c r="W180" s="6" t="s">
        <v>83</v>
      </c>
      <c r="X180" s="6" t="s">
        <v>881</v>
      </c>
      <c r="Y180" s="6" t="s">
        <v>83</v>
      </c>
      <c r="Z180" s="6" t="s">
        <v>87</v>
      </c>
      <c r="AA180" s="6" t="s">
        <v>83</v>
      </c>
      <c r="AB180" s="6">
        <v>998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 t="s">
        <v>886</v>
      </c>
      <c r="AJ180" s="6" t="s">
        <v>883</v>
      </c>
      <c r="AK180" s="6" t="s">
        <v>12</v>
      </c>
      <c r="AL180" s="6" t="s">
        <v>56</v>
      </c>
      <c r="AM180" s="6" t="s">
        <v>331</v>
      </c>
      <c r="AN180" s="6" t="s">
        <v>20</v>
      </c>
      <c r="AO180" s="6" t="s">
        <v>250</v>
      </c>
      <c r="AP180" s="6" t="s">
        <v>251</v>
      </c>
      <c r="AQ180" s="6" t="s">
        <v>18</v>
      </c>
    </row>
    <row r="181" spans="1:43" x14ac:dyDescent="0.25">
      <c r="A181" s="6">
        <v>22657813</v>
      </c>
      <c r="B181" s="6">
        <v>23466661</v>
      </c>
      <c r="C181" s="6" t="s">
        <v>237</v>
      </c>
      <c r="D181" s="14">
        <v>45869.515185185177</v>
      </c>
      <c r="E181" s="14">
        <v>45870.257187499999</v>
      </c>
      <c r="F181" s="6" t="s">
        <v>23</v>
      </c>
      <c r="G181" s="6" t="s">
        <v>23</v>
      </c>
      <c r="H181" s="6" t="s">
        <v>887</v>
      </c>
      <c r="I181" s="6" t="s">
        <v>253</v>
      </c>
      <c r="J181" s="6" t="s">
        <v>888</v>
      </c>
      <c r="K181" s="6" t="s">
        <v>747</v>
      </c>
      <c r="L181" s="6" t="s">
        <v>747</v>
      </c>
      <c r="M181" s="14">
        <v>45869.462500000001</v>
      </c>
      <c r="N181" s="6">
        <v>45950</v>
      </c>
      <c r="O181" s="6" t="s">
        <v>83</v>
      </c>
      <c r="P181" s="6" t="s">
        <v>272</v>
      </c>
      <c r="Q181" s="6" t="s">
        <v>243</v>
      </c>
      <c r="R181" s="6" t="s">
        <v>244</v>
      </c>
      <c r="S181" s="6" t="s">
        <v>3</v>
      </c>
      <c r="T181" s="6" t="s">
        <v>245</v>
      </c>
      <c r="U181" s="6" t="s">
        <v>191</v>
      </c>
      <c r="V181" s="6" t="s">
        <v>889</v>
      </c>
      <c r="W181" s="6" t="s">
        <v>83</v>
      </c>
      <c r="X181" s="6" t="s">
        <v>890</v>
      </c>
      <c r="Y181" s="6" t="s">
        <v>83</v>
      </c>
      <c r="Z181" s="6" t="s">
        <v>113</v>
      </c>
      <c r="AA181" s="6" t="s">
        <v>83</v>
      </c>
      <c r="AB181" s="6">
        <v>501.93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 t="s">
        <v>891</v>
      </c>
      <c r="AJ181" s="6" t="s">
        <v>892</v>
      </c>
      <c r="AK181" s="6" t="s">
        <v>12</v>
      </c>
      <c r="AL181" s="6" t="s">
        <v>56</v>
      </c>
      <c r="AM181" s="6" t="s">
        <v>331</v>
      </c>
      <c r="AN181" s="6" t="s">
        <v>20</v>
      </c>
      <c r="AO181" s="6" t="s">
        <v>250</v>
      </c>
      <c r="AP181" s="6" t="s">
        <v>251</v>
      </c>
      <c r="AQ181" s="6" t="s">
        <v>18</v>
      </c>
    </row>
    <row r="182" spans="1:43" x14ac:dyDescent="0.25">
      <c r="A182" s="6">
        <v>22732040</v>
      </c>
      <c r="B182" s="6">
        <v>23529485</v>
      </c>
      <c r="C182" s="6" t="s">
        <v>237</v>
      </c>
      <c r="D182" s="14">
        <v>45881.76798611111</v>
      </c>
      <c r="E182" s="14">
        <v>45881.785729166673</v>
      </c>
      <c r="F182" s="6" t="s">
        <v>17</v>
      </c>
      <c r="G182" s="6" t="s">
        <v>17</v>
      </c>
      <c r="H182" s="6" t="s">
        <v>893</v>
      </c>
      <c r="I182" s="6" t="s">
        <v>253</v>
      </c>
      <c r="J182" s="6" t="s">
        <v>894</v>
      </c>
      <c r="K182" s="6" t="s">
        <v>895</v>
      </c>
      <c r="L182" s="6" t="s">
        <v>895</v>
      </c>
      <c r="M182" s="14">
        <v>45881.752083333333</v>
      </c>
      <c r="N182" s="6">
        <v>226069</v>
      </c>
      <c r="O182" s="6" t="s">
        <v>83</v>
      </c>
      <c r="P182" s="6" t="s">
        <v>272</v>
      </c>
      <c r="Q182" s="6" t="s">
        <v>256</v>
      </c>
      <c r="R182" s="6" t="s">
        <v>256</v>
      </c>
      <c r="S182" s="6" t="s">
        <v>9</v>
      </c>
      <c r="T182" s="6" t="s">
        <v>245</v>
      </c>
      <c r="U182" s="6" t="s">
        <v>128</v>
      </c>
      <c r="V182" s="6" t="s">
        <v>896</v>
      </c>
      <c r="W182" s="6" t="s">
        <v>83</v>
      </c>
      <c r="X182" s="6" t="s">
        <v>83</v>
      </c>
      <c r="Y182" s="6" t="s">
        <v>83</v>
      </c>
      <c r="Z182" s="6" t="s">
        <v>63</v>
      </c>
      <c r="AA182" s="6" t="s">
        <v>83</v>
      </c>
      <c r="AB182" s="6">
        <v>2236.86</v>
      </c>
      <c r="AC182" s="6">
        <v>0</v>
      </c>
      <c r="AD182" s="6">
        <v>0</v>
      </c>
      <c r="AE182" s="6">
        <v>0</v>
      </c>
      <c r="AF182" s="6">
        <v>0</v>
      </c>
      <c r="AG182" s="6">
        <v>469.74</v>
      </c>
      <c r="AH182" s="6">
        <v>0</v>
      </c>
      <c r="AI182" s="6" t="s">
        <v>897</v>
      </c>
      <c r="AJ182" s="6" t="s">
        <v>259</v>
      </c>
      <c r="AK182" s="6" t="s">
        <v>12</v>
      </c>
      <c r="AL182" s="6" t="s">
        <v>50</v>
      </c>
      <c r="AM182" s="6" t="s">
        <v>260</v>
      </c>
      <c r="AN182" s="6" t="s">
        <v>20</v>
      </c>
      <c r="AO182" s="6" t="s">
        <v>250</v>
      </c>
      <c r="AP182" s="6" t="s">
        <v>251</v>
      </c>
      <c r="AQ182" s="6" t="s">
        <v>18</v>
      </c>
    </row>
    <row r="183" spans="1:43" x14ac:dyDescent="0.25">
      <c r="A183" s="6">
        <v>22732091</v>
      </c>
      <c r="B183" s="6">
        <v>23529537</v>
      </c>
      <c r="C183" s="6" t="s">
        <v>237</v>
      </c>
      <c r="D183" s="14">
        <v>45881.769305555557</v>
      </c>
      <c r="E183" s="14">
        <v>45881.788969907408</v>
      </c>
      <c r="F183" s="6" t="s">
        <v>17</v>
      </c>
      <c r="G183" s="6" t="s">
        <v>17</v>
      </c>
      <c r="H183" s="6" t="s">
        <v>898</v>
      </c>
      <c r="I183" s="6" t="s">
        <v>253</v>
      </c>
      <c r="J183" s="6" t="s">
        <v>899</v>
      </c>
      <c r="K183" s="6" t="s">
        <v>895</v>
      </c>
      <c r="L183" s="6" t="s">
        <v>895</v>
      </c>
      <c r="M183" s="14">
        <v>45881.589583333327</v>
      </c>
      <c r="N183" s="6">
        <v>225948</v>
      </c>
      <c r="O183" s="6" t="s">
        <v>83</v>
      </c>
      <c r="P183" s="6" t="s">
        <v>272</v>
      </c>
      <c r="Q183" s="6" t="s">
        <v>256</v>
      </c>
      <c r="R183" s="6" t="s">
        <v>256</v>
      </c>
      <c r="S183" s="6" t="s">
        <v>9</v>
      </c>
      <c r="T183" s="6" t="s">
        <v>245</v>
      </c>
      <c r="U183" s="6" t="s">
        <v>128</v>
      </c>
      <c r="V183" s="6" t="s">
        <v>896</v>
      </c>
      <c r="W183" s="6" t="s">
        <v>83</v>
      </c>
      <c r="X183" s="6" t="s">
        <v>83</v>
      </c>
      <c r="Y183" s="6" t="s">
        <v>83</v>
      </c>
      <c r="Z183" s="6" t="s">
        <v>63</v>
      </c>
      <c r="AA183" s="6" t="s">
        <v>83</v>
      </c>
      <c r="AB183" s="6">
        <v>2066.3200000000002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 t="s">
        <v>900</v>
      </c>
      <c r="AJ183" s="6" t="s">
        <v>259</v>
      </c>
      <c r="AK183" s="6" t="s">
        <v>12</v>
      </c>
      <c r="AL183" s="6" t="s">
        <v>50</v>
      </c>
      <c r="AM183" s="6" t="s">
        <v>260</v>
      </c>
      <c r="AN183" s="6" t="s">
        <v>20</v>
      </c>
      <c r="AO183" s="6" t="s">
        <v>250</v>
      </c>
      <c r="AP183" s="6" t="s">
        <v>251</v>
      </c>
      <c r="AQ183" s="6" t="s">
        <v>18</v>
      </c>
    </row>
    <row r="184" spans="1:43" x14ac:dyDescent="0.25">
      <c r="A184" s="6">
        <v>22732096</v>
      </c>
      <c r="B184" s="6">
        <v>23529542</v>
      </c>
      <c r="C184" s="6" t="s">
        <v>237</v>
      </c>
      <c r="D184" s="14">
        <v>45881.769444444442</v>
      </c>
      <c r="E184" s="14">
        <v>45881.793958333343</v>
      </c>
      <c r="F184" s="6" t="s">
        <v>17</v>
      </c>
      <c r="G184" s="6" t="s">
        <v>17</v>
      </c>
      <c r="H184" s="6" t="s">
        <v>901</v>
      </c>
      <c r="I184" s="6" t="s">
        <v>253</v>
      </c>
      <c r="J184" s="6" t="s">
        <v>902</v>
      </c>
      <c r="K184" s="6" t="s">
        <v>895</v>
      </c>
      <c r="L184" s="6" t="s">
        <v>895</v>
      </c>
      <c r="M184" s="14">
        <v>45881.591666666667</v>
      </c>
      <c r="N184" s="6">
        <v>225941</v>
      </c>
      <c r="O184" s="6" t="s">
        <v>83</v>
      </c>
      <c r="P184" s="6" t="s">
        <v>272</v>
      </c>
      <c r="Q184" s="6" t="s">
        <v>256</v>
      </c>
      <c r="R184" s="6" t="s">
        <v>256</v>
      </c>
      <c r="S184" s="6" t="s">
        <v>9</v>
      </c>
      <c r="T184" s="6" t="s">
        <v>245</v>
      </c>
      <c r="U184" s="6" t="s">
        <v>128</v>
      </c>
      <c r="V184" s="6" t="s">
        <v>896</v>
      </c>
      <c r="W184" s="6" t="s">
        <v>83</v>
      </c>
      <c r="X184" s="6" t="s">
        <v>83</v>
      </c>
      <c r="Y184" s="6" t="s">
        <v>83</v>
      </c>
      <c r="Z184" s="6" t="s">
        <v>63</v>
      </c>
      <c r="AA184" s="6" t="s">
        <v>83</v>
      </c>
      <c r="AB184" s="6">
        <v>3150</v>
      </c>
      <c r="AC184" s="6">
        <v>0</v>
      </c>
      <c r="AD184" s="6">
        <v>0</v>
      </c>
      <c r="AE184" s="6">
        <v>0</v>
      </c>
      <c r="AF184" s="6">
        <v>0</v>
      </c>
      <c r="AG184" s="6">
        <v>661.53</v>
      </c>
      <c r="AH184" s="6">
        <v>0</v>
      </c>
      <c r="AI184" s="6" t="s">
        <v>903</v>
      </c>
      <c r="AJ184" s="6" t="s">
        <v>259</v>
      </c>
      <c r="AK184" s="6" t="s">
        <v>12</v>
      </c>
      <c r="AL184" s="6" t="s">
        <v>50</v>
      </c>
      <c r="AM184" s="6" t="s">
        <v>260</v>
      </c>
      <c r="AN184" s="6" t="s">
        <v>20</v>
      </c>
      <c r="AO184" s="6" t="s">
        <v>250</v>
      </c>
      <c r="AP184" s="6" t="s">
        <v>251</v>
      </c>
      <c r="AQ184" s="6" t="s">
        <v>18</v>
      </c>
    </row>
    <row r="185" spans="1:43" x14ac:dyDescent="0.25">
      <c r="A185" s="6">
        <v>22732098</v>
      </c>
      <c r="B185" s="6">
        <v>23529544</v>
      </c>
      <c r="C185" s="6" t="s">
        <v>237</v>
      </c>
      <c r="D185" s="14">
        <v>45881.769525462973</v>
      </c>
      <c r="E185" s="14">
        <v>45881.794027777767</v>
      </c>
      <c r="F185" s="6" t="s">
        <v>17</v>
      </c>
      <c r="G185" s="6" t="s">
        <v>17</v>
      </c>
      <c r="H185" s="6" t="s">
        <v>904</v>
      </c>
      <c r="I185" s="6" t="s">
        <v>253</v>
      </c>
      <c r="J185" s="6" t="s">
        <v>905</v>
      </c>
      <c r="K185" s="6" t="s">
        <v>895</v>
      </c>
      <c r="L185" s="6" t="s">
        <v>895</v>
      </c>
      <c r="M185" s="14">
        <v>45881.59375</v>
      </c>
      <c r="N185" s="6">
        <v>225935</v>
      </c>
      <c r="O185" s="6" t="s">
        <v>83</v>
      </c>
      <c r="P185" s="6" t="s">
        <v>272</v>
      </c>
      <c r="Q185" s="6" t="s">
        <v>256</v>
      </c>
      <c r="R185" s="6" t="s">
        <v>256</v>
      </c>
      <c r="S185" s="6" t="s">
        <v>9</v>
      </c>
      <c r="T185" s="6" t="s">
        <v>245</v>
      </c>
      <c r="U185" s="6" t="s">
        <v>128</v>
      </c>
      <c r="V185" s="6" t="s">
        <v>896</v>
      </c>
      <c r="W185" s="6" t="s">
        <v>83</v>
      </c>
      <c r="X185" s="6" t="s">
        <v>83</v>
      </c>
      <c r="Y185" s="6" t="s">
        <v>83</v>
      </c>
      <c r="Z185" s="6" t="s">
        <v>63</v>
      </c>
      <c r="AA185" s="6" t="s">
        <v>83</v>
      </c>
      <c r="AB185" s="6">
        <v>4492.32</v>
      </c>
      <c r="AC185" s="6">
        <v>0</v>
      </c>
      <c r="AD185" s="6">
        <v>0</v>
      </c>
      <c r="AE185" s="6">
        <v>0</v>
      </c>
      <c r="AF185" s="6">
        <v>0</v>
      </c>
      <c r="AG185" s="6">
        <v>943.4</v>
      </c>
      <c r="AH185" s="6">
        <v>0</v>
      </c>
      <c r="AI185" s="6" t="s">
        <v>906</v>
      </c>
      <c r="AJ185" s="6" t="s">
        <v>259</v>
      </c>
      <c r="AK185" s="6" t="s">
        <v>12</v>
      </c>
      <c r="AL185" s="6" t="s">
        <v>50</v>
      </c>
      <c r="AM185" s="6" t="s">
        <v>260</v>
      </c>
      <c r="AN185" s="6" t="s">
        <v>20</v>
      </c>
      <c r="AO185" s="6" t="s">
        <v>250</v>
      </c>
      <c r="AP185" s="6" t="s">
        <v>251</v>
      </c>
      <c r="AQ185" s="6" t="s">
        <v>18</v>
      </c>
    </row>
    <row r="186" spans="1:43" x14ac:dyDescent="0.25">
      <c r="A186" s="6">
        <v>22732101</v>
      </c>
      <c r="B186" s="6">
        <v>23529547</v>
      </c>
      <c r="C186" s="6" t="s">
        <v>237</v>
      </c>
      <c r="D186" s="14">
        <v>45881.769594907397</v>
      </c>
      <c r="E186" s="14">
        <v>45881.79415509259</v>
      </c>
      <c r="F186" s="6" t="s">
        <v>17</v>
      </c>
      <c r="G186" s="6" t="s">
        <v>17</v>
      </c>
      <c r="H186" s="6" t="s">
        <v>907</v>
      </c>
      <c r="I186" s="6" t="s">
        <v>253</v>
      </c>
      <c r="J186" s="6" t="s">
        <v>908</v>
      </c>
      <c r="K186" s="6" t="s">
        <v>895</v>
      </c>
      <c r="L186" s="6" t="s">
        <v>895</v>
      </c>
      <c r="M186" s="14">
        <v>45881.59652777778</v>
      </c>
      <c r="N186" s="6">
        <v>225934</v>
      </c>
      <c r="O186" s="6" t="s">
        <v>83</v>
      </c>
      <c r="P186" s="6" t="s">
        <v>272</v>
      </c>
      <c r="Q186" s="6" t="s">
        <v>256</v>
      </c>
      <c r="R186" s="6" t="s">
        <v>256</v>
      </c>
      <c r="S186" s="6" t="s">
        <v>9</v>
      </c>
      <c r="T186" s="6" t="s">
        <v>245</v>
      </c>
      <c r="U186" s="6" t="s">
        <v>128</v>
      </c>
      <c r="V186" s="6" t="s">
        <v>896</v>
      </c>
      <c r="W186" s="6" t="s">
        <v>83</v>
      </c>
      <c r="X186" s="6" t="s">
        <v>83</v>
      </c>
      <c r="Y186" s="6" t="s">
        <v>83</v>
      </c>
      <c r="Z186" s="6" t="s">
        <v>63</v>
      </c>
      <c r="AA186" s="6" t="s">
        <v>83</v>
      </c>
      <c r="AB186" s="6">
        <v>4492.32</v>
      </c>
      <c r="AC186" s="6">
        <v>0</v>
      </c>
      <c r="AD186" s="6">
        <v>0</v>
      </c>
      <c r="AE186" s="6">
        <v>0</v>
      </c>
      <c r="AF186" s="6">
        <v>0</v>
      </c>
      <c r="AG186" s="6">
        <v>943.4</v>
      </c>
      <c r="AH186" s="6">
        <v>0</v>
      </c>
      <c r="AI186" s="6" t="s">
        <v>909</v>
      </c>
      <c r="AJ186" s="6" t="s">
        <v>259</v>
      </c>
      <c r="AK186" s="6" t="s">
        <v>12</v>
      </c>
      <c r="AL186" s="6" t="s">
        <v>50</v>
      </c>
      <c r="AM186" s="6" t="s">
        <v>260</v>
      </c>
      <c r="AN186" s="6" t="s">
        <v>20</v>
      </c>
      <c r="AO186" s="6" t="s">
        <v>250</v>
      </c>
      <c r="AP186" s="6" t="s">
        <v>251</v>
      </c>
      <c r="AQ186" s="6" t="s">
        <v>18</v>
      </c>
    </row>
    <row r="187" spans="1:43" x14ac:dyDescent="0.25">
      <c r="A187" s="6">
        <v>22724378</v>
      </c>
      <c r="B187" s="6">
        <v>23522628</v>
      </c>
      <c r="C187" s="6" t="s">
        <v>237</v>
      </c>
      <c r="D187" s="14">
        <v>45880.756874999999</v>
      </c>
      <c r="E187" s="14">
        <v>45880.775856481479</v>
      </c>
      <c r="F187" s="6" t="s">
        <v>17</v>
      </c>
      <c r="G187" s="6" t="s">
        <v>17</v>
      </c>
      <c r="H187" s="6" t="s">
        <v>910</v>
      </c>
      <c r="I187" s="6" t="s">
        <v>253</v>
      </c>
      <c r="J187" s="6" t="s">
        <v>911</v>
      </c>
      <c r="K187" s="6" t="s">
        <v>895</v>
      </c>
      <c r="L187" s="6" t="s">
        <v>895</v>
      </c>
      <c r="M187" s="14">
        <v>45880.624305555553</v>
      </c>
      <c r="N187" s="6">
        <v>225640</v>
      </c>
      <c r="O187" s="6" t="s">
        <v>83</v>
      </c>
      <c r="P187" s="6" t="s">
        <v>272</v>
      </c>
      <c r="Q187" s="6" t="s">
        <v>256</v>
      </c>
      <c r="R187" s="6" t="s">
        <v>256</v>
      </c>
      <c r="S187" s="6" t="s">
        <v>9</v>
      </c>
      <c r="T187" s="6" t="s">
        <v>245</v>
      </c>
      <c r="U187" s="6" t="s">
        <v>128</v>
      </c>
      <c r="V187" s="6" t="s">
        <v>912</v>
      </c>
      <c r="W187" s="6" t="s">
        <v>83</v>
      </c>
      <c r="X187" s="6" t="s">
        <v>83</v>
      </c>
      <c r="Y187" s="6" t="s">
        <v>83</v>
      </c>
      <c r="Z187" s="6" t="s">
        <v>63</v>
      </c>
      <c r="AA187" s="6" t="s">
        <v>83</v>
      </c>
      <c r="AB187" s="6">
        <v>9253.09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>
        <v>0</v>
      </c>
      <c r="AI187" s="6" t="s">
        <v>913</v>
      </c>
      <c r="AJ187" s="6" t="s">
        <v>259</v>
      </c>
      <c r="AK187" s="6" t="s">
        <v>12</v>
      </c>
      <c r="AL187" s="6" t="s">
        <v>50</v>
      </c>
      <c r="AM187" s="6" t="s">
        <v>260</v>
      </c>
      <c r="AN187" s="6" t="s">
        <v>20</v>
      </c>
      <c r="AO187" s="6" t="s">
        <v>250</v>
      </c>
      <c r="AP187" s="6" t="s">
        <v>251</v>
      </c>
      <c r="AQ187" s="6" t="s">
        <v>18</v>
      </c>
    </row>
    <row r="188" spans="1:43" x14ac:dyDescent="0.25">
      <c r="A188" s="6">
        <v>22724384</v>
      </c>
      <c r="B188" s="6">
        <v>23522634</v>
      </c>
      <c r="C188" s="6" t="s">
        <v>237</v>
      </c>
      <c r="D188" s="14">
        <v>45880.757025462961</v>
      </c>
      <c r="E188" s="14">
        <v>45880.775856481479</v>
      </c>
      <c r="F188" s="6" t="s">
        <v>17</v>
      </c>
      <c r="G188" s="6" t="s">
        <v>17</v>
      </c>
      <c r="H188" s="6" t="s">
        <v>914</v>
      </c>
      <c r="I188" s="6" t="s">
        <v>253</v>
      </c>
      <c r="J188" s="6" t="s">
        <v>915</v>
      </c>
      <c r="K188" s="6" t="s">
        <v>895</v>
      </c>
      <c r="L188" s="6" t="s">
        <v>895</v>
      </c>
      <c r="M188" s="14">
        <v>45880.625694444447</v>
      </c>
      <c r="N188" s="6">
        <v>225639</v>
      </c>
      <c r="O188" s="6" t="s">
        <v>83</v>
      </c>
      <c r="P188" s="6" t="s">
        <v>272</v>
      </c>
      <c r="Q188" s="6" t="s">
        <v>256</v>
      </c>
      <c r="R188" s="6" t="s">
        <v>256</v>
      </c>
      <c r="S188" s="6" t="s">
        <v>9</v>
      </c>
      <c r="T188" s="6" t="s">
        <v>245</v>
      </c>
      <c r="U188" s="6" t="s">
        <v>128</v>
      </c>
      <c r="V188" s="6" t="s">
        <v>912</v>
      </c>
      <c r="W188" s="6" t="s">
        <v>83</v>
      </c>
      <c r="X188" s="6" t="s">
        <v>83</v>
      </c>
      <c r="Y188" s="6" t="s">
        <v>83</v>
      </c>
      <c r="Z188" s="6" t="s">
        <v>63</v>
      </c>
      <c r="AA188" s="6" t="s">
        <v>83</v>
      </c>
      <c r="AB188" s="6">
        <v>9253.09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>
        <v>0</v>
      </c>
      <c r="AI188" s="6" t="s">
        <v>916</v>
      </c>
      <c r="AJ188" s="6" t="s">
        <v>259</v>
      </c>
      <c r="AK188" s="6" t="s">
        <v>12</v>
      </c>
      <c r="AL188" s="6" t="s">
        <v>50</v>
      </c>
      <c r="AM188" s="6" t="s">
        <v>260</v>
      </c>
      <c r="AN188" s="6" t="s">
        <v>20</v>
      </c>
      <c r="AO188" s="6" t="s">
        <v>250</v>
      </c>
      <c r="AP188" s="6" t="s">
        <v>251</v>
      </c>
      <c r="AQ188" s="6" t="s">
        <v>18</v>
      </c>
    </row>
    <row r="189" spans="1:43" x14ac:dyDescent="0.25">
      <c r="A189" s="6">
        <v>22724337</v>
      </c>
      <c r="B189" s="6">
        <v>23522585</v>
      </c>
      <c r="C189" s="6" t="s">
        <v>237</v>
      </c>
      <c r="D189" s="14">
        <v>45880.75576388889</v>
      </c>
      <c r="E189" s="14">
        <v>45880.769224537027</v>
      </c>
      <c r="F189" s="6" t="s">
        <v>17</v>
      </c>
      <c r="G189" s="6" t="s">
        <v>17</v>
      </c>
      <c r="H189" s="6" t="s">
        <v>917</v>
      </c>
      <c r="I189" s="6" t="s">
        <v>253</v>
      </c>
      <c r="J189" s="6" t="s">
        <v>918</v>
      </c>
      <c r="K189" s="6" t="s">
        <v>895</v>
      </c>
      <c r="L189" s="6" t="s">
        <v>895</v>
      </c>
      <c r="M189" s="14">
        <v>45880.621527777781</v>
      </c>
      <c r="N189" s="6">
        <v>225701</v>
      </c>
      <c r="O189" s="6" t="s">
        <v>83</v>
      </c>
      <c r="P189" s="6" t="s">
        <v>272</v>
      </c>
      <c r="Q189" s="6" t="s">
        <v>256</v>
      </c>
      <c r="R189" s="6" t="s">
        <v>256</v>
      </c>
      <c r="S189" s="6" t="s">
        <v>9</v>
      </c>
      <c r="T189" s="6" t="s">
        <v>245</v>
      </c>
      <c r="U189" s="6" t="s">
        <v>128</v>
      </c>
      <c r="V189" s="6" t="s">
        <v>912</v>
      </c>
      <c r="W189" s="6" t="s">
        <v>83</v>
      </c>
      <c r="X189" s="6" t="s">
        <v>83</v>
      </c>
      <c r="Y189" s="6" t="s">
        <v>83</v>
      </c>
      <c r="Z189" s="6" t="s">
        <v>63</v>
      </c>
      <c r="AA189" s="6" t="s">
        <v>83</v>
      </c>
      <c r="AB189" s="6">
        <v>2349.09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 t="s">
        <v>919</v>
      </c>
      <c r="AJ189" s="6" t="s">
        <v>259</v>
      </c>
      <c r="AK189" s="6" t="s">
        <v>12</v>
      </c>
      <c r="AL189" s="6" t="s">
        <v>50</v>
      </c>
      <c r="AM189" s="6" t="s">
        <v>260</v>
      </c>
      <c r="AN189" s="6" t="s">
        <v>20</v>
      </c>
      <c r="AO189" s="6" t="s">
        <v>250</v>
      </c>
      <c r="AP189" s="6" t="s">
        <v>251</v>
      </c>
      <c r="AQ189" s="6" t="s">
        <v>18</v>
      </c>
    </row>
    <row r="190" spans="1:43" x14ac:dyDescent="0.25">
      <c r="A190" s="6">
        <v>22724338</v>
      </c>
      <c r="B190" s="6">
        <v>23522586</v>
      </c>
      <c r="C190" s="6" t="s">
        <v>237</v>
      </c>
      <c r="D190" s="14">
        <v>45880.75577546296</v>
      </c>
      <c r="E190" s="14">
        <v>45880.771655092591</v>
      </c>
      <c r="F190" s="6" t="s">
        <v>17</v>
      </c>
      <c r="G190" s="6" t="s">
        <v>17</v>
      </c>
      <c r="H190" s="6" t="s">
        <v>920</v>
      </c>
      <c r="I190" s="6" t="s">
        <v>253</v>
      </c>
      <c r="J190" s="6" t="s">
        <v>918</v>
      </c>
      <c r="K190" s="6" t="s">
        <v>895</v>
      </c>
      <c r="L190" s="6" t="s">
        <v>895</v>
      </c>
      <c r="M190" s="14">
        <v>45880.621527777781</v>
      </c>
      <c r="N190" s="6">
        <v>225701</v>
      </c>
      <c r="O190" s="6" t="s">
        <v>83</v>
      </c>
      <c r="P190" s="6" t="s">
        <v>272</v>
      </c>
      <c r="Q190" s="6" t="s">
        <v>256</v>
      </c>
      <c r="R190" s="6" t="s">
        <v>256</v>
      </c>
      <c r="S190" s="6" t="s">
        <v>9</v>
      </c>
      <c r="T190" s="6" t="s">
        <v>245</v>
      </c>
      <c r="U190" s="6" t="s">
        <v>128</v>
      </c>
      <c r="V190" s="6" t="s">
        <v>912</v>
      </c>
      <c r="W190" s="6" t="s">
        <v>83</v>
      </c>
      <c r="X190" s="6" t="s">
        <v>83</v>
      </c>
      <c r="Y190" s="6" t="s">
        <v>83</v>
      </c>
      <c r="Z190" s="6" t="s">
        <v>63</v>
      </c>
      <c r="AA190" s="6" t="s">
        <v>83</v>
      </c>
      <c r="AB190" s="6">
        <v>8510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>
        <v>0</v>
      </c>
      <c r="AI190" s="6" t="s">
        <v>919</v>
      </c>
      <c r="AJ190" s="6" t="s">
        <v>259</v>
      </c>
      <c r="AK190" s="6" t="s">
        <v>12</v>
      </c>
      <c r="AL190" s="6" t="s">
        <v>50</v>
      </c>
      <c r="AM190" s="6" t="s">
        <v>260</v>
      </c>
      <c r="AN190" s="6" t="s">
        <v>20</v>
      </c>
      <c r="AO190" s="6" t="s">
        <v>250</v>
      </c>
      <c r="AP190" s="6" t="s">
        <v>251</v>
      </c>
      <c r="AQ190" s="6" t="s">
        <v>18</v>
      </c>
    </row>
    <row r="191" spans="1:43" x14ac:dyDescent="0.25">
      <c r="A191" s="6">
        <v>22693497</v>
      </c>
      <c r="B191" s="6">
        <v>23496423</v>
      </c>
      <c r="C191" s="6" t="s">
        <v>237</v>
      </c>
      <c r="D191" s="14">
        <v>45875.532731481479</v>
      </c>
      <c r="E191" s="14">
        <v>45875.575833333343</v>
      </c>
      <c r="F191" s="6" t="s">
        <v>21</v>
      </c>
      <c r="G191" s="6" t="s">
        <v>21</v>
      </c>
      <c r="H191" s="6" t="s">
        <v>921</v>
      </c>
      <c r="I191" s="6" t="s">
        <v>253</v>
      </c>
      <c r="J191" s="6" t="s">
        <v>922</v>
      </c>
      <c r="K191" s="6" t="s">
        <v>923</v>
      </c>
      <c r="L191" s="6" t="s">
        <v>923</v>
      </c>
      <c r="M191" s="14">
        <v>45875.518055555563</v>
      </c>
      <c r="N191" s="6">
        <v>224777</v>
      </c>
      <c r="O191" s="6" t="s">
        <v>83</v>
      </c>
      <c r="P191" s="6" t="s">
        <v>272</v>
      </c>
      <c r="Q191" s="6" t="s">
        <v>256</v>
      </c>
      <c r="R191" s="6" t="s">
        <v>256</v>
      </c>
      <c r="S191" s="6" t="s">
        <v>9</v>
      </c>
      <c r="T191" s="6" t="s">
        <v>245</v>
      </c>
      <c r="U191" s="6" t="s">
        <v>128</v>
      </c>
      <c r="V191" s="6" t="s">
        <v>924</v>
      </c>
      <c r="W191" s="6" t="s">
        <v>83</v>
      </c>
      <c r="X191" s="6" t="s">
        <v>83</v>
      </c>
      <c r="Y191" s="6" t="s">
        <v>83</v>
      </c>
      <c r="Z191" s="6" t="s">
        <v>63</v>
      </c>
      <c r="AA191" s="6" t="s">
        <v>83</v>
      </c>
      <c r="AB191" s="6">
        <v>489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 t="s">
        <v>925</v>
      </c>
      <c r="AJ191" s="6" t="s">
        <v>259</v>
      </c>
      <c r="AK191" s="6" t="s">
        <v>12</v>
      </c>
      <c r="AL191" s="6" t="s">
        <v>50</v>
      </c>
      <c r="AM191" s="6" t="s">
        <v>260</v>
      </c>
      <c r="AN191" s="6" t="s">
        <v>20</v>
      </c>
      <c r="AO191" s="6" t="s">
        <v>250</v>
      </c>
      <c r="AP191" s="6" t="s">
        <v>251</v>
      </c>
      <c r="AQ191" s="6" t="s">
        <v>18</v>
      </c>
    </row>
    <row r="192" spans="1:43" x14ac:dyDescent="0.25">
      <c r="A192" s="6">
        <v>22694619</v>
      </c>
      <c r="B192" s="6">
        <v>23497465</v>
      </c>
      <c r="C192" s="6" t="s">
        <v>237</v>
      </c>
      <c r="D192" s="14">
        <v>45875.685567129629</v>
      </c>
      <c r="E192" s="14">
        <v>45875.697546296287</v>
      </c>
      <c r="F192" s="6" t="s">
        <v>21</v>
      </c>
      <c r="G192" s="6" t="s">
        <v>21</v>
      </c>
      <c r="H192" s="6" t="s">
        <v>926</v>
      </c>
      <c r="I192" s="6" t="s">
        <v>253</v>
      </c>
      <c r="J192" s="6" t="s">
        <v>927</v>
      </c>
      <c r="K192" s="6" t="s">
        <v>923</v>
      </c>
      <c r="L192" s="6" t="s">
        <v>923</v>
      </c>
      <c r="M192" s="14">
        <v>45875.616666666669</v>
      </c>
      <c r="N192" s="6">
        <v>224772</v>
      </c>
      <c r="O192" s="6" t="s">
        <v>83</v>
      </c>
      <c r="P192" s="6" t="s">
        <v>272</v>
      </c>
      <c r="Q192" s="6" t="s">
        <v>256</v>
      </c>
      <c r="R192" s="6" t="s">
        <v>256</v>
      </c>
      <c r="S192" s="6" t="s">
        <v>9</v>
      </c>
      <c r="T192" s="6" t="s">
        <v>245</v>
      </c>
      <c r="U192" s="6" t="s">
        <v>128</v>
      </c>
      <c r="V192" s="6" t="s">
        <v>924</v>
      </c>
      <c r="W192" s="6" t="s">
        <v>83</v>
      </c>
      <c r="X192" s="6" t="s">
        <v>83</v>
      </c>
      <c r="Y192" s="6" t="s">
        <v>83</v>
      </c>
      <c r="Z192" s="6" t="s">
        <v>63</v>
      </c>
      <c r="AA192" s="6" t="s">
        <v>83</v>
      </c>
      <c r="AB192" s="6">
        <v>978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 t="s">
        <v>928</v>
      </c>
      <c r="AJ192" s="6" t="s">
        <v>259</v>
      </c>
      <c r="AK192" s="6" t="s">
        <v>12</v>
      </c>
      <c r="AL192" s="6" t="s">
        <v>50</v>
      </c>
      <c r="AM192" s="6" t="s">
        <v>260</v>
      </c>
      <c r="AN192" s="6" t="s">
        <v>20</v>
      </c>
      <c r="AO192" s="6" t="s">
        <v>250</v>
      </c>
      <c r="AP192" s="6" t="s">
        <v>251</v>
      </c>
      <c r="AQ192" s="6" t="s">
        <v>18</v>
      </c>
    </row>
    <row r="193" spans="1:43" x14ac:dyDescent="0.25">
      <c r="A193" s="6">
        <v>22694620</v>
      </c>
      <c r="B193" s="6">
        <v>23497467</v>
      </c>
      <c r="C193" s="6" t="s">
        <v>237</v>
      </c>
      <c r="D193" s="14">
        <v>45875.685729166667</v>
      </c>
      <c r="E193" s="14">
        <v>45875.697546296287</v>
      </c>
      <c r="F193" s="6" t="s">
        <v>21</v>
      </c>
      <c r="G193" s="6" t="s">
        <v>21</v>
      </c>
      <c r="H193" s="6" t="s">
        <v>929</v>
      </c>
      <c r="I193" s="6" t="s">
        <v>253</v>
      </c>
      <c r="J193" s="6" t="s">
        <v>930</v>
      </c>
      <c r="K193" s="6" t="s">
        <v>923</v>
      </c>
      <c r="L193" s="6" t="s">
        <v>923</v>
      </c>
      <c r="M193" s="14">
        <v>45875.613888888889</v>
      </c>
      <c r="N193" s="6">
        <v>224770</v>
      </c>
      <c r="O193" s="6" t="s">
        <v>83</v>
      </c>
      <c r="P193" s="6" t="s">
        <v>272</v>
      </c>
      <c r="Q193" s="6" t="s">
        <v>256</v>
      </c>
      <c r="R193" s="6" t="s">
        <v>256</v>
      </c>
      <c r="S193" s="6" t="s">
        <v>9</v>
      </c>
      <c r="T193" s="6" t="s">
        <v>245</v>
      </c>
      <c r="U193" s="6" t="s">
        <v>128</v>
      </c>
      <c r="V193" s="6" t="s">
        <v>924</v>
      </c>
      <c r="W193" s="6" t="s">
        <v>83</v>
      </c>
      <c r="X193" s="6" t="s">
        <v>83</v>
      </c>
      <c r="Y193" s="6" t="s">
        <v>83</v>
      </c>
      <c r="Z193" s="6" t="s">
        <v>63</v>
      </c>
      <c r="AA193" s="6" t="s">
        <v>83</v>
      </c>
      <c r="AB193" s="6">
        <v>978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 t="s">
        <v>931</v>
      </c>
      <c r="AJ193" s="6" t="s">
        <v>259</v>
      </c>
      <c r="AK193" s="6" t="s">
        <v>12</v>
      </c>
      <c r="AL193" s="6" t="s">
        <v>50</v>
      </c>
      <c r="AM193" s="6" t="s">
        <v>260</v>
      </c>
      <c r="AN193" s="6" t="s">
        <v>20</v>
      </c>
      <c r="AO193" s="6" t="s">
        <v>250</v>
      </c>
      <c r="AP193" s="6" t="s">
        <v>251</v>
      </c>
      <c r="AQ193" s="6" t="s">
        <v>18</v>
      </c>
    </row>
    <row r="194" spans="1:43" x14ac:dyDescent="0.25">
      <c r="A194" s="6">
        <v>22724361</v>
      </c>
      <c r="B194" s="6">
        <v>23522611</v>
      </c>
      <c r="C194" s="6" t="s">
        <v>237</v>
      </c>
      <c r="D194" s="14">
        <v>45880.756458333337</v>
      </c>
      <c r="E194" s="14">
        <v>45880.772627314807</v>
      </c>
      <c r="F194" s="6" t="s">
        <v>17</v>
      </c>
      <c r="G194" s="6" t="s">
        <v>17</v>
      </c>
      <c r="H194" s="6" t="s">
        <v>932</v>
      </c>
      <c r="I194" s="6" t="s">
        <v>253</v>
      </c>
      <c r="J194" s="6" t="s">
        <v>933</v>
      </c>
      <c r="K194" s="6" t="s">
        <v>934</v>
      </c>
      <c r="L194" s="6" t="s">
        <v>934</v>
      </c>
      <c r="M194" s="14">
        <v>45880.691666666673</v>
      </c>
      <c r="N194" s="6">
        <v>225661</v>
      </c>
      <c r="O194" s="6" t="s">
        <v>83</v>
      </c>
      <c r="P194" s="6" t="s">
        <v>272</v>
      </c>
      <c r="Q194" s="6" t="s">
        <v>256</v>
      </c>
      <c r="R194" s="6" t="s">
        <v>256</v>
      </c>
      <c r="S194" s="6" t="s">
        <v>9</v>
      </c>
      <c r="T194" s="6" t="s">
        <v>245</v>
      </c>
      <c r="U194" s="6" t="s">
        <v>128</v>
      </c>
      <c r="V194" s="6" t="s">
        <v>912</v>
      </c>
      <c r="W194" s="6" t="s">
        <v>83</v>
      </c>
      <c r="X194" s="6" t="s">
        <v>83</v>
      </c>
      <c r="Y194" s="6" t="s">
        <v>83</v>
      </c>
      <c r="Z194" s="6" t="s">
        <v>63</v>
      </c>
      <c r="AA194" s="6" t="s">
        <v>83</v>
      </c>
      <c r="AB194" s="6">
        <v>4731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>
        <v>0</v>
      </c>
      <c r="AI194" s="6" t="s">
        <v>935</v>
      </c>
      <c r="AJ194" s="6" t="s">
        <v>259</v>
      </c>
      <c r="AK194" s="6" t="s">
        <v>12</v>
      </c>
      <c r="AL194" s="6" t="s">
        <v>50</v>
      </c>
      <c r="AM194" s="6" t="s">
        <v>260</v>
      </c>
      <c r="AN194" s="6" t="s">
        <v>20</v>
      </c>
      <c r="AO194" s="6" t="s">
        <v>250</v>
      </c>
      <c r="AP194" s="6" t="s">
        <v>251</v>
      </c>
      <c r="AQ194" s="6" t="s">
        <v>18</v>
      </c>
    </row>
    <row r="195" spans="1:43" x14ac:dyDescent="0.25">
      <c r="A195" s="6">
        <v>22724365</v>
      </c>
      <c r="B195" s="6">
        <v>23522615</v>
      </c>
      <c r="C195" s="6" t="s">
        <v>237</v>
      </c>
      <c r="D195" s="14">
        <v>45880.756585648152</v>
      </c>
      <c r="E195" s="14">
        <v>45880.758645833332</v>
      </c>
      <c r="F195" s="6" t="s">
        <v>17</v>
      </c>
      <c r="G195" s="6" t="s">
        <v>17</v>
      </c>
      <c r="H195" s="6" t="s">
        <v>936</v>
      </c>
      <c r="I195" s="6" t="s">
        <v>253</v>
      </c>
      <c r="J195" s="6" t="s">
        <v>937</v>
      </c>
      <c r="K195" s="6" t="s">
        <v>934</v>
      </c>
      <c r="L195" s="6" t="s">
        <v>934</v>
      </c>
      <c r="M195" s="14">
        <v>45880.685416666667</v>
      </c>
      <c r="N195" s="6">
        <v>225647</v>
      </c>
      <c r="O195" s="6" t="s">
        <v>83</v>
      </c>
      <c r="P195" s="6" t="s">
        <v>272</v>
      </c>
      <c r="Q195" s="6" t="s">
        <v>256</v>
      </c>
      <c r="R195" s="6" t="s">
        <v>256</v>
      </c>
      <c r="S195" s="6" t="s">
        <v>7</v>
      </c>
      <c r="T195" s="6" t="s">
        <v>245</v>
      </c>
      <c r="U195" s="6" t="s">
        <v>128</v>
      </c>
      <c r="V195" s="6" t="s">
        <v>912</v>
      </c>
      <c r="W195" s="6" t="s">
        <v>83</v>
      </c>
      <c r="X195" s="6" t="s">
        <v>318</v>
      </c>
      <c r="Y195" s="6">
        <v>3023522612</v>
      </c>
      <c r="Z195" s="6" t="s">
        <v>63</v>
      </c>
      <c r="AA195" s="6" t="s">
        <v>83</v>
      </c>
      <c r="AB195" s="6">
        <v>2350.0300000000002</v>
      </c>
      <c r="AC195" s="6">
        <v>107.34</v>
      </c>
      <c r="AD195" s="6">
        <v>0</v>
      </c>
      <c r="AE195" s="6">
        <v>0</v>
      </c>
      <c r="AF195" s="6">
        <v>0</v>
      </c>
      <c r="AG195" s="6">
        <v>0</v>
      </c>
      <c r="AH195" s="6">
        <v>0</v>
      </c>
      <c r="AI195" s="6" t="s">
        <v>938</v>
      </c>
      <c r="AJ195" s="6" t="s">
        <v>307</v>
      </c>
      <c r="AK195" s="6" t="s">
        <v>12</v>
      </c>
      <c r="AL195" s="6" t="s">
        <v>60</v>
      </c>
      <c r="AM195" s="6" t="s">
        <v>308</v>
      </c>
      <c r="AN195" s="6" t="s">
        <v>26</v>
      </c>
      <c r="AO195" s="6" t="s">
        <v>250</v>
      </c>
      <c r="AP195" s="6" t="s">
        <v>262</v>
      </c>
      <c r="AQ195" s="6" t="s">
        <v>24</v>
      </c>
    </row>
    <row r="196" spans="1:43" x14ac:dyDescent="0.25">
      <c r="A196" s="6">
        <v>22687220</v>
      </c>
      <c r="B196" s="6">
        <v>23490909</v>
      </c>
      <c r="C196" s="6" t="s">
        <v>237</v>
      </c>
      <c r="D196" s="14">
        <v>45874.674409722233</v>
      </c>
      <c r="E196" s="14">
        <v>45874.678668981483</v>
      </c>
      <c r="F196" s="6" t="s">
        <v>21</v>
      </c>
      <c r="G196" s="6" t="s">
        <v>21</v>
      </c>
      <c r="H196" s="6" t="s">
        <v>939</v>
      </c>
      <c r="I196" s="6" t="s">
        <v>253</v>
      </c>
      <c r="J196" s="6" t="s">
        <v>940</v>
      </c>
      <c r="K196" s="6" t="s">
        <v>934</v>
      </c>
      <c r="L196" s="6" t="s">
        <v>934</v>
      </c>
      <c r="M196" s="14">
        <v>45874.673611111109</v>
      </c>
      <c r="N196" s="6">
        <v>224403</v>
      </c>
      <c r="O196" s="6" t="s">
        <v>83</v>
      </c>
      <c r="P196" s="6" t="s">
        <v>272</v>
      </c>
      <c r="Q196" s="6" t="s">
        <v>256</v>
      </c>
      <c r="R196" s="6" t="s">
        <v>256</v>
      </c>
      <c r="S196" s="6" t="s">
        <v>9</v>
      </c>
      <c r="T196" s="6" t="s">
        <v>245</v>
      </c>
      <c r="U196" s="6" t="s">
        <v>128</v>
      </c>
      <c r="V196" s="6" t="s">
        <v>896</v>
      </c>
      <c r="W196" s="6" t="s">
        <v>83</v>
      </c>
      <c r="X196" s="6" t="s">
        <v>941</v>
      </c>
      <c r="Y196" s="6" t="s">
        <v>83</v>
      </c>
      <c r="Z196" s="6" t="s">
        <v>63</v>
      </c>
      <c r="AA196" s="6" t="s">
        <v>83</v>
      </c>
      <c r="AB196" s="6">
        <v>1175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 t="s">
        <v>942</v>
      </c>
      <c r="AJ196" s="6" t="s">
        <v>391</v>
      </c>
      <c r="AK196" s="6" t="s">
        <v>12</v>
      </c>
      <c r="AL196" s="6" t="s">
        <v>76</v>
      </c>
      <c r="AM196" s="6" t="s">
        <v>74</v>
      </c>
      <c r="AN196" s="6" t="s">
        <v>20</v>
      </c>
      <c r="AO196" s="6" t="s">
        <v>250</v>
      </c>
      <c r="AP196" s="6" t="s">
        <v>251</v>
      </c>
      <c r="AQ196" s="6" t="s">
        <v>94</v>
      </c>
    </row>
    <row r="197" spans="1:43" x14ac:dyDescent="0.25">
      <c r="A197" s="6">
        <v>22724397</v>
      </c>
      <c r="B197" s="6">
        <v>23522648</v>
      </c>
      <c r="C197" s="6" t="s">
        <v>237</v>
      </c>
      <c r="D197" s="14">
        <v>45880.757372685177</v>
      </c>
      <c r="E197" s="14">
        <v>45880.775868055563</v>
      </c>
      <c r="F197" s="6" t="s">
        <v>17</v>
      </c>
      <c r="G197" s="6" t="s">
        <v>17</v>
      </c>
      <c r="H197" s="6" t="s">
        <v>943</v>
      </c>
      <c r="I197" s="6" t="s">
        <v>253</v>
      </c>
      <c r="J197" s="6" t="s">
        <v>944</v>
      </c>
      <c r="K197" s="6" t="s">
        <v>945</v>
      </c>
      <c r="L197" s="6" t="s">
        <v>945</v>
      </c>
      <c r="M197" s="14">
        <v>45880.711805555547</v>
      </c>
      <c r="N197" s="6">
        <v>225613</v>
      </c>
      <c r="O197" s="6" t="s">
        <v>83</v>
      </c>
      <c r="P197" s="6" t="s">
        <v>272</v>
      </c>
      <c r="Q197" s="6" t="s">
        <v>256</v>
      </c>
      <c r="R197" s="6" t="s">
        <v>256</v>
      </c>
      <c r="S197" s="6" t="s">
        <v>9</v>
      </c>
      <c r="T197" s="6" t="s">
        <v>245</v>
      </c>
      <c r="U197" s="6" t="s">
        <v>128</v>
      </c>
      <c r="V197" s="6" t="s">
        <v>912</v>
      </c>
      <c r="W197" s="6" t="s">
        <v>83</v>
      </c>
      <c r="X197" s="6" t="s">
        <v>83</v>
      </c>
      <c r="Y197" s="6" t="s">
        <v>83</v>
      </c>
      <c r="Z197" s="6" t="s">
        <v>63</v>
      </c>
      <c r="AA197" s="6" t="s">
        <v>83</v>
      </c>
      <c r="AB197" s="6">
        <v>6071.31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>
        <v>0</v>
      </c>
      <c r="AI197" s="6" t="s">
        <v>946</v>
      </c>
      <c r="AJ197" s="6" t="s">
        <v>259</v>
      </c>
      <c r="AK197" s="6" t="s">
        <v>12</v>
      </c>
      <c r="AL197" s="6" t="s">
        <v>50</v>
      </c>
      <c r="AM197" s="6" t="s">
        <v>260</v>
      </c>
      <c r="AN197" s="6" t="s">
        <v>20</v>
      </c>
      <c r="AO197" s="6" t="s">
        <v>250</v>
      </c>
      <c r="AP197" s="6" t="s">
        <v>251</v>
      </c>
      <c r="AQ197" s="6" t="s">
        <v>18</v>
      </c>
    </row>
    <row r="198" spans="1:43" x14ac:dyDescent="0.25">
      <c r="A198" s="6">
        <v>22724398</v>
      </c>
      <c r="B198" s="6">
        <v>23522649</v>
      </c>
      <c r="C198" s="6" t="s">
        <v>237</v>
      </c>
      <c r="D198" s="14">
        <v>45880.757384259261</v>
      </c>
      <c r="E198" s="14">
        <v>45880.775868055563</v>
      </c>
      <c r="F198" s="6" t="s">
        <v>17</v>
      </c>
      <c r="G198" s="6" t="s">
        <v>17</v>
      </c>
      <c r="H198" s="6" t="s">
        <v>947</v>
      </c>
      <c r="I198" s="6" t="s">
        <v>253</v>
      </c>
      <c r="J198" s="6" t="s">
        <v>944</v>
      </c>
      <c r="K198" s="6" t="s">
        <v>945</v>
      </c>
      <c r="L198" s="6" t="s">
        <v>945</v>
      </c>
      <c r="M198" s="14">
        <v>45880.711805555547</v>
      </c>
      <c r="N198" s="6">
        <v>225613</v>
      </c>
      <c r="O198" s="6" t="s">
        <v>83</v>
      </c>
      <c r="P198" s="6" t="s">
        <v>272</v>
      </c>
      <c r="Q198" s="6" t="s">
        <v>256</v>
      </c>
      <c r="R198" s="6" t="s">
        <v>256</v>
      </c>
      <c r="S198" s="6" t="s">
        <v>9</v>
      </c>
      <c r="T198" s="6" t="s">
        <v>245</v>
      </c>
      <c r="U198" s="6" t="s">
        <v>128</v>
      </c>
      <c r="V198" s="6" t="s">
        <v>912</v>
      </c>
      <c r="W198" s="6" t="s">
        <v>83</v>
      </c>
      <c r="X198" s="6" t="s">
        <v>83</v>
      </c>
      <c r="Y198" s="6" t="s">
        <v>83</v>
      </c>
      <c r="Z198" s="6" t="s">
        <v>63</v>
      </c>
      <c r="AA198" s="6" t="s">
        <v>83</v>
      </c>
      <c r="AB198" s="6">
        <v>9787.4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 t="s">
        <v>946</v>
      </c>
      <c r="AJ198" s="6" t="s">
        <v>259</v>
      </c>
      <c r="AK198" s="6" t="s">
        <v>12</v>
      </c>
      <c r="AL198" s="6" t="s">
        <v>50</v>
      </c>
      <c r="AM198" s="6" t="s">
        <v>260</v>
      </c>
      <c r="AN198" s="6" t="s">
        <v>20</v>
      </c>
      <c r="AO198" s="6" t="s">
        <v>250</v>
      </c>
      <c r="AP198" s="6" t="s">
        <v>251</v>
      </c>
      <c r="AQ198" s="6" t="s">
        <v>18</v>
      </c>
    </row>
    <row r="199" spans="1:43" x14ac:dyDescent="0.25">
      <c r="A199" s="6">
        <v>22703935</v>
      </c>
      <c r="B199" s="6">
        <v>23506018</v>
      </c>
      <c r="C199" s="6" t="s">
        <v>237</v>
      </c>
      <c r="D199" s="14">
        <v>45876.80672453704</v>
      </c>
      <c r="E199" s="14">
        <v>45876.816377314812</v>
      </c>
      <c r="F199" s="6" t="s">
        <v>21</v>
      </c>
      <c r="G199" s="6" t="s">
        <v>21</v>
      </c>
      <c r="H199" s="6" t="s">
        <v>948</v>
      </c>
      <c r="I199" s="6" t="s">
        <v>253</v>
      </c>
      <c r="J199" s="6" t="s">
        <v>949</v>
      </c>
      <c r="K199" s="6" t="s">
        <v>945</v>
      </c>
      <c r="L199" s="6" t="s">
        <v>945</v>
      </c>
      <c r="M199" s="14">
        <v>45876.711111111108</v>
      </c>
      <c r="N199" s="6">
        <v>224799</v>
      </c>
      <c r="O199" s="6" t="s">
        <v>83</v>
      </c>
      <c r="P199" s="6" t="s">
        <v>272</v>
      </c>
      <c r="Q199" s="6" t="s">
        <v>256</v>
      </c>
      <c r="R199" s="6" t="s">
        <v>256</v>
      </c>
      <c r="S199" s="6" t="s">
        <v>7</v>
      </c>
      <c r="T199" s="6" t="s">
        <v>245</v>
      </c>
      <c r="U199" s="6" t="s">
        <v>128</v>
      </c>
      <c r="V199" s="6" t="s">
        <v>950</v>
      </c>
      <c r="W199" s="6" t="s">
        <v>83</v>
      </c>
      <c r="X199" s="6" t="s">
        <v>247</v>
      </c>
      <c r="Y199" s="6">
        <v>2971569341</v>
      </c>
      <c r="Z199" s="6" t="s">
        <v>63</v>
      </c>
      <c r="AA199" s="6" t="s">
        <v>83</v>
      </c>
      <c r="AB199" s="6">
        <v>1545.41</v>
      </c>
      <c r="AC199" s="6">
        <v>5.49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 t="s">
        <v>951</v>
      </c>
      <c r="AJ199" s="6" t="s">
        <v>952</v>
      </c>
      <c r="AK199" s="6" t="s">
        <v>12</v>
      </c>
      <c r="AL199" s="6" t="s">
        <v>51</v>
      </c>
      <c r="AM199" s="6" t="s">
        <v>342</v>
      </c>
      <c r="AN199" s="6" t="s">
        <v>26</v>
      </c>
      <c r="AO199" s="6" t="s">
        <v>250</v>
      </c>
      <c r="AP199" s="6" t="s">
        <v>262</v>
      </c>
      <c r="AQ199" s="6" t="s">
        <v>24</v>
      </c>
    </row>
    <row r="200" spans="1:43" x14ac:dyDescent="0.25">
      <c r="A200" s="6">
        <v>22702112</v>
      </c>
      <c r="B200" s="6">
        <v>23504253</v>
      </c>
      <c r="C200" s="6" t="s">
        <v>237</v>
      </c>
      <c r="D200" s="14">
        <v>45876.69940972222</v>
      </c>
      <c r="E200" s="14">
        <v>45876.703032407408</v>
      </c>
      <c r="F200" s="6" t="s">
        <v>21</v>
      </c>
      <c r="G200" s="6" t="s">
        <v>21</v>
      </c>
      <c r="H200" s="6" t="s">
        <v>953</v>
      </c>
      <c r="I200" s="6" t="s">
        <v>253</v>
      </c>
      <c r="J200" s="6" t="s">
        <v>954</v>
      </c>
      <c r="K200" s="6" t="s">
        <v>945</v>
      </c>
      <c r="L200" s="6" t="s">
        <v>945</v>
      </c>
      <c r="M200" s="14">
        <v>45876.669444444437</v>
      </c>
      <c r="N200" s="6">
        <v>225008</v>
      </c>
      <c r="O200" s="6" t="s">
        <v>83</v>
      </c>
      <c r="P200" s="6" t="s">
        <v>272</v>
      </c>
      <c r="Q200" s="6" t="s">
        <v>243</v>
      </c>
      <c r="R200" s="6" t="s">
        <v>244</v>
      </c>
      <c r="S200" s="6" t="s">
        <v>3</v>
      </c>
      <c r="T200" s="6" t="s">
        <v>245</v>
      </c>
      <c r="U200" s="6" t="s">
        <v>128</v>
      </c>
      <c r="V200" s="6" t="s">
        <v>896</v>
      </c>
      <c r="W200" s="6" t="s">
        <v>83</v>
      </c>
      <c r="X200" s="6" t="s">
        <v>83</v>
      </c>
      <c r="Y200" s="6" t="s">
        <v>83</v>
      </c>
      <c r="Z200" s="6" t="s">
        <v>63</v>
      </c>
      <c r="AA200" s="6" t="s">
        <v>83</v>
      </c>
      <c r="AB200" s="6">
        <v>350.74</v>
      </c>
      <c r="AC200" s="6">
        <v>0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955</v>
      </c>
      <c r="AJ200" s="6" t="s">
        <v>259</v>
      </c>
      <c r="AK200" s="6" t="s">
        <v>12</v>
      </c>
      <c r="AL200" s="6" t="s">
        <v>50</v>
      </c>
      <c r="AM200" s="6" t="s">
        <v>260</v>
      </c>
      <c r="AN200" s="6" t="s">
        <v>20</v>
      </c>
      <c r="AO200" s="6" t="s">
        <v>250</v>
      </c>
      <c r="AP200" s="6" t="s">
        <v>251</v>
      </c>
      <c r="AQ200" s="6" t="s">
        <v>18</v>
      </c>
    </row>
    <row r="201" spans="1:43" x14ac:dyDescent="0.25">
      <c r="A201" s="6">
        <v>22664778</v>
      </c>
      <c r="B201" s="6">
        <v>23472774</v>
      </c>
      <c r="C201" s="6" t="s">
        <v>237</v>
      </c>
      <c r="D201" s="14">
        <v>45870.527939814812</v>
      </c>
      <c r="E201" s="14">
        <v>45870.556817129633</v>
      </c>
      <c r="F201" s="6" t="s">
        <v>23</v>
      </c>
      <c r="G201" s="6" t="s">
        <v>23</v>
      </c>
      <c r="H201" s="6" t="s">
        <v>956</v>
      </c>
      <c r="I201" s="6" t="s">
        <v>253</v>
      </c>
      <c r="J201" s="6" t="s">
        <v>957</v>
      </c>
      <c r="K201" s="6" t="s">
        <v>945</v>
      </c>
      <c r="L201" s="6" t="s">
        <v>945</v>
      </c>
      <c r="M201" s="14">
        <v>45870.443749999999</v>
      </c>
      <c r="N201" s="6">
        <v>223634</v>
      </c>
      <c r="O201" s="6" t="s">
        <v>83</v>
      </c>
      <c r="P201" s="6" t="s">
        <v>272</v>
      </c>
      <c r="Q201" s="6" t="s">
        <v>243</v>
      </c>
      <c r="R201" s="6" t="s">
        <v>244</v>
      </c>
      <c r="S201" s="6" t="s">
        <v>3</v>
      </c>
      <c r="T201" s="6" t="s">
        <v>245</v>
      </c>
      <c r="U201" s="6" t="s">
        <v>128</v>
      </c>
      <c r="V201" s="6" t="s">
        <v>912</v>
      </c>
      <c r="W201" s="6" t="s">
        <v>83</v>
      </c>
      <c r="X201" s="6" t="s">
        <v>83</v>
      </c>
      <c r="Y201" s="6" t="s">
        <v>83</v>
      </c>
      <c r="Z201" s="6" t="s">
        <v>63</v>
      </c>
      <c r="AA201" s="6" t="s">
        <v>83</v>
      </c>
      <c r="AB201" s="6">
        <v>679.14</v>
      </c>
      <c r="AC201" s="6">
        <v>0</v>
      </c>
      <c r="AD201" s="6">
        <v>0</v>
      </c>
      <c r="AE201" s="6">
        <v>0</v>
      </c>
      <c r="AF201" s="6">
        <v>0</v>
      </c>
      <c r="AG201" s="6">
        <v>0</v>
      </c>
      <c r="AH201" s="6">
        <v>0</v>
      </c>
      <c r="AI201" s="6" t="s">
        <v>958</v>
      </c>
      <c r="AJ201" s="6" t="s">
        <v>259</v>
      </c>
      <c r="AK201" s="6" t="s">
        <v>12</v>
      </c>
      <c r="AL201" s="6" t="s">
        <v>50</v>
      </c>
      <c r="AM201" s="6" t="s">
        <v>260</v>
      </c>
      <c r="AN201" s="6" t="s">
        <v>20</v>
      </c>
      <c r="AO201" s="6" t="s">
        <v>250</v>
      </c>
      <c r="AP201" s="6" t="s">
        <v>251</v>
      </c>
      <c r="AQ201" s="6" t="s">
        <v>18</v>
      </c>
    </row>
    <row r="202" spans="1:43" x14ac:dyDescent="0.25">
      <c r="A202" s="6">
        <v>22724299</v>
      </c>
      <c r="B202" s="6">
        <v>23522547</v>
      </c>
      <c r="C202" s="6" t="s">
        <v>237</v>
      </c>
      <c r="D202" s="14">
        <v>45880.754733796297</v>
      </c>
      <c r="E202" s="14">
        <v>45880.765509259261</v>
      </c>
      <c r="F202" s="6" t="s">
        <v>17</v>
      </c>
      <c r="G202" s="6" t="s">
        <v>17</v>
      </c>
      <c r="H202" s="6" t="s">
        <v>959</v>
      </c>
      <c r="I202" s="6" t="s">
        <v>253</v>
      </c>
      <c r="J202" s="6" t="s">
        <v>960</v>
      </c>
      <c r="K202" s="6" t="s">
        <v>961</v>
      </c>
      <c r="L202" s="6" t="s">
        <v>961</v>
      </c>
      <c r="M202" s="14">
        <v>45880.707638888889</v>
      </c>
      <c r="N202" s="6">
        <v>225774</v>
      </c>
      <c r="O202" s="6" t="s">
        <v>83</v>
      </c>
      <c r="P202" s="6" t="s">
        <v>272</v>
      </c>
      <c r="Q202" s="6" t="s">
        <v>256</v>
      </c>
      <c r="R202" s="6" t="s">
        <v>256</v>
      </c>
      <c r="S202" s="6" t="s">
        <v>9</v>
      </c>
      <c r="T202" s="6" t="s">
        <v>245</v>
      </c>
      <c r="U202" s="6" t="s">
        <v>128</v>
      </c>
      <c r="V202" s="6" t="s">
        <v>962</v>
      </c>
      <c r="W202" s="6" t="s">
        <v>83</v>
      </c>
      <c r="X202" s="6" t="s">
        <v>83</v>
      </c>
      <c r="Y202" s="6" t="s">
        <v>83</v>
      </c>
      <c r="Z202" s="6" t="s">
        <v>63</v>
      </c>
      <c r="AA202" s="6" t="s">
        <v>83</v>
      </c>
      <c r="AB202" s="6">
        <v>522</v>
      </c>
      <c r="AC202" s="6">
        <v>0</v>
      </c>
      <c r="AD202" s="6">
        <v>0</v>
      </c>
      <c r="AE202" s="6">
        <v>0</v>
      </c>
      <c r="AF202" s="6">
        <v>0</v>
      </c>
      <c r="AG202" s="6">
        <v>0</v>
      </c>
      <c r="AH202" s="6">
        <v>0</v>
      </c>
      <c r="AI202" s="6" t="s">
        <v>963</v>
      </c>
      <c r="AJ202" s="6" t="s">
        <v>259</v>
      </c>
      <c r="AK202" s="6" t="s">
        <v>12</v>
      </c>
      <c r="AL202" s="6" t="s">
        <v>50</v>
      </c>
      <c r="AM202" s="6" t="s">
        <v>260</v>
      </c>
      <c r="AN202" s="6" t="s">
        <v>20</v>
      </c>
      <c r="AO202" s="6" t="s">
        <v>250</v>
      </c>
      <c r="AP202" s="6" t="s">
        <v>251</v>
      </c>
      <c r="AQ202" s="6" t="s">
        <v>18</v>
      </c>
    </row>
    <row r="203" spans="1:43" x14ac:dyDescent="0.25">
      <c r="A203" s="6">
        <v>22732117</v>
      </c>
      <c r="B203" s="6">
        <v>23529563</v>
      </c>
      <c r="C203" s="6" t="s">
        <v>237</v>
      </c>
      <c r="D203" s="14">
        <v>45881.769976851851</v>
      </c>
      <c r="E203" s="14">
        <v>45881.794618055559</v>
      </c>
      <c r="F203" s="6" t="s">
        <v>17</v>
      </c>
      <c r="G203" s="6" t="s">
        <v>17</v>
      </c>
      <c r="H203" s="6" t="s">
        <v>964</v>
      </c>
      <c r="I203" s="6" t="s">
        <v>253</v>
      </c>
      <c r="J203" s="6" t="s">
        <v>965</v>
      </c>
      <c r="K203" s="6" t="s">
        <v>961</v>
      </c>
      <c r="L203" s="6" t="s">
        <v>961</v>
      </c>
      <c r="M203" s="14">
        <v>45881.612500000003</v>
      </c>
      <c r="N203" s="6">
        <v>225851</v>
      </c>
      <c r="O203" s="6" t="s">
        <v>966</v>
      </c>
      <c r="P203" s="6" t="s">
        <v>272</v>
      </c>
      <c r="Q203" s="6" t="s">
        <v>243</v>
      </c>
      <c r="R203" s="6" t="s">
        <v>244</v>
      </c>
      <c r="S203" s="6" t="s">
        <v>8</v>
      </c>
      <c r="T203" s="6" t="s">
        <v>245</v>
      </c>
      <c r="U203" s="6" t="s">
        <v>128</v>
      </c>
      <c r="V203" s="6" t="s">
        <v>912</v>
      </c>
      <c r="W203" s="6" t="s">
        <v>83</v>
      </c>
      <c r="X203" s="6" t="s">
        <v>83</v>
      </c>
      <c r="Y203" s="6" t="s">
        <v>83</v>
      </c>
      <c r="Z203" s="6" t="s">
        <v>63</v>
      </c>
      <c r="AA203" s="6" t="s">
        <v>83</v>
      </c>
      <c r="AB203" s="6">
        <v>2324.3200000000002</v>
      </c>
      <c r="AC203" s="6">
        <v>0</v>
      </c>
      <c r="AD203" s="6">
        <v>0</v>
      </c>
      <c r="AE203" s="6">
        <v>0</v>
      </c>
      <c r="AF203" s="6">
        <v>0</v>
      </c>
      <c r="AG203" s="6">
        <v>0</v>
      </c>
      <c r="AH203" s="6">
        <v>0</v>
      </c>
      <c r="AI203" s="6" t="s">
        <v>967</v>
      </c>
      <c r="AJ203" s="6" t="s">
        <v>259</v>
      </c>
      <c r="AK203" s="6" t="s">
        <v>12</v>
      </c>
      <c r="AL203" s="6" t="s">
        <v>50</v>
      </c>
      <c r="AM203" s="6" t="s">
        <v>260</v>
      </c>
      <c r="AN203" s="6" t="s">
        <v>20</v>
      </c>
      <c r="AO203" s="6" t="s">
        <v>250</v>
      </c>
      <c r="AP203" s="6" t="s">
        <v>251</v>
      </c>
      <c r="AQ203" s="6" t="s">
        <v>94</v>
      </c>
    </row>
    <row r="204" spans="1:43" x14ac:dyDescent="0.25">
      <c r="A204" s="6">
        <v>22732118</v>
      </c>
      <c r="B204" s="6">
        <v>23529564</v>
      </c>
      <c r="C204" s="6" t="s">
        <v>237</v>
      </c>
      <c r="D204" s="14">
        <v>45881.770011574074</v>
      </c>
      <c r="E204" s="14">
        <v>45881.794618055559</v>
      </c>
      <c r="F204" s="6" t="s">
        <v>17</v>
      </c>
      <c r="G204" s="6" t="s">
        <v>17</v>
      </c>
      <c r="H204" s="6" t="s">
        <v>968</v>
      </c>
      <c r="I204" s="6" t="s">
        <v>253</v>
      </c>
      <c r="J204" s="6" t="s">
        <v>969</v>
      </c>
      <c r="K204" s="6" t="s">
        <v>961</v>
      </c>
      <c r="L204" s="6" t="s">
        <v>961</v>
      </c>
      <c r="M204" s="14">
        <v>45881.609722222223</v>
      </c>
      <c r="N204" s="6">
        <v>225848</v>
      </c>
      <c r="O204" s="6" t="s">
        <v>966</v>
      </c>
      <c r="P204" s="6" t="s">
        <v>272</v>
      </c>
      <c r="Q204" s="6" t="s">
        <v>243</v>
      </c>
      <c r="R204" s="6" t="s">
        <v>244</v>
      </c>
      <c r="S204" s="6" t="s">
        <v>8</v>
      </c>
      <c r="T204" s="6" t="s">
        <v>245</v>
      </c>
      <c r="U204" s="6" t="s">
        <v>128</v>
      </c>
      <c r="V204" s="6" t="s">
        <v>912</v>
      </c>
      <c r="W204" s="6" t="s">
        <v>83</v>
      </c>
      <c r="X204" s="6" t="s">
        <v>83</v>
      </c>
      <c r="Y204" s="6" t="s">
        <v>83</v>
      </c>
      <c r="Z204" s="6" t="s">
        <v>63</v>
      </c>
      <c r="AA204" s="6" t="s">
        <v>83</v>
      </c>
      <c r="AB204" s="6">
        <v>2188.16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 t="s">
        <v>970</v>
      </c>
      <c r="AJ204" s="6" t="s">
        <v>259</v>
      </c>
      <c r="AK204" s="6" t="s">
        <v>12</v>
      </c>
      <c r="AL204" s="6" t="s">
        <v>50</v>
      </c>
      <c r="AM204" s="6" t="s">
        <v>260</v>
      </c>
      <c r="AN204" s="6" t="s">
        <v>20</v>
      </c>
      <c r="AO204" s="6" t="s">
        <v>250</v>
      </c>
      <c r="AP204" s="6" t="s">
        <v>251</v>
      </c>
      <c r="AQ204" s="6" t="s">
        <v>94</v>
      </c>
    </row>
    <row r="205" spans="1:43" x14ac:dyDescent="0.25">
      <c r="A205" s="6">
        <v>22732065</v>
      </c>
      <c r="B205" s="6">
        <v>23529510</v>
      </c>
      <c r="C205" s="6" t="s">
        <v>237</v>
      </c>
      <c r="D205" s="14">
        <v>45881.768587962957</v>
      </c>
      <c r="E205" s="14">
        <v>45881.78565972222</v>
      </c>
      <c r="F205" s="6" t="s">
        <v>17</v>
      </c>
      <c r="G205" s="6" t="s">
        <v>17</v>
      </c>
      <c r="H205" s="6" t="s">
        <v>971</v>
      </c>
      <c r="I205" s="6" t="s">
        <v>253</v>
      </c>
      <c r="J205" s="6" t="s">
        <v>972</v>
      </c>
      <c r="K205" s="6" t="s">
        <v>961</v>
      </c>
      <c r="L205" s="6" t="s">
        <v>961</v>
      </c>
      <c r="M205" s="14">
        <v>45881.65625</v>
      </c>
      <c r="N205" s="6">
        <v>225994</v>
      </c>
      <c r="O205" s="6" t="s">
        <v>83</v>
      </c>
      <c r="P205" s="6" t="s">
        <v>272</v>
      </c>
      <c r="Q205" s="6" t="s">
        <v>243</v>
      </c>
      <c r="R205" s="6" t="s">
        <v>244</v>
      </c>
      <c r="S205" s="6" t="s">
        <v>7</v>
      </c>
      <c r="T205" s="6" t="s">
        <v>245</v>
      </c>
      <c r="U205" s="6" t="s">
        <v>128</v>
      </c>
      <c r="V205" s="6" t="s">
        <v>924</v>
      </c>
      <c r="W205" s="6" t="s">
        <v>83</v>
      </c>
      <c r="X205" s="6" t="s">
        <v>306</v>
      </c>
      <c r="Y205" s="6">
        <v>3023529510</v>
      </c>
      <c r="Z205" s="6" t="s">
        <v>63</v>
      </c>
      <c r="AA205" s="6" t="s">
        <v>83</v>
      </c>
      <c r="AB205" s="6">
        <v>0</v>
      </c>
      <c r="AC205" s="6">
        <v>130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 t="s">
        <v>973</v>
      </c>
      <c r="AJ205" s="6" t="s">
        <v>762</v>
      </c>
      <c r="AK205" s="6" t="s">
        <v>12</v>
      </c>
      <c r="AL205" s="6" t="s">
        <v>58</v>
      </c>
      <c r="AM205" s="6" t="s">
        <v>74</v>
      </c>
      <c r="AN205" s="6" t="s">
        <v>20</v>
      </c>
      <c r="AO205" s="6" t="s">
        <v>250</v>
      </c>
      <c r="AP205" s="6" t="s">
        <v>251</v>
      </c>
      <c r="AQ205" s="6" t="s">
        <v>94</v>
      </c>
    </row>
    <row r="206" spans="1:43" x14ac:dyDescent="0.25">
      <c r="A206" s="6">
        <v>22734009</v>
      </c>
      <c r="B206" s="6">
        <v>23531291</v>
      </c>
      <c r="C206" s="6" t="s">
        <v>237</v>
      </c>
      <c r="D206" s="14">
        <v>45882.016331018523</v>
      </c>
      <c r="E206" s="14">
        <v>45882.032025462962</v>
      </c>
      <c r="F206" s="6" t="s">
        <v>17</v>
      </c>
      <c r="G206" s="6" t="s">
        <v>17</v>
      </c>
      <c r="H206" s="6" t="s">
        <v>974</v>
      </c>
      <c r="I206" s="6" t="s">
        <v>253</v>
      </c>
      <c r="J206" s="6" t="s">
        <v>969</v>
      </c>
      <c r="K206" s="6" t="s">
        <v>961</v>
      </c>
      <c r="L206" s="6" t="s">
        <v>961</v>
      </c>
      <c r="M206" s="14">
        <v>45881.832638888889</v>
      </c>
      <c r="N206" s="6">
        <v>226080</v>
      </c>
      <c r="O206" s="6" t="s">
        <v>83</v>
      </c>
      <c r="P206" s="6" t="s">
        <v>272</v>
      </c>
      <c r="Q206" s="6" t="s">
        <v>256</v>
      </c>
      <c r="R206" s="6" t="s">
        <v>256</v>
      </c>
      <c r="S206" s="6" t="s">
        <v>9</v>
      </c>
      <c r="T206" s="6" t="s">
        <v>245</v>
      </c>
      <c r="U206" s="6" t="s">
        <v>128</v>
      </c>
      <c r="V206" s="6" t="s">
        <v>912</v>
      </c>
      <c r="W206" s="6" t="s">
        <v>83</v>
      </c>
      <c r="X206" s="6" t="s">
        <v>83</v>
      </c>
      <c r="Y206" s="6" t="s">
        <v>83</v>
      </c>
      <c r="Z206" s="6" t="s">
        <v>63</v>
      </c>
      <c r="AA206" s="6" t="s">
        <v>83</v>
      </c>
      <c r="AB206" s="6">
        <v>1145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 t="s">
        <v>975</v>
      </c>
      <c r="AJ206" s="6" t="s">
        <v>259</v>
      </c>
      <c r="AK206" s="6" t="s">
        <v>12</v>
      </c>
      <c r="AL206" s="6" t="s">
        <v>50</v>
      </c>
      <c r="AM206" s="6" t="s">
        <v>260</v>
      </c>
      <c r="AN206" s="6" t="s">
        <v>20</v>
      </c>
      <c r="AO206" s="6" t="s">
        <v>250</v>
      </c>
      <c r="AP206" s="6" t="s">
        <v>251</v>
      </c>
      <c r="AQ206" s="6" t="s">
        <v>18</v>
      </c>
    </row>
    <row r="207" spans="1:43" x14ac:dyDescent="0.25">
      <c r="A207" s="6">
        <v>22721278</v>
      </c>
      <c r="B207" s="6">
        <v>23519654</v>
      </c>
      <c r="C207" s="6" t="s">
        <v>237</v>
      </c>
      <c r="D207" s="14">
        <v>45880.438356481478</v>
      </c>
      <c r="E207" s="14">
        <v>45880.442314814813</v>
      </c>
      <c r="F207" s="6" t="s">
        <v>17</v>
      </c>
      <c r="G207" s="6" t="s">
        <v>17</v>
      </c>
      <c r="H207" s="6" t="s">
        <v>976</v>
      </c>
      <c r="I207" s="6" t="s">
        <v>16</v>
      </c>
      <c r="J207" s="6" t="s">
        <v>977</v>
      </c>
      <c r="K207" s="6" t="s">
        <v>372</v>
      </c>
      <c r="L207" s="6" t="s">
        <v>372</v>
      </c>
      <c r="M207" s="14">
        <v>45854.512499999997</v>
      </c>
      <c r="N207" s="6" t="s">
        <v>978</v>
      </c>
      <c r="O207" s="6" t="s">
        <v>599</v>
      </c>
      <c r="P207" s="6" t="s">
        <v>242</v>
      </c>
      <c r="Q207" s="6" t="s">
        <v>243</v>
      </c>
      <c r="R207" s="6" t="s">
        <v>244</v>
      </c>
      <c r="S207" s="6" t="s">
        <v>8</v>
      </c>
      <c r="T207" s="6" t="s">
        <v>245</v>
      </c>
      <c r="U207" s="6" t="s">
        <v>173</v>
      </c>
      <c r="V207" s="6" t="s">
        <v>979</v>
      </c>
      <c r="W207" s="6" t="s">
        <v>83</v>
      </c>
      <c r="X207" s="6" t="s">
        <v>83</v>
      </c>
      <c r="Y207" s="6" t="s">
        <v>83</v>
      </c>
      <c r="Z207" s="6" t="s">
        <v>102</v>
      </c>
      <c r="AA207" s="6" t="s">
        <v>83</v>
      </c>
      <c r="AB207" s="6">
        <v>233.64</v>
      </c>
      <c r="AC207" s="6">
        <v>304.33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 t="s">
        <v>248</v>
      </c>
      <c r="AJ207" s="6" t="s">
        <v>259</v>
      </c>
      <c r="AK207" s="6" t="s">
        <v>16</v>
      </c>
      <c r="AL207" s="6" t="s">
        <v>50</v>
      </c>
      <c r="AM207" s="6" t="s">
        <v>260</v>
      </c>
      <c r="AN207" s="6" t="s">
        <v>20</v>
      </c>
      <c r="AO207" s="6" t="s">
        <v>250</v>
      </c>
      <c r="AP207" s="6" t="s">
        <v>251</v>
      </c>
      <c r="AQ207" s="6" t="s">
        <v>18</v>
      </c>
    </row>
    <row r="208" spans="1:43" x14ac:dyDescent="0.25">
      <c r="A208" s="6">
        <v>22723903</v>
      </c>
      <c r="B208" s="6">
        <v>23522160</v>
      </c>
      <c r="C208" s="6" t="s">
        <v>237</v>
      </c>
      <c r="D208" s="14">
        <v>45880.720358796287</v>
      </c>
      <c r="E208" s="14">
        <v>45880.721724537027</v>
      </c>
      <c r="F208" s="6" t="s">
        <v>17</v>
      </c>
      <c r="G208" s="6" t="s">
        <v>17</v>
      </c>
      <c r="H208" s="6" t="s">
        <v>980</v>
      </c>
      <c r="I208" s="6" t="s">
        <v>16</v>
      </c>
      <c r="J208" s="6" t="s">
        <v>981</v>
      </c>
      <c r="K208" s="6" t="s">
        <v>372</v>
      </c>
      <c r="L208" s="6" t="s">
        <v>372</v>
      </c>
      <c r="M208" s="14">
        <v>45880.525694444441</v>
      </c>
      <c r="N208" s="6" t="s">
        <v>980</v>
      </c>
      <c r="O208" s="6" t="s">
        <v>83</v>
      </c>
      <c r="P208" s="6" t="s">
        <v>242</v>
      </c>
      <c r="Q208" s="6" t="s">
        <v>256</v>
      </c>
      <c r="R208" s="6" t="s">
        <v>256</v>
      </c>
      <c r="S208" s="6" t="s">
        <v>7</v>
      </c>
      <c r="T208" s="6" t="s">
        <v>245</v>
      </c>
      <c r="U208" s="6" t="s">
        <v>173</v>
      </c>
      <c r="V208" s="6" t="s">
        <v>979</v>
      </c>
      <c r="W208" s="6" t="s">
        <v>83</v>
      </c>
      <c r="X208" s="6" t="s">
        <v>306</v>
      </c>
      <c r="Y208" s="6">
        <v>2143225827</v>
      </c>
      <c r="Z208" s="6" t="s">
        <v>102</v>
      </c>
      <c r="AA208" s="6" t="s">
        <v>83</v>
      </c>
      <c r="AB208" s="6">
        <v>0</v>
      </c>
      <c r="AC208" s="6">
        <v>474.02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 t="s">
        <v>248</v>
      </c>
      <c r="AJ208" s="6" t="s">
        <v>982</v>
      </c>
      <c r="AK208" s="6" t="s">
        <v>16</v>
      </c>
      <c r="AL208" s="6" t="s">
        <v>70</v>
      </c>
      <c r="AM208" s="6" t="s">
        <v>74</v>
      </c>
      <c r="AN208" s="6" t="s">
        <v>20</v>
      </c>
      <c r="AO208" s="6" t="s">
        <v>250</v>
      </c>
      <c r="AP208" s="6" t="s">
        <v>251</v>
      </c>
      <c r="AQ208" s="6" t="s">
        <v>18</v>
      </c>
    </row>
    <row r="209" spans="1:43" x14ac:dyDescent="0.25">
      <c r="A209" s="6">
        <v>22681821</v>
      </c>
      <c r="B209" s="6">
        <v>23486261</v>
      </c>
      <c r="C209" s="6" t="s">
        <v>237</v>
      </c>
      <c r="D209" s="14">
        <v>45873.822870370372</v>
      </c>
      <c r="E209" s="14">
        <v>45874.926064814812</v>
      </c>
      <c r="F209" s="6" t="s">
        <v>21</v>
      </c>
      <c r="G209" s="6" t="s">
        <v>23</v>
      </c>
      <c r="H209" s="6" t="s">
        <v>983</v>
      </c>
      <c r="I209" s="6" t="s">
        <v>13</v>
      </c>
      <c r="J209" s="6" t="s">
        <v>984</v>
      </c>
      <c r="K209" s="6" t="s">
        <v>985</v>
      </c>
      <c r="L209" s="6" t="s">
        <v>985</v>
      </c>
      <c r="M209" s="14">
        <v>45873.813194444447</v>
      </c>
      <c r="N209" s="6">
        <v>4575654</v>
      </c>
      <c r="O209" s="6" t="s">
        <v>83</v>
      </c>
      <c r="P209" s="6" t="s">
        <v>272</v>
      </c>
      <c r="Q209" s="6" t="s">
        <v>256</v>
      </c>
      <c r="R209" s="6" t="s">
        <v>424</v>
      </c>
      <c r="S209" s="6" t="s">
        <v>7</v>
      </c>
      <c r="T209" s="6" t="s">
        <v>245</v>
      </c>
      <c r="U209" s="6" t="s">
        <v>186</v>
      </c>
      <c r="V209" s="6" t="s">
        <v>246</v>
      </c>
      <c r="W209" s="6" t="s">
        <v>83</v>
      </c>
      <c r="X209" s="6" t="s">
        <v>306</v>
      </c>
      <c r="Y209" s="6">
        <v>2142700013</v>
      </c>
      <c r="Z209" s="6" t="s">
        <v>115</v>
      </c>
      <c r="AA209" s="6" t="s">
        <v>83</v>
      </c>
      <c r="AB209" s="6">
        <v>863.09</v>
      </c>
      <c r="AC209" s="6">
        <v>773.91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 t="s">
        <v>986</v>
      </c>
      <c r="AJ209" s="6" t="s">
        <v>307</v>
      </c>
      <c r="AK209" s="6" t="s">
        <v>13</v>
      </c>
      <c r="AL209" s="6" t="s">
        <v>60</v>
      </c>
      <c r="AM209" s="6" t="s">
        <v>308</v>
      </c>
      <c r="AN209" s="6" t="s">
        <v>26</v>
      </c>
      <c r="AO209" s="6" t="s">
        <v>250</v>
      </c>
      <c r="AP209" s="6" t="s">
        <v>262</v>
      </c>
      <c r="AQ209" s="6" t="s">
        <v>24</v>
      </c>
    </row>
    <row r="210" spans="1:43" x14ac:dyDescent="0.25">
      <c r="A210" s="6">
        <v>22725695</v>
      </c>
      <c r="B210" s="6">
        <v>23523920</v>
      </c>
      <c r="C210" s="6" t="s">
        <v>237</v>
      </c>
      <c r="D210" s="14">
        <v>45880.817361111112</v>
      </c>
      <c r="E210" s="14">
        <v>45881.243923611109</v>
      </c>
      <c r="F210" s="6" t="s">
        <v>17</v>
      </c>
      <c r="G210" s="6" t="s">
        <v>17</v>
      </c>
      <c r="H210" s="6" t="s">
        <v>987</v>
      </c>
      <c r="I210" s="6" t="s">
        <v>16</v>
      </c>
      <c r="J210" s="6" t="s">
        <v>988</v>
      </c>
      <c r="K210" s="6" t="s">
        <v>279</v>
      </c>
      <c r="L210" s="6" t="s">
        <v>372</v>
      </c>
      <c r="M210" s="14">
        <v>45875.335416666669</v>
      </c>
      <c r="N210" s="6" t="s">
        <v>987</v>
      </c>
      <c r="O210" s="6" t="s">
        <v>83</v>
      </c>
      <c r="P210" s="6" t="s">
        <v>242</v>
      </c>
      <c r="Q210" s="6" t="s">
        <v>256</v>
      </c>
      <c r="R210" s="6" t="s">
        <v>424</v>
      </c>
      <c r="S210" s="6" t="s">
        <v>7</v>
      </c>
      <c r="T210" s="6" t="s">
        <v>245</v>
      </c>
      <c r="U210" s="6" t="s">
        <v>123</v>
      </c>
      <c r="V210" s="6" t="s">
        <v>989</v>
      </c>
      <c r="W210" s="6" t="s">
        <v>353</v>
      </c>
      <c r="X210" s="6" t="s">
        <v>247</v>
      </c>
      <c r="Y210" s="6">
        <v>2971604084</v>
      </c>
      <c r="Z210" s="6" t="s">
        <v>59</v>
      </c>
      <c r="AA210" s="6" t="s">
        <v>83</v>
      </c>
      <c r="AB210" s="6">
        <v>9050.5300000000007</v>
      </c>
      <c r="AC210" s="6">
        <v>139.9</v>
      </c>
      <c r="AD210" s="6">
        <v>806.09</v>
      </c>
      <c r="AE210" s="6">
        <v>0</v>
      </c>
      <c r="AF210" s="6">
        <v>139.9</v>
      </c>
      <c r="AG210" s="6">
        <v>0</v>
      </c>
      <c r="AH210" s="6">
        <v>19.29</v>
      </c>
      <c r="AI210" s="6" t="s">
        <v>248</v>
      </c>
      <c r="AJ210" s="6" t="s">
        <v>990</v>
      </c>
      <c r="AK210" s="6" t="s">
        <v>16</v>
      </c>
      <c r="AL210" s="6" t="s">
        <v>51</v>
      </c>
      <c r="AM210" s="6" t="s">
        <v>342</v>
      </c>
      <c r="AN210" s="6" t="s">
        <v>26</v>
      </c>
      <c r="AO210" s="6" t="s">
        <v>250</v>
      </c>
      <c r="AP210" s="6" t="s">
        <v>262</v>
      </c>
      <c r="AQ210" s="6" t="s">
        <v>24</v>
      </c>
    </row>
    <row r="211" spans="1:43" x14ac:dyDescent="0.25">
      <c r="A211" s="6">
        <v>22725688</v>
      </c>
      <c r="B211" s="6">
        <v>23523913</v>
      </c>
      <c r="C211" s="6" t="s">
        <v>237</v>
      </c>
      <c r="D211" s="14">
        <v>45880.816828703697</v>
      </c>
      <c r="E211" s="14">
        <v>45881.243668981479</v>
      </c>
      <c r="F211" s="6" t="s">
        <v>17</v>
      </c>
      <c r="G211" s="6" t="s">
        <v>17</v>
      </c>
      <c r="H211" s="6" t="s">
        <v>991</v>
      </c>
      <c r="I211" s="6" t="s">
        <v>16</v>
      </c>
      <c r="J211" s="6" t="s">
        <v>992</v>
      </c>
      <c r="K211" s="6" t="s">
        <v>279</v>
      </c>
      <c r="L211" s="6" t="s">
        <v>372</v>
      </c>
      <c r="M211" s="14">
        <v>45875.398611111108</v>
      </c>
      <c r="N211" s="6" t="s">
        <v>991</v>
      </c>
      <c r="O211" s="6" t="s">
        <v>83</v>
      </c>
      <c r="P211" s="6" t="s">
        <v>242</v>
      </c>
      <c r="Q211" s="6" t="s">
        <v>361</v>
      </c>
      <c r="R211" s="6" t="s">
        <v>339</v>
      </c>
      <c r="S211" s="6" t="s">
        <v>7</v>
      </c>
      <c r="T211" s="6" t="s">
        <v>245</v>
      </c>
      <c r="U211" s="6" t="s">
        <v>123</v>
      </c>
      <c r="V211" s="6" t="s">
        <v>993</v>
      </c>
      <c r="W211" s="6" t="s">
        <v>353</v>
      </c>
      <c r="X211" s="6" t="s">
        <v>247</v>
      </c>
      <c r="Y211" s="6">
        <v>2971592825</v>
      </c>
      <c r="Z211" s="6" t="s">
        <v>59</v>
      </c>
      <c r="AA211" s="6" t="s">
        <v>83</v>
      </c>
      <c r="AB211" s="6">
        <v>0</v>
      </c>
      <c r="AC211" s="6">
        <v>0</v>
      </c>
      <c r="AD211" s="6">
        <v>153.63</v>
      </c>
      <c r="AE211" s="6">
        <v>0</v>
      </c>
      <c r="AF211" s="6">
        <v>0</v>
      </c>
      <c r="AG211" s="6">
        <v>0</v>
      </c>
      <c r="AH211" s="6">
        <v>19.29</v>
      </c>
      <c r="AI211" s="6" t="s">
        <v>248</v>
      </c>
      <c r="AJ211" s="6" t="s">
        <v>994</v>
      </c>
      <c r="AK211" s="6" t="s">
        <v>16</v>
      </c>
      <c r="AL211" s="6" t="s">
        <v>51</v>
      </c>
      <c r="AM211" s="6" t="s">
        <v>342</v>
      </c>
      <c r="AN211" s="6" t="s">
        <v>26</v>
      </c>
      <c r="AO211" s="6" t="s">
        <v>250</v>
      </c>
      <c r="AP211" s="6" t="s">
        <v>262</v>
      </c>
      <c r="AQ211" s="6" t="s">
        <v>24</v>
      </c>
    </row>
    <row r="212" spans="1:43" x14ac:dyDescent="0.25">
      <c r="A212" s="6">
        <v>22725702</v>
      </c>
      <c r="B212" s="6">
        <v>23523927</v>
      </c>
      <c r="C212" s="6" t="s">
        <v>237</v>
      </c>
      <c r="D212" s="14">
        <v>45880.817928240736</v>
      </c>
      <c r="E212" s="14">
        <v>45881.243993055563</v>
      </c>
      <c r="F212" s="6" t="s">
        <v>17</v>
      </c>
      <c r="G212" s="6" t="s">
        <v>17</v>
      </c>
      <c r="H212" s="6" t="s">
        <v>995</v>
      </c>
      <c r="I212" s="6" t="s">
        <v>16</v>
      </c>
      <c r="J212" s="6" t="s">
        <v>996</v>
      </c>
      <c r="K212" s="6" t="s">
        <v>279</v>
      </c>
      <c r="L212" s="6" t="s">
        <v>372</v>
      </c>
      <c r="M212" s="14">
        <v>45877</v>
      </c>
      <c r="N212" s="6" t="s">
        <v>995</v>
      </c>
      <c r="O212" s="6" t="s">
        <v>83</v>
      </c>
      <c r="P212" s="6" t="s">
        <v>242</v>
      </c>
      <c r="Q212" s="6" t="s">
        <v>256</v>
      </c>
      <c r="R212" s="6" t="s">
        <v>424</v>
      </c>
      <c r="S212" s="6" t="s">
        <v>7</v>
      </c>
      <c r="T212" s="6" t="s">
        <v>245</v>
      </c>
      <c r="U212" s="6" t="s">
        <v>123</v>
      </c>
      <c r="V212" s="6" t="s">
        <v>997</v>
      </c>
      <c r="W212" s="6" t="s">
        <v>353</v>
      </c>
      <c r="X212" s="6" t="s">
        <v>998</v>
      </c>
      <c r="Y212" s="6">
        <v>2971604113</v>
      </c>
      <c r="Z212" s="6" t="s">
        <v>59</v>
      </c>
      <c r="AA212" s="6" t="s">
        <v>83</v>
      </c>
      <c r="AB212" s="6">
        <v>1043.83</v>
      </c>
      <c r="AC212" s="6">
        <v>0</v>
      </c>
      <c r="AD212" s="6">
        <v>762.3</v>
      </c>
      <c r="AE212" s="6">
        <v>0</v>
      </c>
      <c r="AF212" s="6">
        <v>0</v>
      </c>
      <c r="AG212" s="6">
        <v>0</v>
      </c>
      <c r="AH212" s="6">
        <v>19.12</v>
      </c>
      <c r="AI212" s="6" t="s">
        <v>248</v>
      </c>
      <c r="AJ212" s="6" t="s">
        <v>999</v>
      </c>
      <c r="AK212" s="6" t="s">
        <v>16</v>
      </c>
      <c r="AL212" s="6" t="s">
        <v>51</v>
      </c>
      <c r="AM212" s="6" t="s">
        <v>342</v>
      </c>
      <c r="AN212" s="6" t="s">
        <v>26</v>
      </c>
      <c r="AO212" s="6" t="s">
        <v>250</v>
      </c>
      <c r="AP212" s="6" t="s">
        <v>262</v>
      </c>
      <c r="AQ212" s="6" t="s">
        <v>24</v>
      </c>
    </row>
    <row r="213" spans="1:43" x14ac:dyDescent="0.25">
      <c r="A213" s="6">
        <v>22725700</v>
      </c>
      <c r="B213" s="6">
        <v>23523924</v>
      </c>
      <c r="C213" s="6" t="s">
        <v>237</v>
      </c>
      <c r="D213" s="14">
        <v>45880.817615740743</v>
      </c>
      <c r="E213" s="14">
        <v>45881.243958333333</v>
      </c>
      <c r="F213" s="6" t="s">
        <v>17</v>
      </c>
      <c r="G213" s="6" t="s">
        <v>17</v>
      </c>
      <c r="H213" s="6" t="s">
        <v>1000</v>
      </c>
      <c r="I213" s="6" t="s">
        <v>16</v>
      </c>
      <c r="J213" s="6" t="s">
        <v>1001</v>
      </c>
      <c r="K213" s="6" t="s">
        <v>279</v>
      </c>
      <c r="L213" s="6" t="s">
        <v>372</v>
      </c>
      <c r="M213" s="14">
        <v>45876.332638888889</v>
      </c>
      <c r="N213" s="6" t="s">
        <v>1000</v>
      </c>
      <c r="O213" s="6" t="s">
        <v>83</v>
      </c>
      <c r="P213" s="6" t="s">
        <v>242</v>
      </c>
      <c r="Q213" s="6" t="s">
        <v>256</v>
      </c>
      <c r="R213" s="6" t="s">
        <v>424</v>
      </c>
      <c r="S213" s="6" t="s">
        <v>7</v>
      </c>
      <c r="T213" s="6" t="s">
        <v>245</v>
      </c>
      <c r="U213" s="6" t="s">
        <v>123</v>
      </c>
      <c r="V213" s="6" t="s">
        <v>993</v>
      </c>
      <c r="W213" s="6" t="s">
        <v>353</v>
      </c>
      <c r="X213" s="6" t="s">
        <v>1002</v>
      </c>
      <c r="Y213" s="6">
        <v>2971604104</v>
      </c>
      <c r="Z213" s="6" t="s">
        <v>59</v>
      </c>
      <c r="AA213" s="6" t="s">
        <v>83</v>
      </c>
      <c r="AB213" s="6">
        <v>6028.22</v>
      </c>
      <c r="AC213" s="6">
        <v>59.54</v>
      </c>
      <c r="AD213" s="6">
        <v>435.14</v>
      </c>
      <c r="AE213" s="6">
        <v>0</v>
      </c>
      <c r="AF213" s="6">
        <v>59.54</v>
      </c>
      <c r="AG213" s="6">
        <v>0</v>
      </c>
      <c r="AH213" s="6">
        <v>19.18</v>
      </c>
      <c r="AI213" s="6" t="s">
        <v>248</v>
      </c>
      <c r="AJ213" s="6" t="s">
        <v>1003</v>
      </c>
      <c r="AK213" s="6" t="s">
        <v>16</v>
      </c>
      <c r="AL213" s="6" t="s">
        <v>51</v>
      </c>
      <c r="AM213" s="6" t="s">
        <v>342</v>
      </c>
      <c r="AN213" s="6" t="s">
        <v>26</v>
      </c>
      <c r="AO213" s="6" t="s">
        <v>250</v>
      </c>
      <c r="AP213" s="6" t="s">
        <v>262</v>
      </c>
      <c r="AQ213" s="6" t="s">
        <v>24</v>
      </c>
    </row>
    <row r="214" spans="1:43" x14ac:dyDescent="0.25">
      <c r="A214" s="6">
        <v>22725709</v>
      </c>
      <c r="B214" s="6">
        <v>23523934</v>
      </c>
      <c r="C214" s="6" t="s">
        <v>237</v>
      </c>
      <c r="D214" s="14">
        <v>45880.818298611113</v>
      </c>
      <c r="E214" s="14">
        <v>45881.244027777779</v>
      </c>
      <c r="F214" s="6" t="s">
        <v>17</v>
      </c>
      <c r="G214" s="6" t="s">
        <v>17</v>
      </c>
      <c r="H214" s="6" t="s">
        <v>1004</v>
      </c>
      <c r="I214" s="6" t="s">
        <v>16</v>
      </c>
      <c r="J214" s="6" t="s">
        <v>1005</v>
      </c>
      <c r="K214" s="6" t="s">
        <v>279</v>
      </c>
      <c r="L214" s="6" t="s">
        <v>372</v>
      </c>
      <c r="M214" s="14">
        <v>45877.432638888888</v>
      </c>
      <c r="N214" s="6" t="s">
        <v>1004</v>
      </c>
      <c r="O214" s="6" t="s">
        <v>83</v>
      </c>
      <c r="P214" s="6" t="s">
        <v>242</v>
      </c>
      <c r="Q214" s="6" t="s">
        <v>256</v>
      </c>
      <c r="R214" s="6" t="s">
        <v>424</v>
      </c>
      <c r="S214" s="6" t="s">
        <v>7</v>
      </c>
      <c r="T214" s="6" t="s">
        <v>245</v>
      </c>
      <c r="U214" s="6" t="s">
        <v>123</v>
      </c>
      <c r="V214" s="6" t="s">
        <v>1006</v>
      </c>
      <c r="W214" s="6" t="s">
        <v>353</v>
      </c>
      <c r="X214" s="6" t="s">
        <v>625</v>
      </c>
      <c r="Y214" s="6">
        <v>2971604118</v>
      </c>
      <c r="Z214" s="6" t="s">
        <v>59</v>
      </c>
      <c r="AA214" s="6" t="s">
        <v>83</v>
      </c>
      <c r="AB214" s="6">
        <v>11643.35</v>
      </c>
      <c r="AC214" s="6">
        <v>0</v>
      </c>
      <c r="AD214" s="6">
        <v>2734.83</v>
      </c>
      <c r="AE214" s="6">
        <v>0</v>
      </c>
      <c r="AF214" s="6">
        <v>0</v>
      </c>
      <c r="AG214" s="6">
        <v>0</v>
      </c>
      <c r="AH214" s="6">
        <v>19.12</v>
      </c>
      <c r="AI214" s="6" t="s">
        <v>248</v>
      </c>
      <c r="AJ214" s="6" t="s">
        <v>1007</v>
      </c>
      <c r="AK214" s="6" t="s">
        <v>16</v>
      </c>
      <c r="AL214" s="6" t="s">
        <v>51</v>
      </c>
      <c r="AM214" s="6" t="s">
        <v>342</v>
      </c>
      <c r="AN214" s="6" t="s">
        <v>26</v>
      </c>
      <c r="AO214" s="6" t="s">
        <v>250</v>
      </c>
      <c r="AP214" s="6" t="s">
        <v>262</v>
      </c>
      <c r="AQ214" s="6" t="s">
        <v>24</v>
      </c>
    </row>
    <row r="215" spans="1:43" x14ac:dyDescent="0.25">
      <c r="A215" s="6">
        <v>22725757</v>
      </c>
      <c r="B215" s="6">
        <v>23523982</v>
      </c>
      <c r="C215" s="6" t="s">
        <v>237</v>
      </c>
      <c r="D215" s="14">
        <v>45880.826342592591</v>
      </c>
      <c r="E215" s="14">
        <v>45881.244039351863</v>
      </c>
      <c r="F215" s="6" t="s">
        <v>17</v>
      </c>
      <c r="G215" s="6" t="s">
        <v>17</v>
      </c>
      <c r="H215" s="6" t="s">
        <v>1008</v>
      </c>
      <c r="I215" s="6" t="s">
        <v>16</v>
      </c>
      <c r="J215" s="6" t="s">
        <v>1009</v>
      </c>
      <c r="K215" s="6" t="s">
        <v>279</v>
      </c>
      <c r="L215" s="6" t="s">
        <v>372</v>
      </c>
      <c r="M215" s="14">
        <v>45877.348611111112</v>
      </c>
      <c r="N215" s="6" t="s">
        <v>1008</v>
      </c>
      <c r="O215" s="6" t="s">
        <v>83</v>
      </c>
      <c r="P215" s="6" t="s">
        <v>242</v>
      </c>
      <c r="Q215" s="6" t="s">
        <v>256</v>
      </c>
      <c r="R215" s="6" t="s">
        <v>424</v>
      </c>
      <c r="S215" s="6" t="s">
        <v>7</v>
      </c>
      <c r="T215" s="6" t="s">
        <v>245</v>
      </c>
      <c r="U215" s="6" t="s">
        <v>123</v>
      </c>
      <c r="V215" s="6" t="s">
        <v>1010</v>
      </c>
      <c r="W215" s="6" t="s">
        <v>353</v>
      </c>
      <c r="X215" s="6" t="s">
        <v>998</v>
      </c>
      <c r="Y215" s="6">
        <v>2971604119</v>
      </c>
      <c r="Z215" s="6" t="s">
        <v>59</v>
      </c>
      <c r="AA215" s="6" t="s">
        <v>83</v>
      </c>
      <c r="AB215" s="6">
        <v>6939.02</v>
      </c>
      <c r="AC215" s="6">
        <v>59.54</v>
      </c>
      <c r="AD215" s="6">
        <v>978.01</v>
      </c>
      <c r="AE215" s="6">
        <v>0</v>
      </c>
      <c r="AF215" s="6">
        <v>59.54</v>
      </c>
      <c r="AG215" s="6">
        <v>0</v>
      </c>
      <c r="AH215" s="6">
        <v>19.12</v>
      </c>
      <c r="AI215" s="6" t="s">
        <v>248</v>
      </c>
      <c r="AJ215" s="6" t="s">
        <v>1011</v>
      </c>
      <c r="AK215" s="6" t="s">
        <v>16</v>
      </c>
      <c r="AL215" s="6" t="s">
        <v>51</v>
      </c>
      <c r="AM215" s="6" t="s">
        <v>342</v>
      </c>
      <c r="AN215" s="6" t="s">
        <v>26</v>
      </c>
      <c r="AO215" s="6" t="s">
        <v>250</v>
      </c>
      <c r="AP215" s="6" t="s">
        <v>262</v>
      </c>
      <c r="AQ215" s="6" t="s">
        <v>24</v>
      </c>
    </row>
    <row r="216" spans="1:43" x14ac:dyDescent="0.25">
      <c r="A216" s="6">
        <v>22725758</v>
      </c>
      <c r="B216" s="6">
        <v>23523983</v>
      </c>
      <c r="C216" s="6" t="s">
        <v>237</v>
      </c>
      <c r="D216" s="14">
        <v>45880.826412037037</v>
      </c>
      <c r="E216" s="14">
        <v>45881.244050925918</v>
      </c>
      <c r="F216" s="6" t="s">
        <v>17</v>
      </c>
      <c r="G216" s="6" t="s">
        <v>17</v>
      </c>
      <c r="H216" s="6" t="s">
        <v>1012</v>
      </c>
      <c r="I216" s="6" t="s">
        <v>16</v>
      </c>
      <c r="J216" s="6" t="s">
        <v>1013</v>
      </c>
      <c r="K216" s="6" t="s">
        <v>279</v>
      </c>
      <c r="L216" s="6" t="s">
        <v>372</v>
      </c>
      <c r="M216" s="14">
        <v>45877.353472222218</v>
      </c>
      <c r="N216" s="6" t="s">
        <v>1012</v>
      </c>
      <c r="O216" s="6" t="s">
        <v>83</v>
      </c>
      <c r="P216" s="6" t="s">
        <v>242</v>
      </c>
      <c r="Q216" s="6" t="s">
        <v>256</v>
      </c>
      <c r="R216" s="6" t="s">
        <v>424</v>
      </c>
      <c r="S216" s="6" t="s">
        <v>7</v>
      </c>
      <c r="T216" s="6" t="s">
        <v>245</v>
      </c>
      <c r="U216" s="6" t="s">
        <v>123</v>
      </c>
      <c r="V216" s="6" t="s">
        <v>1010</v>
      </c>
      <c r="W216" s="6" t="s">
        <v>353</v>
      </c>
      <c r="X216" s="6" t="s">
        <v>998</v>
      </c>
      <c r="Y216" s="6">
        <v>2971604121</v>
      </c>
      <c r="Z216" s="6" t="s">
        <v>59</v>
      </c>
      <c r="AA216" s="6" t="s">
        <v>83</v>
      </c>
      <c r="AB216" s="6">
        <v>6939.02</v>
      </c>
      <c r="AC216" s="6">
        <v>59.54</v>
      </c>
      <c r="AD216" s="6">
        <v>978.01</v>
      </c>
      <c r="AE216" s="6">
        <v>0</v>
      </c>
      <c r="AF216" s="6">
        <v>59.54</v>
      </c>
      <c r="AG216" s="6">
        <v>0</v>
      </c>
      <c r="AH216" s="6">
        <v>19.12</v>
      </c>
      <c r="AI216" s="6" t="s">
        <v>248</v>
      </c>
      <c r="AJ216" s="6" t="s">
        <v>1014</v>
      </c>
      <c r="AK216" s="6" t="s">
        <v>16</v>
      </c>
      <c r="AL216" s="6" t="s">
        <v>51</v>
      </c>
      <c r="AM216" s="6" t="s">
        <v>342</v>
      </c>
      <c r="AN216" s="6" t="s">
        <v>26</v>
      </c>
      <c r="AO216" s="6" t="s">
        <v>250</v>
      </c>
      <c r="AP216" s="6" t="s">
        <v>262</v>
      </c>
      <c r="AQ216" s="6" t="s">
        <v>24</v>
      </c>
    </row>
    <row r="217" spans="1:43" x14ac:dyDescent="0.25">
      <c r="A217" s="6">
        <v>22725759</v>
      </c>
      <c r="B217" s="6">
        <v>23523984</v>
      </c>
      <c r="C217" s="6" t="s">
        <v>237</v>
      </c>
      <c r="D217" s="14">
        <v>45880.826469907413</v>
      </c>
      <c r="E217" s="14">
        <v>45881.244050925918</v>
      </c>
      <c r="F217" s="6" t="s">
        <v>17</v>
      </c>
      <c r="G217" s="6" t="s">
        <v>17</v>
      </c>
      <c r="H217" s="6" t="s">
        <v>1015</v>
      </c>
      <c r="I217" s="6" t="s">
        <v>16</v>
      </c>
      <c r="J217" s="6" t="s">
        <v>1016</v>
      </c>
      <c r="K217" s="6" t="s">
        <v>240</v>
      </c>
      <c r="L217" s="6" t="s">
        <v>372</v>
      </c>
      <c r="M217" s="14">
        <v>45877.522222222222</v>
      </c>
      <c r="N217" s="6" t="s">
        <v>1015</v>
      </c>
      <c r="O217" s="6" t="s">
        <v>83</v>
      </c>
      <c r="P217" s="6" t="s">
        <v>242</v>
      </c>
      <c r="Q217" s="6" t="s">
        <v>256</v>
      </c>
      <c r="R217" s="6" t="s">
        <v>424</v>
      </c>
      <c r="S217" s="6" t="s">
        <v>7</v>
      </c>
      <c r="T217" s="6" t="s">
        <v>245</v>
      </c>
      <c r="U217" s="6" t="s">
        <v>123</v>
      </c>
      <c r="V217" s="6" t="s">
        <v>1017</v>
      </c>
      <c r="W217" s="6" t="s">
        <v>353</v>
      </c>
      <c r="X217" s="6" t="s">
        <v>247</v>
      </c>
      <c r="Y217" s="6">
        <v>2971604123</v>
      </c>
      <c r="Z217" s="6" t="s">
        <v>59</v>
      </c>
      <c r="AA217" s="6" t="s">
        <v>83</v>
      </c>
      <c r="AB217" s="6">
        <v>7102.94</v>
      </c>
      <c r="AC217" s="6">
        <v>59.54</v>
      </c>
      <c r="AD217" s="6">
        <v>804.44</v>
      </c>
      <c r="AE217" s="6">
        <v>0</v>
      </c>
      <c r="AF217" s="6">
        <v>59.54</v>
      </c>
      <c r="AG217" s="6">
        <v>0</v>
      </c>
      <c r="AH217" s="6">
        <v>19.12</v>
      </c>
      <c r="AI217" s="6" t="s">
        <v>248</v>
      </c>
      <c r="AJ217" s="6" t="s">
        <v>1018</v>
      </c>
      <c r="AK217" s="6" t="s">
        <v>16</v>
      </c>
      <c r="AL217" s="6" t="s">
        <v>51</v>
      </c>
      <c r="AM217" s="6" t="s">
        <v>342</v>
      </c>
      <c r="AN217" s="6" t="s">
        <v>26</v>
      </c>
      <c r="AO217" s="6" t="s">
        <v>250</v>
      </c>
      <c r="AP217" s="6" t="s">
        <v>262</v>
      </c>
      <c r="AQ217" s="6" t="s">
        <v>24</v>
      </c>
    </row>
    <row r="218" spans="1:43" x14ac:dyDescent="0.25">
      <c r="A218" s="6">
        <v>22725706</v>
      </c>
      <c r="B218" s="6">
        <v>23523931</v>
      </c>
      <c r="C218" s="6" t="s">
        <v>237</v>
      </c>
      <c r="D218" s="14">
        <v>45880.818182870367</v>
      </c>
      <c r="E218" s="14">
        <v>45881.244016203702</v>
      </c>
      <c r="F218" s="6" t="s">
        <v>17</v>
      </c>
      <c r="G218" s="6" t="s">
        <v>17</v>
      </c>
      <c r="H218" s="6" t="s">
        <v>1019</v>
      </c>
      <c r="I218" s="6" t="s">
        <v>16</v>
      </c>
      <c r="J218" s="6" t="s">
        <v>1005</v>
      </c>
      <c r="K218" s="6" t="s">
        <v>240</v>
      </c>
      <c r="L218" s="6" t="s">
        <v>372</v>
      </c>
      <c r="M218" s="14">
        <v>45877.436111111107</v>
      </c>
      <c r="N218" s="6" t="s">
        <v>1019</v>
      </c>
      <c r="O218" s="6" t="s">
        <v>83</v>
      </c>
      <c r="P218" s="6" t="s">
        <v>242</v>
      </c>
      <c r="Q218" s="6" t="s">
        <v>256</v>
      </c>
      <c r="R218" s="6" t="s">
        <v>424</v>
      </c>
      <c r="S218" s="6" t="s">
        <v>7</v>
      </c>
      <c r="T218" s="6" t="s">
        <v>245</v>
      </c>
      <c r="U218" s="6" t="s">
        <v>123</v>
      </c>
      <c r="V218" s="6" t="s">
        <v>1006</v>
      </c>
      <c r="W218" s="6" t="s">
        <v>353</v>
      </c>
      <c r="X218" s="6" t="s">
        <v>282</v>
      </c>
      <c r="Y218" s="6">
        <v>2971604117</v>
      </c>
      <c r="Z218" s="6" t="s">
        <v>59</v>
      </c>
      <c r="AA218" s="6" t="s">
        <v>83</v>
      </c>
      <c r="AB218" s="6">
        <v>666.58</v>
      </c>
      <c r="AC218" s="6">
        <v>0</v>
      </c>
      <c r="AD218" s="6">
        <v>242.36</v>
      </c>
      <c r="AE218" s="6">
        <v>0</v>
      </c>
      <c r="AF218" s="6">
        <v>0</v>
      </c>
      <c r="AG218" s="6">
        <v>0</v>
      </c>
      <c r="AH218" s="6">
        <v>19.12</v>
      </c>
      <c r="AI218" s="6" t="s">
        <v>248</v>
      </c>
      <c r="AJ218" s="6" t="s">
        <v>1020</v>
      </c>
      <c r="AK218" s="6" t="s">
        <v>16</v>
      </c>
      <c r="AL218" s="6" t="s">
        <v>51</v>
      </c>
      <c r="AM218" s="6" t="s">
        <v>342</v>
      </c>
      <c r="AN218" s="6" t="s">
        <v>26</v>
      </c>
      <c r="AO218" s="6" t="s">
        <v>250</v>
      </c>
      <c r="AP218" s="6" t="s">
        <v>262</v>
      </c>
      <c r="AQ218" s="6" t="s">
        <v>24</v>
      </c>
    </row>
    <row r="219" spans="1:43" x14ac:dyDescent="0.25">
      <c r="A219" s="6">
        <v>22725708</v>
      </c>
      <c r="B219" s="6">
        <v>23523933</v>
      </c>
      <c r="C219" s="6" t="s">
        <v>237</v>
      </c>
      <c r="D219" s="14">
        <v>45880.818240740737</v>
      </c>
      <c r="E219" s="14">
        <v>45881.244027777779</v>
      </c>
      <c r="F219" s="6" t="s">
        <v>17</v>
      </c>
      <c r="G219" s="6" t="s">
        <v>17</v>
      </c>
      <c r="H219" s="6" t="s">
        <v>1021</v>
      </c>
      <c r="I219" s="6" t="s">
        <v>16</v>
      </c>
      <c r="J219" s="6" t="s">
        <v>1005</v>
      </c>
      <c r="K219" s="6" t="s">
        <v>240</v>
      </c>
      <c r="L219" s="6" t="s">
        <v>372</v>
      </c>
      <c r="M219" s="14">
        <v>45877.432638888888</v>
      </c>
      <c r="N219" s="6" t="s">
        <v>1021</v>
      </c>
      <c r="O219" s="6" t="s">
        <v>83</v>
      </c>
      <c r="P219" s="6" t="s">
        <v>242</v>
      </c>
      <c r="Q219" s="6" t="s">
        <v>256</v>
      </c>
      <c r="R219" s="6" t="s">
        <v>424</v>
      </c>
      <c r="S219" s="6" t="s">
        <v>7</v>
      </c>
      <c r="T219" s="6" t="s">
        <v>245</v>
      </c>
      <c r="U219" s="6" t="s">
        <v>123</v>
      </c>
      <c r="V219" s="6" t="s">
        <v>1006</v>
      </c>
      <c r="W219" s="6" t="s">
        <v>353</v>
      </c>
      <c r="X219" s="6" t="s">
        <v>1022</v>
      </c>
      <c r="Y219" s="6">
        <v>2952816576</v>
      </c>
      <c r="Z219" s="6" t="s">
        <v>59</v>
      </c>
      <c r="AA219" s="6" t="s">
        <v>83</v>
      </c>
      <c r="AB219" s="6">
        <v>4780.0200000000004</v>
      </c>
      <c r="AC219" s="6">
        <v>0</v>
      </c>
      <c r="AD219" s="6">
        <v>1506.08</v>
      </c>
      <c r="AE219" s="6">
        <v>0</v>
      </c>
      <c r="AF219" s="6">
        <v>0</v>
      </c>
      <c r="AG219" s="6">
        <v>0</v>
      </c>
      <c r="AH219" s="6">
        <v>19.12</v>
      </c>
      <c r="AI219" s="6" t="s">
        <v>248</v>
      </c>
      <c r="AJ219" s="6" t="s">
        <v>1023</v>
      </c>
      <c r="AK219" s="6" t="s">
        <v>16</v>
      </c>
      <c r="AL219" s="6" t="s">
        <v>51</v>
      </c>
      <c r="AM219" s="6" t="s">
        <v>342</v>
      </c>
      <c r="AN219" s="6" t="s">
        <v>26</v>
      </c>
      <c r="AO219" s="6" t="s">
        <v>250</v>
      </c>
      <c r="AP219" s="6" t="s">
        <v>262</v>
      </c>
      <c r="AQ219" s="6" t="s">
        <v>24</v>
      </c>
    </row>
    <row r="220" spans="1:43" x14ac:dyDescent="0.25">
      <c r="A220" s="6">
        <v>22725696</v>
      </c>
      <c r="B220" s="6">
        <v>23523921</v>
      </c>
      <c r="C220" s="6" t="s">
        <v>237</v>
      </c>
      <c r="D220" s="14">
        <v>45880.817430555559</v>
      </c>
      <c r="E220" s="14">
        <v>45881.243935185194</v>
      </c>
      <c r="F220" s="6" t="s">
        <v>17</v>
      </c>
      <c r="G220" s="6" t="s">
        <v>17</v>
      </c>
      <c r="H220" s="6" t="s">
        <v>1024</v>
      </c>
      <c r="I220" s="6" t="s">
        <v>16</v>
      </c>
      <c r="J220" s="6" t="s">
        <v>1025</v>
      </c>
      <c r="K220" s="6" t="s">
        <v>240</v>
      </c>
      <c r="L220" s="6" t="s">
        <v>372</v>
      </c>
      <c r="M220" s="14">
        <v>45876</v>
      </c>
      <c r="N220" s="6" t="s">
        <v>1024</v>
      </c>
      <c r="O220" s="6" t="s">
        <v>83</v>
      </c>
      <c r="P220" s="6" t="s">
        <v>272</v>
      </c>
      <c r="Q220" s="6" t="s">
        <v>256</v>
      </c>
      <c r="R220" s="6" t="s">
        <v>424</v>
      </c>
      <c r="S220" s="6" t="s">
        <v>7</v>
      </c>
      <c r="T220" s="6" t="s">
        <v>245</v>
      </c>
      <c r="U220" s="6" t="s">
        <v>123</v>
      </c>
      <c r="V220" s="6" t="s">
        <v>1010</v>
      </c>
      <c r="W220" s="6" t="s">
        <v>353</v>
      </c>
      <c r="X220" s="6" t="s">
        <v>247</v>
      </c>
      <c r="Y220" s="6">
        <v>2971604102</v>
      </c>
      <c r="Z220" s="6" t="s">
        <v>59</v>
      </c>
      <c r="AA220" s="6" t="s">
        <v>83</v>
      </c>
      <c r="AB220" s="6">
        <v>25099.31</v>
      </c>
      <c r="AC220" s="6">
        <v>93.65</v>
      </c>
      <c r="AD220" s="6">
        <v>3200.33</v>
      </c>
      <c r="AE220" s="6">
        <v>0</v>
      </c>
      <c r="AF220" s="6">
        <v>93.65</v>
      </c>
      <c r="AG220" s="6">
        <v>0</v>
      </c>
      <c r="AH220" s="6">
        <v>19.18</v>
      </c>
      <c r="AI220" s="6" t="s">
        <v>248</v>
      </c>
      <c r="AJ220" s="6" t="s">
        <v>1026</v>
      </c>
      <c r="AK220" s="6" t="s">
        <v>16</v>
      </c>
      <c r="AL220" s="6" t="s">
        <v>51</v>
      </c>
      <c r="AM220" s="6" t="s">
        <v>342</v>
      </c>
      <c r="AN220" s="6" t="s">
        <v>26</v>
      </c>
      <c r="AO220" s="6" t="s">
        <v>250</v>
      </c>
      <c r="AP220" s="6" t="s">
        <v>262</v>
      </c>
      <c r="AQ220" s="6" t="s">
        <v>24</v>
      </c>
    </row>
    <row r="221" spans="1:43" x14ac:dyDescent="0.25">
      <c r="A221" s="6">
        <v>22725699</v>
      </c>
      <c r="B221" s="6">
        <v>23523923</v>
      </c>
      <c r="C221" s="6" t="s">
        <v>237</v>
      </c>
      <c r="D221" s="14">
        <v>45880.817546296297</v>
      </c>
      <c r="E221" s="14">
        <v>45881.243946759263</v>
      </c>
      <c r="F221" s="6" t="s">
        <v>17</v>
      </c>
      <c r="G221" s="6" t="s">
        <v>17</v>
      </c>
      <c r="H221" s="6" t="s">
        <v>1027</v>
      </c>
      <c r="I221" s="6" t="s">
        <v>16</v>
      </c>
      <c r="J221" s="6" t="s">
        <v>1028</v>
      </c>
      <c r="K221" s="6" t="s">
        <v>240</v>
      </c>
      <c r="L221" s="6" t="s">
        <v>372</v>
      </c>
      <c r="M221" s="14">
        <v>45876.256944444453</v>
      </c>
      <c r="N221" s="6" t="s">
        <v>1027</v>
      </c>
      <c r="O221" s="6" t="s">
        <v>83</v>
      </c>
      <c r="P221" s="6" t="s">
        <v>242</v>
      </c>
      <c r="Q221" s="6" t="s">
        <v>256</v>
      </c>
      <c r="R221" s="6" t="s">
        <v>424</v>
      </c>
      <c r="S221" s="6" t="s">
        <v>7</v>
      </c>
      <c r="T221" s="6" t="s">
        <v>245</v>
      </c>
      <c r="U221" s="6" t="s">
        <v>123</v>
      </c>
      <c r="V221" s="6" t="s">
        <v>1017</v>
      </c>
      <c r="W221" s="6" t="s">
        <v>353</v>
      </c>
      <c r="X221" s="6" t="s">
        <v>247</v>
      </c>
      <c r="Y221" s="6">
        <v>2971604101</v>
      </c>
      <c r="Z221" s="6" t="s">
        <v>59</v>
      </c>
      <c r="AA221" s="6" t="s">
        <v>83</v>
      </c>
      <c r="AB221" s="6">
        <v>2663.37</v>
      </c>
      <c r="AC221" s="6">
        <v>59.54</v>
      </c>
      <c r="AD221" s="6">
        <v>251.31</v>
      </c>
      <c r="AE221" s="6">
        <v>0</v>
      </c>
      <c r="AF221" s="6">
        <v>59.54</v>
      </c>
      <c r="AG221" s="6">
        <v>0</v>
      </c>
      <c r="AH221" s="6">
        <v>19.18</v>
      </c>
      <c r="AI221" s="6" t="s">
        <v>248</v>
      </c>
      <c r="AJ221" s="6" t="s">
        <v>1029</v>
      </c>
      <c r="AK221" s="6" t="s">
        <v>16</v>
      </c>
      <c r="AL221" s="6" t="s">
        <v>51</v>
      </c>
      <c r="AM221" s="6" t="s">
        <v>342</v>
      </c>
      <c r="AN221" s="6" t="s">
        <v>26</v>
      </c>
      <c r="AO221" s="6" t="s">
        <v>250</v>
      </c>
      <c r="AP221" s="6" t="s">
        <v>262</v>
      </c>
      <c r="AQ221" s="6" t="s">
        <v>24</v>
      </c>
    </row>
    <row r="222" spans="1:43" x14ac:dyDescent="0.25">
      <c r="A222" s="6">
        <v>22725692</v>
      </c>
      <c r="B222" s="6">
        <v>23523917</v>
      </c>
      <c r="C222" s="6" t="s">
        <v>237</v>
      </c>
      <c r="D222" s="14">
        <v>45880.817106481481</v>
      </c>
      <c r="E222" s="14">
        <v>45881.243888888886</v>
      </c>
      <c r="F222" s="6" t="s">
        <v>17</v>
      </c>
      <c r="G222" s="6" t="s">
        <v>17</v>
      </c>
      <c r="H222" s="6" t="s">
        <v>1030</v>
      </c>
      <c r="I222" s="6" t="s">
        <v>16</v>
      </c>
      <c r="J222" s="6" t="s">
        <v>1031</v>
      </c>
      <c r="K222" s="6" t="s">
        <v>240</v>
      </c>
      <c r="L222" s="6" t="s">
        <v>372</v>
      </c>
      <c r="M222" s="14">
        <v>45875</v>
      </c>
      <c r="N222" s="6" t="s">
        <v>1030</v>
      </c>
      <c r="O222" s="6" t="s">
        <v>83</v>
      </c>
      <c r="P222" s="6" t="s">
        <v>272</v>
      </c>
      <c r="Q222" s="6" t="s">
        <v>256</v>
      </c>
      <c r="R222" s="6" t="s">
        <v>424</v>
      </c>
      <c r="S222" s="6" t="s">
        <v>7</v>
      </c>
      <c r="T222" s="6" t="s">
        <v>245</v>
      </c>
      <c r="U222" s="6" t="s">
        <v>123</v>
      </c>
      <c r="V222" s="6" t="s">
        <v>989</v>
      </c>
      <c r="W222" s="6" t="s">
        <v>353</v>
      </c>
      <c r="X222" s="6" t="s">
        <v>247</v>
      </c>
      <c r="Y222" s="6">
        <v>2971604088</v>
      </c>
      <c r="Z222" s="6" t="s">
        <v>59</v>
      </c>
      <c r="AA222" s="6" t="s">
        <v>83</v>
      </c>
      <c r="AB222" s="6">
        <v>17428.62</v>
      </c>
      <c r="AC222" s="6">
        <v>139.9</v>
      </c>
      <c r="AD222" s="6">
        <v>3304.02</v>
      </c>
      <c r="AE222" s="6">
        <v>0</v>
      </c>
      <c r="AF222" s="6">
        <v>139.9</v>
      </c>
      <c r="AG222" s="6">
        <v>0</v>
      </c>
      <c r="AH222" s="6">
        <v>19.29</v>
      </c>
      <c r="AI222" s="6" t="s">
        <v>248</v>
      </c>
      <c r="AJ222" s="6" t="s">
        <v>1032</v>
      </c>
      <c r="AK222" s="6" t="s">
        <v>16</v>
      </c>
      <c r="AL222" s="6" t="s">
        <v>51</v>
      </c>
      <c r="AM222" s="6" t="s">
        <v>342</v>
      </c>
      <c r="AN222" s="6" t="s">
        <v>26</v>
      </c>
      <c r="AO222" s="6" t="s">
        <v>250</v>
      </c>
      <c r="AP222" s="6" t="s">
        <v>262</v>
      </c>
      <c r="AQ222" s="6" t="s">
        <v>24</v>
      </c>
    </row>
    <row r="223" spans="1:43" x14ac:dyDescent="0.25">
      <c r="A223" s="6">
        <v>22725598</v>
      </c>
      <c r="B223" s="6">
        <v>23523818</v>
      </c>
      <c r="C223" s="6" t="s">
        <v>237</v>
      </c>
      <c r="D223" s="14">
        <v>45880.807025462957</v>
      </c>
      <c r="E223" s="14">
        <v>45881.243645833332</v>
      </c>
      <c r="F223" s="6" t="s">
        <v>17</v>
      </c>
      <c r="G223" s="6" t="s">
        <v>17</v>
      </c>
      <c r="H223" s="6" t="s">
        <v>1033</v>
      </c>
      <c r="I223" s="6" t="s">
        <v>16</v>
      </c>
      <c r="J223" s="6" t="s">
        <v>992</v>
      </c>
      <c r="K223" s="6" t="s">
        <v>240</v>
      </c>
      <c r="L223" s="6" t="s">
        <v>372</v>
      </c>
      <c r="M223" s="14">
        <v>45875</v>
      </c>
      <c r="N223" s="6" t="s">
        <v>1033</v>
      </c>
      <c r="O223" s="6" t="s">
        <v>83</v>
      </c>
      <c r="P223" s="6" t="s">
        <v>242</v>
      </c>
      <c r="Q223" s="6" t="s">
        <v>256</v>
      </c>
      <c r="R223" s="6" t="s">
        <v>424</v>
      </c>
      <c r="S223" s="6" t="s">
        <v>7</v>
      </c>
      <c r="T223" s="6" t="s">
        <v>245</v>
      </c>
      <c r="U223" s="6" t="s">
        <v>123</v>
      </c>
      <c r="V223" s="6" t="s">
        <v>993</v>
      </c>
      <c r="W223" s="6" t="s">
        <v>353</v>
      </c>
      <c r="X223" s="6" t="s">
        <v>1034</v>
      </c>
      <c r="Y223" s="6">
        <v>2971604086</v>
      </c>
      <c r="Z223" s="6" t="s">
        <v>59</v>
      </c>
      <c r="AA223" s="6" t="s">
        <v>83</v>
      </c>
      <c r="AB223" s="6">
        <v>2098.33</v>
      </c>
      <c r="AC223" s="6">
        <v>0</v>
      </c>
      <c r="AD223" s="6">
        <v>989.8</v>
      </c>
      <c r="AE223" s="6">
        <v>0</v>
      </c>
      <c r="AF223" s="6">
        <v>0</v>
      </c>
      <c r="AG223" s="6">
        <v>0</v>
      </c>
      <c r="AH223" s="6">
        <v>19.29</v>
      </c>
      <c r="AI223" s="6" t="s">
        <v>248</v>
      </c>
      <c r="AJ223" s="6" t="s">
        <v>1035</v>
      </c>
      <c r="AK223" s="6" t="s">
        <v>16</v>
      </c>
      <c r="AL223" s="6" t="s">
        <v>51</v>
      </c>
      <c r="AM223" s="6" t="s">
        <v>342</v>
      </c>
      <c r="AN223" s="6" t="s">
        <v>26</v>
      </c>
      <c r="AO223" s="6" t="s">
        <v>250</v>
      </c>
      <c r="AP223" s="6" t="s">
        <v>262</v>
      </c>
      <c r="AQ223" s="6" t="s">
        <v>24</v>
      </c>
    </row>
    <row r="224" spans="1:43" x14ac:dyDescent="0.25">
      <c r="A224" s="6">
        <v>22725761</v>
      </c>
      <c r="B224" s="6">
        <v>23523985</v>
      </c>
      <c r="C224" s="6" t="s">
        <v>237</v>
      </c>
      <c r="D224" s="14">
        <v>45880.826527777783</v>
      </c>
      <c r="E224" s="14">
        <v>45881.244062500002</v>
      </c>
      <c r="F224" s="6" t="s">
        <v>17</v>
      </c>
      <c r="G224" s="6" t="s">
        <v>17</v>
      </c>
      <c r="H224" s="6" t="s">
        <v>1036</v>
      </c>
      <c r="I224" s="6" t="s">
        <v>16</v>
      </c>
      <c r="J224" s="6" t="s">
        <v>1037</v>
      </c>
      <c r="K224" s="6" t="s">
        <v>338</v>
      </c>
      <c r="L224" s="6" t="s">
        <v>372</v>
      </c>
      <c r="M224" s="14">
        <v>45877.55</v>
      </c>
      <c r="N224" s="6" t="s">
        <v>1036</v>
      </c>
      <c r="O224" s="6" t="s">
        <v>83</v>
      </c>
      <c r="P224" s="6" t="s">
        <v>242</v>
      </c>
      <c r="Q224" s="6" t="s">
        <v>256</v>
      </c>
      <c r="R224" s="6" t="s">
        <v>424</v>
      </c>
      <c r="S224" s="6" t="s">
        <v>7</v>
      </c>
      <c r="T224" s="6" t="s">
        <v>245</v>
      </c>
      <c r="U224" s="6" t="s">
        <v>123</v>
      </c>
      <c r="V224" s="6" t="s">
        <v>997</v>
      </c>
      <c r="W224" s="6" t="s">
        <v>353</v>
      </c>
      <c r="X224" s="6" t="s">
        <v>998</v>
      </c>
      <c r="Y224" s="6">
        <v>2971604125</v>
      </c>
      <c r="Z224" s="6" t="s">
        <v>59</v>
      </c>
      <c r="AA224" s="6" t="s">
        <v>83</v>
      </c>
      <c r="AB224" s="6">
        <v>7070.15</v>
      </c>
      <c r="AC224" s="6">
        <v>59.54</v>
      </c>
      <c r="AD224" s="6">
        <v>1001.13</v>
      </c>
      <c r="AE224" s="6">
        <v>0</v>
      </c>
      <c r="AF224" s="6">
        <v>59.54</v>
      </c>
      <c r="AG224" s="6">
        <v>0</v>
      </c>
      <c r="AH224" s="6">
        <v>19.12</v>
      </c>
      <c r="AI224" s="6" t="s">
        <v>248</v>
      </c>
      <c r="AJ224" s="6" t="s">
        <v>1038</v>
      </c>
      <c r="AK224" s="6" t="s">
        <v>16</v>
      </c>
      <c r="AL224" s="6" t="s">
        <v>51</v>
      </c>
      <c r="AM224" s="6" t="s">
        <v>342</v>
      </c>
      <c r="AN224" s="6" t="s">
        <v>26</v>
      </c>
      <c r="AO224" s="6" t="s">
        <v>250</v>
      </c>
      <c r="AP224" s="6" t="s">
        <v>262</v>
      </c>
      <c r="AQ224" s="6" t="s">
        <v>24</v>
      </c>
    </row>
    <row r="225" spans="1:43" x14ac:dyDescent="0.25">
      <c r="A225" s="6">
        <v>22725704</v>
      </c>
      <c r="B225" s="6">
        <v>23523929</v>
      </c>
      <c r="C225" s="6" t="s">
        <v>237</v>
      </c>
      <c r="D225" s="14">
        <v>45880.818043981482</v>
      </c>
      <c r="E225" s="14">
        <v>45881.244004629632</v>
      </c>
      <c r="F225" s="6" t="s">
        <v>17</v>
      </c>
      <c r="G225" s="6" t="s">
        <v>17</v>
      </c>
      <c r="H225" s="6" t="s">
        <v>1039</v>
      </c>
      <c r="I225" s="6" t="s">
        <v>16</v>
      </c>
      <c r="J225" s="6" t="s">
        <v>1040</v>
      </c>
      <c r="K225" s="6" t="s">
        <v>338</v>
      </c>
      <c r="L225" s="6" t="s">
        <v>372</v>
      </c>
      <c r="M225" s="14">
        <v>45877</v>
      </c>
      <c r="N225" s="6" t="s">
        <v>1039</v>
      </c>
      <c r="O225" s="6" t="s">
        <v>83</v>
      </c>
      <c r="P225" s="6" t="s">
        <v>242</v>
      </c>
      <c r="Q225" s="6" t="s">
        <v>256</v>
      </c>
      <c r="R225" s="6" t="s">
        <v>424</v>
      </c>
      <c r="S225" s="6" t="s">
        <v>7</v>
      </c>
      <c r="T225" s="6" t="s">
        <v>245</v>
      </c>
      <c r="U225" s="6" t="s">
        <v>123</v>
      </c>
      <c r="V225" s="6" t="s">
        <v>993</v>
      </c>
      <c r="W225" s="6" t="s">
        <v>353</v>
      </c>
      <c r="X225" s="6" t="s">
        <v>1041</v>
      </c>
      <c r="Y225" s="6">
        <v>2971604124</v>
      </c>
      <c r="Z225" s="6" t="s">
        <v>59</v>
      </c>
      <c r="AA225" s="6" t="s">
        <v>83</v>
      </c>
      <c r="AB225" s="6">
        <v>4644.2299999999996</v>
      </c>
      <c r="AC225" s="6">
        <v>59.54</v>
      </c>
      <c r="AD225" s="6">
        <v>433.84</v>
      </c>
      <c r="AE225" s="6">
        <v>0</v>
      </c>
      <c r="AF225" s="6">
        <v>59.54</v>
      </c>
      <c r="AG225" s="6">
        <v>0</v>
      </c>
      <c r="AH225" s="6">
        <v>19.12</v>
      </c>
      <c r="AI225" s="6" t="s">
        <v>248</v>
      </c>
      <c r="AJ225" s="6" t="s">
        <v>1042</v>
      </c>
      <c r="AK225" s="6" t="s">
        <v>16</v>
      </c>
      <c r="AL225" s="6" t="s">
        <v>51</v>
      </c>
      <c r="AM225" s="6" t="s">
        <v>342</v>
      </c>
      <c r="AN225" s="6" t="s">
        <v>26</v>
      </c>
      <c r="AO225" s="6" t="s">
        <v>250</v>
      </c>
      <c r="AP225" s="6" t="s">
        <v>262</v>
      </c>
      <c r="AQ225" s="6" t="s">
        <v>24</v>
      </c>
    </row>
    <row r="226" spans="1:43" x14ac:dyDescent="0.25">
      <c r="A226" s="6">
        <v>22732738</v>
      </c>
      <c r="B226" s="6">
        <v>23530162</v>
      </c>
      <c r="C226" s="6" t="s">
        <v>237</v>
      </c>
      <c r="D226" s="14">
        <v>45881.79583333333</v>
      </c>
      <c r="E226" s="14">
        <v>45882.244363425933</v>
      </c>
      <c r="F226" s="6" t="s">
        <v>17</v>
      </c>
      <c r="G226" s="6" t="s">
        <v>17</v>
      </c>
      <c r="H226" s="6" t="s">
        <v>1043</v>
      </c>
      <c r="I226" s="6" t="s">
        <v>16</v>
      </c>
      <c r="J226" s="6" t="s">
        <v>1044</v>
      </c>
      <c r="K226" s="6" t="s">
        <v>359</v>
      </c>
      <c r="L226" s="6" t="s">
        <v>372</v>
      </c>
      <c r="M226" s="14">
        <v>45881</v>
      </c>
      <c r="N226" s="6" t="s">
        <v>1043</v>
      </c>
      <c r="O226" s="6" t="s">
        <v>83</v>
      </c>
      <c r="P226" s="6" t="s">
        <v>242</v>
      </c>
      <c r="Q226" s="6" t="s">
        <v>256</v>
      </c>
      <c r="R226" s="6" t="s">
        <v>424</v>
      </c>
      <c r="S226" s="6" t="s">
        <v>7</v>
      </c>
      <c r="T226" s="6" t="s">
        <v>245</v>
      </c>
      <c r="U226" s="6" t="s">
        <v>123</v>
      </c>
      <c r="V226" s="6" t="s">
        <v>1010</v>
      </c>
      <c r="W226" s="6" t="s">
        <v>353</v>
      </c>
      <c r="X226" s="6" t="s">
        <v>1045</v>
      </c>
      <c r="Y226" s="6">
        <v>2971604145</v>
      </c>
      <c r="Z226" s="6" t="s">
        <v>59</v>
      </c>
      <c r="AA226" s="6" t="s">
        <v>83</v>
      </c>
      <c r="AB226" s="6">
        <v>1162.43</v>
      </c>
      <c r="AC226" s="6">
        <v>0</v>
      </c>
      <c r="AD226" s="6">
        <v>262.10000000000002</v>
      </c>
      <c r="AE226" s="6">
        <v>0</v>
      </c>
      <c r="AF226" s="6">
        <v>0</v>
      </c>
      <c r="AG226" s="6">
        <v>0</v>
      </c>
      <c r="AH226" s="6">
        <v>19.07</v>
      </c>
      <c r="AI226" s="6" t="s">
        <v>248</v>
      </c>
      <c r="AJ226" s="6" t="s">
        <v>1046</v>
      </c>
      <c r="AK226" s="6" t="s">
        <v>16</v>
      </c>
      <c r="AL226" s="6" t="s">
        <v>51</v>
      </c>
      <c r="AM226" s="6" t="s">
        <v>342</v>
      </c>
      <c r="AN226" s="6" t="s">
        <v>26</v>
      </c>
      <c r="AO226" s="6" t="s">
        <v>250</v>
      </c>
      <c r="AP226" s="6" t="s">
        <v>262</v>
      </c>
      <c r="AQ226" s="6" t="s">
        <v>24</v>
      </c>
    </row>
    <row r="227" spans="1:43" x14ac:dyDescent="0.25">
      <c r="A227" s="6">
        <v>22732740</v>
      </c>
      <c r="B227" s="6">
        <v>23530165</v>
      </c>
      <c r="C227" s="6" t="s">
        <v>237</v>
      </c>
      <c r="D227" s="14">
        <v>45881.795914351853</v>
      </c>
      <c r="E227" s="14">
        <v>45882.244375000002</v>
      </c>
      <c r="F227" s="6" t="s">
        <v>17</v>
      </c>
      <c r="G227" s="6" t="s">
        <v>17</v>
      </c>
      <c r="H227" s="6" t="s">
        <v>1047</v>
      </c>
      <c r="I227" s="6" t="s">
        <v>16</v>
      </c>
      <c r="J227" s="6" t="s">
        <v>1048</v>
      </c>
      <c r="K227" s="6" t="s">
        <v>359</v>
      </c>
      <c r="L227" s="6" t="s">
        <v>372</v>
      </c>
      <c r="M227" s="14">
        <v>45881</v>
      </c>
      <c r="N227" s="6" t="s">
        <v>1047</v>
      </c>
      <c r="O227" s="6" t="s">
        <v>83</v>
      </c>
      <c r="P227" s="6" t="s">
        <v>242</v>
      </c>
      <c r="Q227" s="6" t="s">
        <v>256</v>
      </c>
      <c r="R227" s="6" t="s">
        <v>424</v>
      </c>
      <c r="S227" s="6" t="s">
        <v>7</v>
      </c>
      <c r="T227" s="6" t="s">
        <v>245</v>
      </c>
      <c r="U227" s="6" t="s">
        <v>123</v>
      </c>
      <c r="V227" s="6" t="s">
        <v>1017</v>
      </c>
      <c r="W227" s="6" t="s">
        <v>353</v>
      </c>
      <c r="X227" s="6" t="s">
        <v>998</v>
      </c>
      <c r="Y227" s="6">
        <v>2971604143</v>
      </c>
      <c r="Z227" s="6" t="s">
        <v>59</v>
      </c>
      <c r="AA227" s="6" t="s">
        <v>83</v>
      </c>
      <c r="AB227" s="6">
        <v>6068.29</v>
      </c>
      <c r="AC227" s="6">
        <v>59.54</v>
      </c>
      <c r="AD227" s="6">
        <v>994.55</v>
      </c>
      <c r="AE227" s="6">
        <v>0</v>
      </c>
      <c r="AF227" s="6">
        <v>59.54</v>
      </c>
      <c r="AG227" s="6">
        <v>0</v>
      </c>
      <c r="AH227" s="6">
        <v>19.07</v>
      </c>
      <c r="AI227" s="6" t="s">
        <v>248</v>
      </c>
      <c r="AJ227" s="6" t="s">
        <v>1049</v>
      </c>
      <c r="AK227" s="6" t="s">
        <v>16</v>
      </c>
      <c r="AL227" s="6" t="s">
        <v>51</v>
      </c>
      <c r="AM227" s="6" t="s">
        <v>342</v>
      </c>
      <c r="AN227" s="6" t="s">
        <v>26</v>
      </c>
      <c r="AO227" s="6" t="s">
        <v>250</v>
      </c>
      <c r="AP227" s="6" t="s">
        <v>262</v>
      </c>
      <c r="AQ227" s="6" t="s">
        <v>24</v>
      </c>
    </row>
    <row r="228" spans="1:43" x14ac:dyDescent="0.25">
      <c r="A228" s="6">
        <v>22732492</v>
      </c>
      <c r="B228" s="6">
        <v>23529928</v>
      </c>
      <c r="C228" s="6" t="s">
        <v>237</v>
      </c>
      <c r="D228" s="14">
        <v>45881.785104166673</v>
      </c>
      <c r="E228" s="14">
        <v>45882.244317129633</v>
      </c>
      <c r="F228" s="6" t="s">
        <v>17</v>
      </c>
      <c r="G228" s="6" t="s">
        <v>17</v>
      </c>
      <c r="H228" s="6" t="s">
        <v>1050</v>
      </c>
      <c r="I228" s="6" t="s">
        <v>16</v>
      </c>
      <c r="J228" s="6" t="s">
        <v>1051</v>
      </c>
      <c r="K228" s="6" t="s">
        <v>359</v>
      </c>
      <c r="L228" s="6" t="s">
        <v>372</v>
      </c>
      <c r="M228" s="14">
        <v>45881</v>
      </c>
      <c r="N228" s="6" t="s">
        <v>1050</v>
      </c>
      <c r="O228" s="6" t="s">
        <v>83</v>
      </c>
      <c r="P228" s="6" t="s">
        <v>242</v>
      </c>
      <c r="Q228" s="6" t="s">
        <v>256</v>
      </c>
      <c r="R228" s="6" t="s">
        <v>424</v>
      </c>
      <c r="S228" s="6" t="s">
        <v>7</v>
      </c>
      <c r="T228" s="6" t="s">
        <v>245</v>
      </c>
      <c r="U228" s="6" t="s">
        <v>123</v>
      </c>
      <c r="V228" s="6" t="s">
        <v>1010</v>
      </c>
      <c r="W228" s="6" t="s">
        <v>353</v>
      </c>
      <c r="X228" s="6" t="s">
        <v>1052</v>
      </c>
      <c r="Y228" s="6">
        <v>2971604148</v>
      </c>
      <c r="Z228" s="6" t="s">
        <v>59</v>
      </c>
      <c r="AA228" s="6" t="s">
        <v>83</v>
      </c>
      <c r="AB228" s="6">
        <v>1225.02</v>
      </c>
      <c r="AC228" s="6">
        <v>106.26</v>
      </c>
      <c r="AD228" s="6">
        <v>244.14</v>
      </c>
      <c r="AE228" s="6">
        <v>0</v>
      </c>
      <c r="AF228" s="6">
        <v>106.26</v>
      </c>
      <c r="AG228" s="6">
        <v>0</v>
      </c>
      <c r="AH228" s="6">
        <v>19.07</v>
      </c>
      <c r="AI228" s="6" t="s">
        <v>248</v>
      </c>
      <c r="AJ228" s="6" t="s">
        <v>1053</v>
      </c>
      <c r="AK228" s="6" t="s">
        <v>16</v>
      </c>
      <c r="AL228" s="6" t="s">
        <v>51</v>
      </c>
      <c r="AM228" s="6" t="s">
        <v>342</v>
      </c>
      <c r="AN228" s="6" t="s">
        <v>26</v>
      </c>
      <c r="AO228" s="6" t="s">
        <v>250</v>
      </c>
      <c r="AP228" s="6" t="s">
        <v>262</v>
      </c>
      <c r="AQ228" s="6" t="s">
        <v>24</v>
      </c>
    </row>
    <row r="229" spans="1:43" x14ac:dyDescent="0.25">
      <c r="A229" s="6">
        <v>22732494</v>
      </c>
      <c r="B229" s="6">
        <v>23529930</v>
      </c>
      <c r="C229" s="6" t="s">
        <v>237</v>
      </c>
      <c r="D229" s="14">
        <v>45881.785162037027</v>
      </c>
      <c r="E229" s="14">
        <v>45882.244328703702</v>
      </c>
      <c r="F229" s="6" t="s">
        <v>17</v>
      </c>
      <c r="G229" s="6" t="s">
        <v>17</v>
      </c>
      <c r="H229" s="6" t="s">
        <v>1054</v>
      </c>
      <c r="I229" s="6" t="s">
        <v>16</v>
      </c>
      <c r="J229" s="6" t="s">
        <v>1051</v>
      </c>
      <c r="K229" s="6" t="s">
        <v>359</v>
      </c>
      <c r="L229" s="6" t="s">
        <v>372</v>
      </c>
      <c r="M229" s="14">
        <v>45881</v>
      </c>
      <c r="N229" s="6" t="s">
        <v>1054</v>
      </c>
      <c r="O229" s="6" t="s">
        <v>83</v>
      </c>
      <c r="P229" s="6" t="s">
        <v>242</v>
      </c>
      <c r="Q229" s="6" t="s">
        <v>256</v>
      </c>
      <c r="R229" s="6" t="s">
        <v>424</v>
      </c>
      <c r="S229" s="6" t="s">
        <v>7</v>
      </c>
      <c r="T229" s="6" t="s">
        <v>245</v>
      </c>
      <c r="U229" s="6" t="s">
        <v>123</v>
      </c>
      <c r="V229" s="6" t="s">
        <v>1010</v>
      </c>
      <c r="W229" s="6" t="s">
        <v>353</v>
      </c>
      <c r="X229" s="6" t="s">
        <v>998</v>
      </c>
      <c r="Y229" s="6">
        <v>2971604147</v>
      </c>
      <c r="Z229" s="6" t="s">
        <v>59</v>
      </c>
      <c r="AA229" s="6" t="s">
        <v>83</v>
      </c>
      <c r="AB229" s="6">
        <v>1394.84</v>
      </c>
      <c r="AC229" s="6">
        <v>0</v>
      </c>
      <c r="AD229" s="6">
        <v>844.59</v>
      </c>
      <c r="AE229" s="6">
        <v>0</v>
      </c>
      <c r="AF229" s="6">
        <v>0</v>
      </c>
      <c r="AG229" s="6">
        <v>0</v>
      </c>
      <c r="AH229" s="6">
        <v>19.07</v>
      </c>
      <c r="AI229" s="6" t="s">
        <v>248</v>
      </c>
      <c r="AJ229" s="6" t="s">
        <v>1055</v>
      </c>
      <c r="AK229" s="6" t="s">
        <v>16</v>
      </c>
      <c r="AL229" s="6" t="s">
        <v>51</v>
      </c>
      <c r="AM229" s="6" t="s">
        <v>342</v>
      </c>
      <c r="AN229" s="6" t="s">
        <v>26</v>
      </c>
      <c r="AO229" s="6" t="s">
        <v>250</v>
      </c>
      <c r="AP229" s="6" t="s">
        <v>262</v>
      </c>
      <c r="AQ229" s="6" t="s">
        <v>24</v>
      </c>
    </row>
    <row r="230" spans="1:43" x14ac:dyDescent="0.25">
      <c r="A230" s="6">
        <v>22732495</v>
      </c>
      <c r="B230" s="6">
        <v>23529931</v>
      </c>
      <c r="C230" s="6" t="s">
        <v>237</v>
      </c>
      <c r="D230" s="14">
        <v>45881.785219907397</v>
      </c>
      <c r="E230" s="14">
        <v>45882.244340277779</v>
      </c>
      <c r="F230" s="6" t="s">
        <v>17</v>
      </c>
      <c r="G230" s="6" t="s">
        <v>17</v>
      </c>
      <c r="H230" s="6" t="s">
        <v>1056</v>
      </c>
      <c r="I230" s="6" t="s">
        <v>16</v>
      </c>
      <c r="J230" s="6" t="s">
        <v>1051</v>
      </c>
      <c r="K230" s="6" t="s">
        <v>359</v>
      </c>
      <c r="L230" s="6" t="s">
        <v>372</v>
      </c>
      <c r="M230" s="14">
        <v>45881</v>
      </c>
      <c r="N230" s="6" t="s">
        <v>1056</v>
      </c>
      <c r="O230" s="6" t="s">
        <v>83</v>
      </c>
      <c r="P230" s="6" t="s">
        <v>242</v>
      </c>
      <c r="Q230" s="6" t="s">
        <v>256</v>
      </c>
      <c r="R230" s="6" t="s">
        <v>424</v>
      </c>
      <c r="S230" s="6" t="s">
        <v>7</v>
      </c>
      <c r="T230" s="6" t="s">
        <v>245</v>
      </c>
      <c r="U230" s="6" t="s">
        <v>123</v>
      </c>
      <c r="V230" s="6" t="s">
        <v>1010</v>
      </c>
      <c r="W230" s="6" t="s">
        <v>353</v>
      </c>
      <c r="X230" s="6" t="s">
        <v>998</v>
      </c>
      <c r="Y230" s="6">
        <v>2971604144</v>
      </c>
      <c r="Z230" s="6" t="s">
        <v>59</v>
      </c>
      <c r="AA230" s="6" t="s">
        <v>83</v>
      </c>
      <c r="AB230" s="6">
        <v>4630.78</v>
      </c>
      <c r="AC230" s="6">
        <v>33.64</v>
      </c>
      <c r="AD230" s="6">
        <v>1798.69</v>
      </c>
      <c r="AE230" s="6">
        <v>0</v>
      </c>
      <c r="AF230" s="6">
        <v>33.64</v>
      </c>
      <c r="AG230" s="6">
        <v>0</v>
      </c>
      <c r="AH230" s="6">
        <v>19.07</v>
      </c>
      <c r="AI230" s="6" t="s">
        <v>248</v>
      </c>
      <c r="AJ230" s="6" t="s">
        <v>1057</v>
      </c>
      <c r="AK230" s="6" t="s">
        <v>16</v>
      </c>
      <c r="AL230" s="6" t="s">
        <v>51</v>
      </c>
      <c r="AM230" s="6" t="s">
        <v>342</v>
      </c>
      <c r="AN230" s="6" t="s">
        <v>26</v>
      </c>
      <c r="AO230" s="6" t="s">
        <v>250</v>
      </c>
      <c r="AP230" s="6" t="s">
        <v>262</v>
      </c>
      <c r="AQ230" s="6" t="s">
        <v>24</v>
      </c>
    </row>
    <row r="231" spans="1:43" x14ac:dyDescent="0.25">
      <c r="A231" s="6">
        <v>22732498</v>
      </c>
      <c r="B231" s="6">
        <v>23529934</v>
      </c>
      <c r="C231" s="6" t="s">
        <v>237</v>
      </c>
      <c r="D231" s="14">
        <v>45881.78534722222</v>
      </c>
      <c r="E231" s="14">
        <v>45882.244351851848</v>
      </c>
      <c r="F231" s="6" t="s">
        <v>17</v>
      </c>
      <c r="G231" s="6" t="s">
        <v>17</v>
      </c>
      <c r="H231" s="6" t="s">
        <v>1058</v>
      </c>
      <c r="I231" s="6" t="s">
        <v>16</v>
      </c>
      <c r="J231" s="6" t="s">
        <v>1059</v>
      </c>
      <c r="K231" s="6" t="s">
        <v>359</v>
      </c>
      <c r="L231" s="6" t="s">
        <v>372</v>
      </c>
      <c r="M231" s="14">
        <v>45881</v>
      </c>
      <c r="N231" s="6" t="s">
        <v>1058</v>
      </c>
      <c r="O231" s="6" t="s">
        <v>83</v>
      </c>
      <c r="P231" s="6" t="s">
        <v>242</v>
      </c>
      <c r="Q231" s="6" t="s">
        <v>256</v>
      </c>
      <c r="R231" s="6" t="s">
        <v>424</v>
      </c>
      <c r="S231" s="6" t="s">
        <v>7</v>
      </c>
      <c r="T231" s="6" t="s">
        <v>245</v>
      </c>
      <c r="U231" s="6" t="s">
        <v>123</v>
      </c>
      <c r="V231" s="6" t="s">
        <v>1010</v>
      </c>
      <c r="W231" s="6" t="s">
        <v>353</v>
      </c>
      <c r="X231" s="6" t="s">
        <v>1045</v>
      </c>
      <c r="Y231" s="6">
        <v>2971604146</v>
      </c>
      <c r="Z231" s="6" t="s">
        <v>59</v>
      </c>
      <c r="AA231" s="6" t="s">
        <v>83</v>
      </c>
      <c r="AB231" s="6">
        <v>1162.43</v>
      </c>
      <c r="AC231" s="6">
        <v>0</v>
      </c>
      <c r="AD231" s="6">
        <v>262.10000000000002</v>
      </c>
      <c r="AE231" s="6">
        <v>0</v>
      </c>
      <c r="AF231" s="6">
        <v>0</v>
      </c>
      <c r="AG231" s="6">
        <v>0</v>
      </c>
      <c r="AH231" s="6">
        <v>19.07</v>
      </c>
      <c r="AI231" s="6" t="s">
        <v>248</v>
      </c>
      <c r="AJ231" s="6" t="s">
        <v>1060</v>
      </c>
      <c r="AK231" s="6" t="s">
        <v>16</v>
      </c>
      <c r="AL231" s="6" t="s">
        <v>51</v>
      </c>
      <c r="AM231" s="6" t="s">
        <v>342</v>
      </c>
      <c r="AN231" s="6" t="s">
        <v>26</v>
      </c>
      <c r="AO231" s="6" t="s">
        <v>250</v>
      </c>
      <c r="AP231" s="6" t="s">
        <v>262</v>
      </c>
      <c r="AQ231" s="6" t="s">
        <v>24</v>
      </c>
    </row>
    <row r="232" spans="1:43" x14ac:dyDescent="0.25">
      <c r="A232" s="6">
        <v>22693732</v>
      </c>
      <c r="B232" s="6">
        <v>23496643</v>
      </c>
      <c r="C232" s="6" t="s">
        <v>237</v>
      </c>
      <c r="D232" s="14">
        <v>45875.562777777777</v>
      </c>
      <c r="E232" s="14">
        <v>45876.224236111113</v>
      </c>
      <c r="F232" s="6" t="s">
        <v>21</v>
      </c>
      <c r="G232" s="6" t="s">
        <v>21</v>
      </c>
      <c r="H232" s="6" t="s">
        <v>1061</v>
      </c>
      <c r="I232" s="6" t="s">
        <v>16</v>
      </c>
      <c r="J232" s="6" t="s">
        <v>1062</v>
      </c>
      <c r="K232" s="6" t="s">
        <v>359</v>
      </c>
      <c r="L232" s="6" t="s">
        <v>372</v>
      </c>
      <c r="M232" s="14">
        <v>45874.556944444441</v>
      </c>
      <c r="N232" s="6" t="s">
        <v>1063</v>
      </c>
      <c r="O232" s="6" t="s">
        <v>83</v>
      </c>
      <c r="P232" s="6" t="s">
        <v>242</v>
      </c>
      <c r="Q232" s="6" t="s">
        <v>361</v>
      </c>
      <c r="R232" s="6" t="s">
        <v>339</v>
      </c>
      <c r="S232" s="6" t="s">
        <v>7</v>
      </c>
      <c r="T232" s="6" t="s">
        <v>245</v>
      </c>
      <c r="U232" s="6" t="s">
        <v>123</v>
      </c>
      <c r="V232" s="6" t="s">
        <v>989</v>
      </c>
      <c r="W232" s="6" t="s">
        <v>353</v>
      </c>
      <c r="X232" s="6" t="s">
        <v>247</v>
      </c>
      <c r="Y232" s="6">
        <v>2971622753</v>
      </c>
      <c r="Z232" s="6" t="s">
        <v>59</v>
      </c>
      <c r="AA232" s="6" t="s">
        <v>83</v>
      </c>
      <c r="AB232" s="6">
        <v>0</v>
      </c>
      <c r="AC232" s="6">
        <v>0</v>
      </c>
      <c r="AD232" s="6">
        <v>450</v>
      </c>
      <c r="AE232" s="6">
        <v>0</v>
      </c>
      <c r="AF232" s="6">
        <v>0</v>
      </c>
      <c r="AG232" s="6">
        <v>0</v>
      </c>
      <c r="AH232" s="6">
        <v>19.29</v>
      </c>
      <c r="AI232" s="6" t="s">
        <v>248</v>
      </c>
      <c r="AJ232" s="6" t="s">
        <v>1064</v>
      </c>
      <c r="AK232" s="6" t="s">
        <v>16</v>
      </c>
      <c r="AL232" s="6" t="s">
        <v>51</v>
      </c>
      <c r="AM232" s="6" t="s">
        <v>342</v>
      </c>
      <c r="AN232" s="6" t="s">
        <v>26</v>
      </c>
      <c r="AO232" s="6" t="s">
        <v>250</v>
      </c>
      <c r="AP232" s="6" t="s">
        <v>262</v>
      </c>
      <c r="AQ232" s="6" t="s">
        <v>24</v>
      </c>
    </row>
    <row r="233" spans="1:43" x14ac:dyDescent="0.25">
      <c r="A233" s="6">
        <v>22693732</v>
      </c>
      <c r="B233" s="6">
        <v>23496644</v>
      </c>
      <c r="C233" s="6" t="s">
        <v>378</v>
      </c>
      <c r="D233" s="14">
        <v>45875.562777777777</v>
      </c>
      <c r="E233" s="14">
        <v>45876.224236111113</v>
      </c>
      <c r="F233" s="6" t="s">
        <v>21</v>
      </c>
      <c r="G233" s="6" t="s">
        <v>21</v>
      </c>
      <c r="H233" s="6" t="s">
        <v>1061</v>
      </c>
      <c r="I233" s="6" t="s">
        <v>16</v>
      </c>
      <c r="J233" s="6" t="s">
        <v>1062</v>
      </c>
      <c r="K233" s="6" t="s">
        <v>359</v>
      </c>
      <c r="L233" s="6" t="s">
        <v>372</v>
      </c>
      <c r="M233" s="14">
        <v>45874.556944444441</v>
      </c>
      <c r="N233" s="6" t="s">
        <v>1063</v>
      </c>
      <c r="O233" s="6" t="s">
        <v>83</v>
      </c>
      <c r="P233" s="6" t="s">
        <v>242</v>
      </c>
      <c r="Q233" s="6" t="s">
        <v>256</v>
      </c>
      <c r="R233" s="6" t="s">
        <v>424</v>
      </c>
      <c r="S233" s="6" t="s">
        <v>7</v>
      </c>
      <c r="T233" s="6" t="s">
        <v>245</v>
      </c>
      <c r="U233" s="6" t="s">
        <v>123</v>
      </c>
      <c r="V233" s="6" t="s">
        <v>989</v>
      </c>
      <c r="W233" s="6" t="s">
        <v>353</v>
      </c>
      <c r="X233" s="6" t="s">
        <v>247</v>
      </c>
      <c r="Y233" s="6">
        <v>2971622753</v>
      </c>
      <c r="Z233" s="6" t="s">
        <v>59</v>
      </c>
      <c r="AA233" s="6" t="s">
        <v>83</v>
      </c>
      <c r="AB233" s="6">
        <v>140</v>
      </c>
      <c r="AC233" s="6">
        <v>0</v>
      </c>
      <c r="AD233" s="6">
        <v>0</v>
      </c>
      <c r="AE233" s="6">
        <v>0</v>
      </c>
      <c r="AF233" s="6">
        <v>0</v>
      </c>
      <c r="AG233" s="6">
        <v>0</v>
      </c>
      <c r="AH233" s="6">
        <v>19.29</v>
      </c>
      <c r="AI233" s="6" t="s">
        <v>248</v>
      </c>
      <c r="AJ233" s="6" t="s">
        <v>1064</v>
      </c>
      <c r="AK233" s="6" t="s">
        <v>16</v>
      </c>
      <c r="AL233" s="6" t="s">
        <v>51</v>
      </c>
      <c r="AM233" s="6" t="s">
        <v>342</v>
      </c>
      <c r="AN233" s="6" t="s">
        <v>26</v>
      </c>
      <c r="AO233" s="6" t="s">
        <v>250</v>
      </c>
      <c r="AP233" s="6" t="s">
        <v>262</v>
      </c>
      <c r="AQ233" s="6" t="s">
        <v>24</v>
      </c>
    </row>
    <row r="234" spans="1:43" x14ac:dyDescent="0.25">
      <c r="A234" s="6">
        <v>22709626</v>
      </c>
      <c r="B234" s="6">
        <v>23511012</v>
      </c>
      <c r="C234" s="6" t="s">
        <v>292</v>
      </c>
      <c r="D234" s="14">
        <v>45877.715902777767</v>
      </c>
      <c r="E234" s="14">
        <v>45877.736446759263</v>
      </c>
      <c r="F234" s="6" t="s">
        <v>19</v>
      </c>
      <c r="G234" s="6" t="s">
        <v>19</v>
      </c>
      <c r="H234" s="6" t="s">
        <v>1065</v>
      </c>
      <c r="I234" s="6" t="s">
        <v>15</v>
      </c>
      <c r="J234" s="6" t="s">
        <v>1066</v>
      </c>
      <c r="K234" s="6" t="s">
        <v>1067</v>
      </c>
      <c r="L234" s="6" t="s">
        <v>359</v>
      </c>
      <c r="M234" s="14">
        <v>45876.715277777781</v>
      </c>
      <c r="N234" s="6" t="s">
        <v>1068</v>
      </c>
      <c r="O234" s="6" t="s">
        <v>83</v>
      </c>
      <c r="P234" s="6" t="s">
        <v>272</v>
      </c>
      <c r="Q234" s="6" t="s">
        <v>243</v>
      </c>
      <c r="R234" s="6" t="s">
        <v>244</v>
      </c>
      <c r="S234" s="6" t="s">
        <v>7</v>
      </c>
      <c r="T234" s="6" t="s">
        <v>245</v>
      </c>
      <c r="U234" s="6" t="s">
        <v>123</v>
      </c>
      <c r="V234" s="6" t="s">
        <v>1069</v>
      </c>
      <c r="W234" s="6" t="s">
        <v>83</v>
      </c>
      <c r="X234" s="6" t="s">
        <v>247</v>
      </c>
      <c r="Y234" s="6">
        <v>2971604111</v>
      </c>
      <c r="Z234" s="6" t="s">
        <v>59</v>
      </c>
      <c r="AA234" s="6" t="s">
        <v>83</v>
      </c>
      <c r="AB234" s="6">
        <v>730.71</v>
      </c>
      <c r="AC234" s="6">
        <v>33.56</v>
      </c>
      <c r="AD234" s="6">
        <v>0</v>
      </c>
      <c r="AE234" s="6">
        <v>0</v>
      </c>
      <c r="AF234" s="6">
        <v>0</v>
      </c>
      <c r="AG234" s="6">
        <v>0</v>
      </c>
      <c r="AH234" s="6">
        <v>0</v>
      </c>
      <c r="AI234" s="6" t="s">
        <v>83</v>
      </c>
      <c r="AJ234" s="6" t="s">
        <v>1070</v>
      </c>
      <c r="AK234" s="6" t="s">
        <v>15</v>
      </c>
      <c r="AL234" s="6" t="s">
        <v>51</v>
      </c>
      <c r="AM234" s="6" t="s">
        <v>342</v>
      </c>
      <c r="AN234" s="6" t="s">
        <v>26</v>
      </c>
      <c r="AO234" s="6" t="s">
        <v>250</v>
      </c>
      <c r="AP234" s="6" t="s">
        <v>262</v>
      </c>
      <c r="AQ234" s="6" t="s">
        <v>24</v>
      </c>
    </row>
    <row r="235" spans="1:43" x14ac:dyDescent="0.25">
      <c r="A235" s="6">
        <v>22680532</v>
      </c>
      <c r="B235" s="6">
        <v>23485002</v>
      </c>
      <c r="C235" s="6" t="s">
        <v>237</v>
      </c>
      <c r="D235" s="14">
        <v>45873.755358796298</v>
      </c>
      <c r="E235" s="14">
        <v>45874.315393518518</v>
      </c>
      <c r="F235" s="6" t="s">
        <v>21</v>
      </c>
      <c r="G235" s="6" t="s">
        <v>23</v>
      </c>
      <c r="H235" s="6" t="s">
        <v>1071</v>
      </c>
      <c r="I235" s="6" t="s">
        <v>16</v>
      </c>
      <c r="J235" s="6" t="s">
        <v>1072</v>
      </c>
      <c r="K235" s="6" t="s">
        <v>372</v>
      </c>
      <c r="L235" s="6" t="s">
        <v>372</v>
      </c>
      <c r="M235" s="14">
        <v>45873.416666666657</v>
      </c>
      <c r="N235" s="6" t="s">
        <v>1071</v>
      </c>
      <c r="O235" s="6" t="s">
        <v>83</v>
      </c>
      <c r="P235" s="6" t="s">
        <v>242</v>
      </c>
      <c r="Q235" s="6" t="s">
        <v>256</v>
      </c>
      <c r="R235" s="6" t="s">
        <v>424</v>
      </c>
      <c r="S235" s="6" t="s">
        <v>7</v>
      </c>
      <c r="T235" s="6" t="s">
        <v>245</v>
      </c>
      <c r="U235" s="6" t="s">
        <v>123</v>
      </c>
      <c r="V235" s="6" t="s">
        <v>997</v>
      </c>
      <c r="W235" s="6" t="s">
        <v>353</v>
      </c>
      <c r="X235" s="6" t="s">
        <v>306</v>
      </c>
      <c r="Y235" s="6">
        <v>7700074850</v>
      </c>
      <c r="Z235" s="6" t="s">
        <v>59</v>
      </c>
      <c r="AA235" s="6" t="s">
        <v>83</v>
      </c>
      <c r="AB235" s="6">
        <v>0</v>
      </c>
      <c r="AC235" s="6">
        <v>0</v>
      </c>
      <c r="AD235" s="6">
        <v>0</v>
      </c>
      <c r="AE235" s="6">
        <v>0</v>
      </c>
      <c r="AF235" s="6">
        <v>0</v>
      </c>
      <c r="AG235" s="6">
        <v>0</v>
      </c>
      <c r="AH235" s="6">
        <v>19.399999999999999</v>
      </c>
      <c r="AI235" s="6" t="s">
        <v>248</v>
      </c>
      <c r="AJ235" s="6" t="s">
        <v>1073</v>
      </c>
      <c r="AK235" s="6" t="s">
        <v>16</v>
      </c>
      <c r="AL235" s="6" t="s">
        <v>64</v>
      </c>
      <c r="AM235" s="6" t="s">
        <v>74</v>
      </c>
      <c r="AN235" s="6" t="s">
        <v>20</v>
      </c>
      <c r="AO235" s="6" t="s">
        <v>250</v>
      </c>
      <c r="AP235" s="6" t="s">
        <v>251</v>
      </c>
      <c r="AQ235" s="6" t="s">
        <v>18</v>
      </c>
    </row>
    <row r="236" spans="1:43" x14ac:dyDescent="0.25">
      <c r="A236" s="6">
        <v>22720829</v>
      </c>
      <c r="B236" s="6">
        <v>23519258</v>
      </c>
      <c r="C236" s="6" t="s">
        <v>237</v>
      </c>
      <c r="D236" s="14">
        <v>45880.367951388893</v>
      </c>
      <c r="E236" s="14">
        <v>45881.224050925928</v>
      </c>
      <c r="F236" s="6" t="s">
        <v>17</v>
      </c>
      <c r="G236" s="6" t="s">
        <v>17</v>
      </c>
      <c r="H236" s="6" t="s">
        <v>1074</v>
      </c>
      <c r="I236" s="6" t="s">
        <v>16</v>
      </c>
      <c r="J236" s="6" t="s">
        <v>1075</v>
      </c>
      <c r="K236" s="6" t="s">
        <v>372</v>
      </c>
      <c r="L236" s="6" t="s">
        <v>372</v>
      </c>
      <c r="M236" s="14">
        <v>45880.270138888889</v>
      </c>
      <c r="N236" s="6" t="s">
        <v>1076</v>
      </c>
      <c r="O236" s="6" t="s">
        <v>83</v>
      </c>
      <c r="P236" s="6" t="s">
        <v>242</v>
      </c>
      <c r="Q236" s="6" t="s">
        <v>256</v>
      </c>
      <c r="R236" s="6" t="s">
        <v>424</v>
      </c>
      <c r="S236" s="6" t="s">
        <v>7</v>
      </c>
      <c r="T236" s="6" t="s">
        <v>245</v>
      </c>
      <c r="U236" s="6" t="s">
        <v>123</v>
      </c>
      <c r="V236" s="6" t="s">
        <v>1077</v>
      </c>
      <c r="W236" s="6" t="s">
        <v>353</v>
      </c>
      <c r="X236" s="6" t="s">
        <v>318</v>
      </c>
      <c r="Y236" s="6">
        <v>7700075219</v>
      </c>
      <c r="Z236" s="6" t="s">
        <v>59</v>
      </c>
      <c r="AA236" s="6" t="s">
        <v>83</v>
      </c>
      <c r="AB236" s="6">
        <v>0</v>
      </c>
      <c r="AC236" s="6">
        <v>0</v>
      </c>
      <c r="AD236" s="6">
        <v>0</v>
      </c>
      <c r="AE236" s="6">
        <v>0</v>
      </c>
      <c r="AF236" s="6">
        <v>0</v>
      </c>
      <c r="AG236" s="6">
        <v>0</v>
      </c>
      <c r="AH236" s="6">
        <v>18.989999999999998</v>
      </c>
      <c r="AI236" s="6" t="s">
        <v>248</v>
      </c>
      <c r="AJ236" s="6" t="s">
        <v>1073</v>
      </c>
      <c r="AK236" s="6" t="s">
        <v>16</v>
      </c>
      <c r="AL236" s="6" t="s">
        <v>64</v>
      </c>
      <c r="AM236" s="6" t="s">
        <v>74</v>
      </c>
      <c r="AN236" s="6" t="s">
        <v>20</v>
      </c>
      <c r="AO236" s="6" t="s">
        <v>250</v>
      </c>
      <c r="AP236" s="6" t="s">
        <v>251</v>
      </c>
      <c r="AQ236" s="6" t="s">
        <v>18</v>
      </c>
    </row>
    <row r="237" spans="1:43" x14ac:dyDescent="0.25">
      <c r="A237" s="6">
        <v>22694499</v>
      </c>
      <c r="B237" s="6">
        <v>23497347</v>
      </c>
      <c r="C237" s="6" t="s">
        <v>237</v>
      </c>
      <c r="D237" s="14">
        <v>45875.67083333333</v>
      </c>
      <c r="E237" s="14">
        <v>45876.226736111108</v>
      </c>
      <c r="F237" s="6" t="s">
        <v>21</v>
      </c>
      <c r="G237" s="6" t="s">
        <v>21</v>
      </c>
      <c r="H237" s="6" t="s">
        <v>1078</v>
      </c>
      <c r="I237" s="6" t="s">
        <v>16</v>
      </c>
      <c r="J237" s="6" t="s">
        <v>1079</v>
      </c>
      <c r="K237" s="6" t="s">
        <v>372</v>
      </c>
      <c r="L237" s="6" t="s">
        <v>372</v>
      </c>
      <c r="M237" s="14">
        <v>45875.539583333331</v>
      </c>
      <c r="N237" s="6" t="s">
        <v>1080</v>
      </c>
      <c r="O237" s="6" t="s">
        <v>83</v>
      </c>
      <c r="P237" s="6" t="s">
        <v>242</v>
      </c>
      <c r="Q237" s="6" t="s">
        <v>256</v>
      </c>
      <c r="R237" s="6" t="s">
        <v>424</v>
      </c>
      <c r="S237" s="6" t="s">
        <v>7</v>
      </c>
      <c r="T237" s="6" t="s">
        <v>245</v>
      </c>
      <c r="U237" s="6" t="s">
        <v>123</v>
      </c>
      <c r="V237" s="6" t="s">
        <v>1006</v>
      </c>
      <c r="W237" s="6" t="s">
        <v>353</v>
      </c>
      <c r="X237" s="6" t="s">
        <v>306</v>
      </c>
      <c r="Y237" s="6">
        <v>7700074992</v>
      </c>
      <c r="Z237" s="6" t="s">
        <v>59</v>
      </c>
      <c r="AA237" s="6" t="s">
        <v>83</v>
      </c>
      <c r="AB237" s="6">
        <v>0</v>
      </c>
      <c r="AC237" s="6">
        <v>0</v>
      </c>
      <c r="AD237" s="6">
        <v>0</v>
      </c>
      <c r="AE237" s="6">
        <v>0</v>
      </c>
      <c r="AF237" s="6">
        <v>0</v>
      </c>
      <c r="AG237" s="6">
        <v>0</v>
      </c>
      <c r="AH237" s="6">
        <v>19.29</v>
      </c>
      <c r="AI237" s="6" t="s">
        <v>248</v>
      </c>
      <c r="AJ237" s="6" t="s">
        <v>1073</v>
      </c>
      <c r="AK237" s="6" t="s">
        <v>16</v>
      </c>
      <c r="AL237" s="6" t="s">
        <v>64</v>
      </c>
      <c r="AM237" s="6" t="s">
        <v>74</v>
      </c>
      <c r="AN237" s="6" t="s">
        <v>20</v>
      </c>
      <c r="AO237" s="6" t="s">
        <v>250</v>
      </c>
      <c r="AP237" s="6" t="s">
        <v>251</v>
      </c>
      <c r="AQ237" s="6" t="s">
        <v>18</v>
      </c>
    </row>
    <row r="238" spans="1:43" x14ac:dyDescent="0.25">
      <c r="A238" s="6">
        <v>22699633</v>
      </c>
      <c r="B238" s="6">
        <v>23501906</v>
      </c>
      <c r="C238" s="6" t="s">
        <v>237</v>
      </c>
      <c r="D238" s="14">
        <v>45876.441331018519</v>
      </c>
      <c r="E238" s="14">
        <v>45877.221226851849</v>
      </c>
      <c r="F238" s="6" t="s">
        <v>19</v>
      </c>
      <c r="G238" s="6" t="s">
        <v>21</v>
      </c>
      <c r="H238" s="6" t="s">
        <v>1081</v>
      </c>
      <c r="I238" s="6" t="s">
        <v>16</v>
      </c>
      <c r="J238" s="6" t="s">
        <v>1082</v>
      </c>
      <c r="K238" s="6" t="s">
        <v>372</v>
      </c>
      <c r="L238" s="6" t="s">
        <v>372</v>
      </c>
      <c r="M238" s="14">
        <v>45876.333333333343</v>
      </c>
      <c r="N238" s="6" t="s">
        <v>1083</v>
      </c>
      <c r="O238" s="6" t="s">
        <v>83</v>
      </c>
      <c r="P238" s="6" t="s">
        <v>242</v>
      </c>
      <c r="Q238" s="6" t="s">
        <v>256</v>
      </c>
      <c r="R238" s="6" t="s">
        <v>424</v>
      </c>
      <c r="S238" s="6" t="s">
        <v>7</v>
      </c>
      <c r="T238" s="6" t="s">
        <v>245</v>
      </c>
      <c r="U238" s="6" t="s">
        <v>123</v>
      </c>
      <c r="V238" s="6" t="s">
        <v>1006</v>
      </c>
      <c r="W238" s="6" t="s">
        <v>353</v>
      </c>
      <c r="X238" s="6" t="s">
        <v>306</v>
      </c>
      <c r="Y238" s="6">
        <v>7700075060</v>
      </c>
      <c r="Z238" s="6" t="s">
        <v>59</v>
      </c>
      <c r="AA238" s="6" t="s">
        <v>83</v>
      </c>
      <c r="AB238" s="6">
        <v>0</v>
      </c>
      <c r="AC238" s="6">
        <v>0</v>
      </c>
      <c r="AD238" s="6">
        <v>0</v>
      </c>
      <c r="AE238" s="6">
        <v>0</v>
      </c>
      <c r="AF238" s="6">
        <v>0</v>
      </c>
      <c r="AG238" s="6">
        <v>0</v>
      </c>
      <c r="AH238" s="6">
        <v>19.18</v>
      </c>
      <c r="AI238" s="6" t="s">
        <v>248</v>
      </c>
      <c r="AJ238" s="6" t="s">
        <v>1073</v>
      </c>
      <c r="AK238" s="6" t="s">
        <v>16</v>
      </c>
      <c r="AL238" s="6" t="s">
        <v>64</v>
      </c>
      <c r="AM238" s="6" t="s">
        <v>74</v>
      </c>
      <c r="AN238" s="6" t="s">
        <v>20</v>
      </c>
      <c r="AO238" s="6" t="s">
        <v>250</v>
      </c>
      <c r="AP238" s="6" t="s">
        <v>251</v>
      </c>
      <c r="AQ238" s="6" t="s">
        <v>18</v>
      </c>
    </row>
    <row r="239" spans="1:43" x14ac:dyDescent="0.25">
      <c r="A239" s="6">
        <v>22701545</v>
      </c>
      <c r="B239" s="6">
        <v>23503699</v>
      </c>
      <c r="C239" s="6" t="s">
        <v>237</v>
      </c>
      <c r="D239" s="14">
        <v>45876.629710648151</v>
      </c>
      <c r="E239" s="14">
        <v>45877.227824074071</v>
      </c>
      <c r="F239" s="6" t="s">
        <v>19</v>
      </c>
      <c r="G239" s="6" t="s">
        <v>21</v>
      </c>
      <c r="H239" s="6" t="s">
        <v>1084</v>
      </c>
      <c r="I239" s="6" t="s">
        <v>16</v>
      </c>
      <c r="J239" s="6" t="s">
        <v>1085</v>
      </c>
      <c r="K239" s="6" t="s">
        <v>372</v>
      </c>
      <c r="L239" s="6" t="s">
        <v>372</v>
      </c>
      <c r="M239" s="14">
        <v>45876.486805555563</v>
      </c>
      <c r="N239" s="6" t="s">
        <v>1086</v>
      </c>
      <c r="O239" s="6" t="s">
        <v>83</v>
      </c>
      <c r="P239" s="6" t="s">
        <v>242</v>
      </c>
      <c r="Q239" s="6" t="s">
        <v>256</v>
      </c>
      <c r="R239" s="6" t="s">
        <v>424</v>
      </c>
      <c r="S239" s="6" t="s">
        <v>7</v>
      </c>
      <c r="T239" s="6" t="s">
        <v>245</v>
      </c>
      <c r="U239" s="6" t="s">
        <v>123</v>
      </c>
      <c r="V239" s="6" t="s">
        <v>993</v>
      </c>
      <c r="W239" s="6" t="s">
        <v>353</v>
      </c>
      <c r="X239" s="6" t="s">
        <v>318</v>
      </c>
      <c r="Y239" s="6">
        <v>7700075068</v>
      </c>
      <c r="Z239" s="6" t="s">
        <v>59</v>
      </c>
      <c r="AA239" s="6" t="s">
        <v>83</v>
      </c>
      <c r="AB239" s="6">
        <v>0</v>
      </c>
      <c r="AC239" s="6">
        <v>0</v>
      </c>
      <c r="AD239" s="6">
        <v>0</v>
      </c>
      <c r="AE239" s="6">
        <v>0</v>
      </c>
      <c r="AF239" s="6">
        <v>0</v>
      </c>
      <c r="AG239" s="6">
        <v>0</v>
      </c>
      <c r="AH239" s="6">
        <v>19.18</v>
      </c>
      <c r="AI239" s="6" t="s">
        <v>248</v>
      </c>
      <c r="AJ239" s="6" t="s">
        <v>1073</v>
      </c>
      <c r="AK239" s="6" t="s">
        <v>16</v>
      </c>
      <c r="AL239" s="6" t="s">
        <v>64</v>
      </c>
      <c r="AM239" s="6" t="s">
        <v>74</v>
      </c>
      <c r="AN239" s="6" t="s">
        <v>20</v>
      </c>
      <c r="AO239" s="6" t="s">
        <v>250</v>
      </c>
      <c r="AP239" s="6" t="s">
        <v>251</v>
      </c>
      <c r="AQ239" s="6" t="s">
        <v>18</v>
      </c>
    </row>
    <row r="240" spans="1:43" x14ac:dyDescent="0.25">
      <c r="A240" s="6">
        <v>22725593</v>
      </c>
      <c r="B240" s="6">
        <v>23523813</v>
      </c>
      <c r="C240" s="6" t="s">
        <v>237</v>
      </c>
      <c r="D240" s="14">
        <v>45880.80667824074</v>
      </c>
      <c r="E240" s="14">
        <v>45881.24359953704</v>
      </c>
      <c r="F240" s="6" t="s">
        <v>17</v>
      </c>
      <c r="G240" s="6" t="s">
        <v>17</v>
      </c>
      <c r="H240" s="6" t="s">
        <v>1087</v>
      </c>
      <c r="I240" s="6" t="s">
        <v>16</v>
      </c>
      <c r="J240" s="6" t="s">
        <v>1088</v>
      </c>
      <c r="K240" s="6" t="s">
        <v>366</v>
      </c>
      <c r="L240" s="6" t="s">
        <v>372</v>
      </c>
      <c r="M240" s="14">
        <v>45877.354166666657</v>
      </c>
      <c r="N240" s="6" t="s">
        <v>1087</v>
      </c>
      <c r="O240" s="6" t="s">
        <v>83</v>
      </c>
      <c r="P240" s="6" t="s">
        <v>242</v>
      </c>
      <c r="Q240" s="6" t="s">
        <v>361</v>
      </c>
      <c r="R240" s="6" t="s">
        <v>339</v>
      </c>
      <c r="S240" s="6" t="s">
        <v>7</v>
      </c>
      <c r="T240" s="6" t="s">
        <v>245</v>
      </c>
      <c r="U240" s="6" t="s">
        <v>123</v>
      </c>
      <c r="V240" s="6" t="s">
        <v>1017</v>
      </c>
      <c r="W240" s="6" t="s">
        <v>353</v>
      </c>
      <c r="X240" s="6" t="s">
        <v>247</v>
      </c>
      <c r="Y240" s="6">
        <v>2952816561</v>
      </c>
      <c r="Z240" s="6" t="s">
        <v>59</v>
      </c>
      <c r="AA240" s="6" t="s">
        <v>83</v>
      </c>
      <c r="AB240" s="6">
        <v>0</v>
      </c>
      <c r="AC240" s="6">
        <v>0</v>
      </c>
      <c r="AD240" s="6">
        <v>450</v>
      </c>
      <c r="AE240" s="6">
        <v>0</v>
      </c>
      <c r="AF240" s="6">
        <v>16.059999999999999</v>
      </c>
      <c r="AG240" s="6">
        <v>0</v>
      </c>
      <c r="AH240" s="6">
        <v>19.12</v>
      </c>
      <c r="AI240" s="6" t="s">
        <v>248</v>
      </c>
      <c r="AJ240" s="6" t="s">
        <v>1089</v>
      </c>
      <c r="AK240" s="6" t="s">
        <v>16</v>
      </c>
      <c r="AL240" s="6" t="s">
        <v>51</v>
      </c>
      <c r="AM240" s="6" t="s">
        <v>342</v>
      </c>
      <c r="AN240" s="6" t="s">
        <v>26</v>
      </c>
      <c r="AO240" s="6" t="s">
        <v>250</v>
      </c>
      <c r="AP240" s="6" t="s">
        <v>262</v>
      </c>
      <c r="AQ240" s="6" t="s">
        <v>24</v>
      </c>
    </row>
    <row r="241" spans="1:43" x14ac:dyDescent="0.25">
      <c r="A241" s="6">
        <v>22725594</v>
      </c>
      <c r="B241" s="6">
        <v>23523814</v>
      </c>
      <c r="C241" s="6" t="s">
        <v>237</v>
      </c>
      <c r="D241" s="14">
        <v>45880.806747685187</v>
      </c>
      <c r="E241" s="14">
        <v>45881.243611111109</v>
      </c>
      <c r="F241" s="6" t="s">
        <v>17</v>
      </c>
      <c r="G241" s="6" t="s">
        <v>17</v>
      </c>
      <c r="H241" s="6" t="s">
        <v>1090</v>
      </c>
      <c r="I241" s="6" t="s">
        <v>16</v>
      </c>
      <c r="J241" s="6" t="s">
        <v>1091</v>
      </c>
      <c r="K241" s="6" t="s">
        <v>366</v>
      </c>
      <c r="L241" s="6" t="s">
        <v>372</v>
      </c>
      <c r="M241" s="14">
        <v>45876.636805555558</v>
      </c>
      <c r="N241" s="6" t="s">
        <v>1090</v>
      </c>
      <c r="O241" s="6" t="s">
        <v>83</v>
      </c>
      <c r="P241" s="6" t="s">
        <v>242</v>
      </c>
      <c r="Q241" s="6" t="s">
        <v>361</v>
      </c>
      <c r="R241" s="6" t="s">
        <v>339</v>
      </c>
      <c r="S241" s="6" t="s">
        <v>7</v>
      </c>
      <c r="T241" s="6" t="s">
        <v>245</v>
      </c>
      <c r="U241" s="6" t="s">
        <v>123</v>
      </c>
      <c r="V241" s="6" t="s">
        <v>989</v>
      </c>
      <c r="W241" s="6" t="s">
        <v>353</v>
      </c>
      <c r="X241" s="6" t="s">
        <v>247</v>
      </c>
      <c r="Y241" s="6">
        <v>2952816552</v>
      </c>
      <c r="Z241" s="6" t="s">
        <v>59</v>
      </c>
      <c r="AA241" s="6" t="s">
        <v>83</v>
      </c>
      <c r="AB241" s="6">
        <v>0</v>
      </c>
      <c r="AC241" s="6">
        <v>0</v>
      </c>
      <c r="AD241" s="6">
        <v>450</v>
      </c>
      <c r="AE241" s="6">
        <v>0</v>
      </c>
      <c r="AF241" s="6">
        <v>5.6</v>
      </c>
      <c r="AG241" s="6">
        <v>0</v>
      </c>
      <c r="AH241" s="6">
        <v>19.18</v>
      </c>
      <c r="AI241" s="6" t="s">
        <v>248</v>
      </c>
      <c r="AJ241" s="6" t="s">
        <v>1092</v>
      </c>
      <c r="AK241" s="6" t="s">
        <v>16</v>
      </c>
      <c r="AL241" s="6" t="s">
        <v>51</v>
      </c>
      <c r="AM241" s="6" t="s">
        <v>342</v>
      </c>
      <c r="AN241" s="6" t="s">
        <v>26</v>
      </c>
      <c r="AO241" s="6" t="s">
        <v>250</v>
      </c>
      <c r="AP241" s="6" t="s">
        <v>262</v>
      </c>
      <c r="AQ241" s="6" t="s">
        <v>24</v>
      </c>
    </row>
    <row r="242" spans="1:43" x14ac:dyDescent="0.25">
      <c r="A242" s="6">
        <v>22725595</v>
      </c>
      <c r="B242" s="6">
        <v>23523815</v>
      </c>
      <c r="C242" s="6" t="s">
        <v>237</v>
      </c>
      <c r="D242" s="14">
        <v>45880.806805555563</v>
      </c>
      <c r="E242" s="14">
        <v>45881.243622685193</v>
      </c>
      <c r="F242" s="6" t="s">
        <v>17</v>
      </c>
      <c r="G242" s="6" t="s">
        <v>17</v>
      </c>
      <c r="H242" s="6" t="s">
        <v>1093</v>
      </c>
      <c r="I242" s="6" t="s">
        <v>16</v>
      </c>
      <c r="J242" s="6" t="s">
        <v>1094</v>
      </c>
      <c r="K242" s="6" t="s">
        <v>366</v>
      </c>
      <c r="L242" s="6" t="s">
        <v>372</v>
      </c>
      <c r="M242" s="14">
        <v>45876.560416666667</v>
      </c>
      <c r="N242" s="6" t="s">
        <v>1093</v>
      </c>
      <c r="O242" s="6" t="s">
        <v>83</v>
      </c>
      <c r="P242" s="6" t="s">
        <v>242</v>
      </c>
      <c r="Q242" s="6" t="s">
        <v>361</v>
      </c>
      <c r="R242" s="6" t="s">
        <v>339</v>
      </c>
      <c r="S242" s="6" t="s">
        <v>7</v>
      </c>
      <c r="T242" s="6" t="s">
        <v>245</v>
      </c>
      <c r="U242" s="6" t="s">
        <v>123</v>
      </c>
      <c r="V242" s="6" t="s">
        <v>989</v>
      </c>
      <c r="W242" s="6" t="s">
        <v>353</v>
      </c>
      <c r="X242" s="6" t="s">
        <v>247</v>
      </c>
      <c r="Y242" s="6">
        <v>2952816550</v>
      </c>
      <c r="Z242" s="6" t="s">
        <v>59</v>
      </c>
      <c r="AA242" s="6" t="s">
        <v>83</v>
      </c>
      <c r="AB242" s="6">
        <v>0</v>
      </c>
      <c r="AC242" s="6">
        <v>0</v>
      </c>
      <c r="AD242" s="6">
        <v>450</v>
      </c>
      <c r="AE242" s="6">
        <v>0</v>
      </c>
      <c r="AF242" s="6">
        <v>2.2000000000000002</v>
      </c>
      <c r="AG242" s="6">
        <v>0</v>
      </c>
      <c r="AH242" s="6">
        <v>19.18</v>
      </c>
      <c r="AI242" s="6" t="s">
        <v>248</v>
      </c>
      <c r="AJ242" s="6" t="s">
        <v>1095</v>
      </c>
      <c r="AK242" s="6" t="s">
        <v>16</v>
      </c>
      <c r="AL242" s="6" t="s">
        <v>51</v>
      </c>
      <c r="AM242" s="6" t="s">
        <v>342</v>
      </c>
      <c r="AN242" s="6" t="s">
        <v>26</v>
      </c>
      <c r="AO242" s="6" t="s">
        <v>250</v>
      </c>
      <c r="AP242" s="6" t="s">
        <v>262</v>
      </c>
      <c r="AQ242" s="6" t="s">
        <v>24</v>
      </c>
    </row>
    <row r="243" spans="1:43" x14ac:dyDescent="0.25">
      <c r="A243" s="6">
        <v>22725596</v>
      </c>
      <c r="B243" s="6">
        <v>23523816</v>
      </c>
      <c r="C243" s="6" t="s">
        <v>237</v>
      </c>
      <c r="D243" s="14">
        <v>45880.806851851848</v>
      </c>
      <c r="E243" s="14">
        <v>45881.243622685193</v>
      </c>
      <c r="F243" s="6" t="s">
        <v>17</v>
      </c>
      <c r="G243" s="6" t="s">
        <v>17</v>
      </c>
      <c r="H243" s="6" t="s">
        <v>1096</v>
      </c>
      <c r="I243" s="6" t="s">
        <v>16</v>
      </c>
      <c r="J243" s="6" t="s">
        <v>1097</v>
      </c>
      <c r="K243" s="6" t="s">
        <v>366</v>
      </c>
      <c r="L243" s="6" t="s">
        <v>372</v>
      </c>
      <c r="M243" s="14">
        <v>45876.553472222222</v>
      </c>
      <c r="N243" s="6" t="s">
        <v>1096</v>
      </c>
      <c r="O243" s="6" t="s">
        <v>83</v>
      </c>
      <c r="P243" s="6" t="s">
        <v>242</v>
      </c>
      <c r="Q243" s="6" t="s">
        <v>361</v>
      </c>
      <c r="R243" s="6" t="s">
        <v>339</v>
      </c>
      <c r="S243" s="6" t="s">
        <v>7</v>
      </c>
      <c r="T243" s="6" t="s">
        <v>245</v>
      </c>
      <c r="U243" s="6" t="s">
        <v>123</v>
      </c>
      <c r="V243" s="6" t="s">
        <v>1006</v>
      </c>
      <c r="W243" s="6" t="s">
        <v>353</v>
      </c>
      <c r="X243" s="6" t="s">
        <v>247</v>
      </c>
      <c r="Y243" s="6">
        <v>2971622849</v>
      </c>
      <c r="Z243" s="6" t="s">
        <v>59</v>
      </c>
      <c r="AA243" s="6" t="s">
        <v>83</v>
      </c>
      <c r="AB243" s="6">
        <v>0</v>
      </c>
      <c r="AC243" s="6">
        <v>0</v>
      </c>
      <c r="AD243" s="6">
        <v>450</v>
      </c>
      <c r="AE243" s="6">
        <v>0</v>
      </c>
      <c r="AF243" s="6">
        <v>0</v>
      </c>
      <c r="AG243" s="6">
        <v>0</v>
      </c>
      <c r="AH243" s="6">
        <v>19.18</v>
      </c>
      <c r="AI243" s="6" t="s">
        <v>248</v>
      </c>
      <c r="AJ243" s="6" t="s">
        <v>1098</v>
      </c>
      <c r="AK243" s="6" t="s">
        <v>16</v>
      </c>
      <c r="AL243" s="6" t="s">
        <v>51</v>
      </c>
      <c r="AM243" s="6" t="s">
        <v>342</v>
      </c>
      <c r="AN243" s="6" t="s">
        <v>26</v>
      </c>
      <c r="AO243" s="6" t="s">
        <v>250</v>
      </c>
      <c r="AP243" s="6" t="s">
        <v>262</v>
      </c>
      <c r="AQ243" s="6" t="s">
        <v>24</v>
      </c>
    </row>
    <row r="244" spans="1:43" x14ac:dyDescent="0.25">
      <c r="A244" s="6">
        <v>22725693</v>
      </c>
      <c r="B244" s="6">
        <v>23523918</v>
      </c>
      <c r="C244" s="6" t="s">
        <v>237</v>
      </c>
      <c r="D244" s="14">
        <v>45880.817175925928</v>
      </c>
      <c r="E244" s="14">
        <v>45881.243900462963</v>
      </c>
      <c r="F244" s="6" t="s">
        <v>17</v>
      </c>
      <c r="G244" s="6" t="s">
        <v>17</v>
      </c>
      <c r="H244" s="6" t="s">
        <v>1099</v>
      </c>
      <c r="I244" s="6" t="s">
        <v>16</v>
      </c>
      <c r="J244" s="6" t="s">
        <v>1100</v>
      </c>
      <c r="K244" s="6" t="s">
        <v>359</v>
      </c>
      <c r="L244" s="6" t="s">
        <v>372</v>
      </c>
      <c r="M244" s="14">
        <v>45875.541666666657</v>
      </c>
      <c r="N244" s="6" t="s">
        <v>1099</v>
      </c>
      <c r="O244" s="6" t="s">
        <v>83</v>
      </c>
      <c r="P244" s="6" t="s">
        <v>242</v>
      </c>
      <c r="Q244" s="6" t="s">
        <v>256</v>
      </c>
      <c r="R244" s="6" t="s">
        <v>424</v>
      </c>
      <c r="S244" s="6" t="s">
        <v>7</v>
      </c>
      <c r="T244" s="6" t="s">
        <v>245</v>
      </c>
      <c r="U244" s="6" t="s">
        <v>123</v>
      </c>
      <c r="V244" s="6" t="s">
        <v>997</v>
      </c>
      <c r="W244" s="6" t="s">
        <v>353</v>
      </c>
      <c r="X244" s="6" t="s">
        <v>247</v>
      </c>
      <c r="Y244" s="6">
        <v>2971604094</v>
      </c>
      <c r="Z244" s="6" t="s">
        <v>59</v>
      </c>
      <c r="AA244" s="6" t="s">
        <v>83</v>
      </c>
      <c r="AB244" s="6">
        <v>9215.89</v>
      </c>
      <c r="AC244" s="6">
        <v>59.54</v>
      </c>
      <c r="AD244" s="6">
        <v>806.09</v>
      </c>
      <c r="AE244" s="6">
        <v>0</v>
      </c>
      <c r="AF244" s="6">
        <v>59.54</v>
      </c>
      <c r="AG244" s="6">
        <v>0</v>
      </c>
      <c r="AH244" s="6">
        <v>19.29</v>
      </c>
      <c r="AI244" s="6" t="s">
        <v>248</v>
      </c>
      <c r="AJ244" s="6" t="s">
        <v>1101</v>
      </c>
      <c r="AK244" s="6" t="s">
        <v>16</v>
      </c>
      <c r="AL244" s="6" t="s">
        <v>51</v>
      </c>
      <c r="AM244" s="6" t="s">
        <v>342</v>
      </c>
      <c r="AN244" s="6" t="s">
        <v>26</v>
      </c>
      <c r="AO244" s="6" t="s">
        <v>250</v>
      </c>
      <c r="AP244" s="6" t="s">
        <v>262</v>
      </c>
      <c r="AQ244" s="6" t="s">
        <v>24</v>
      </c>
    </row>
    <row r="245" spans="1:43" x14ac:dyDescent="0.25">
      <c r="A245" s="6">
        <v>22725701</v>
      </c>
      <c r="B245" s="6">
        <v>23523926</v>
      </c>
      <c r="C245" s="6" t="s">
        <v>237</v>
      </c>
      <c r="D245" s="14">
        <v>45880.817858796298</v>
      </c>
      <c r="E245" s="14">
        <v>45881.243969907409</v>
      </c>
      <c r="F245" s="6" t="s">
        <v>17</v>
      </c>
      <c r="G245" s="6" t="s">
        <v>17</v>
      </c>
      <c r="H245" s="6" t="s">
        <v>1102</v>
      </c>
      <c r="I245" s="6" t="s">
        <v>16</v>
      </c>
      <c r="J245" s="6" t="s">
        <v>1103</v>
      </c>
      <c r="K245" s="6" t="s">
        <v>359</v>
      </c>
      <c r="L245" s="6" t="s">
        <v>372</v>
      </c>
      <c r="M245" s="14">
        <v>45876.458333333343</v>
      </c>
      <c r="N245" s="6" t="s">
        <v>1102</v>
      </c>
      <c r="O245" s="6" t="s">
        <v>83</v>
      </c>
      <c r="P245" s="6" t="s">
        <v>272</v>
      </c>
      <c r="Q245" s="6" t="s">
        <v>256</v>
      </c>
      <c r="R245" s="6" t="s">
        <v>424</v>
      </c>
      <c r="S245" s="6" t="s">
        <v>7</v>
      </c>
      <c r="T245" s="6" t="s">
        <v>245</v>
      </c>
      <c r="U245" s="6" t="s">
        <v>123</v>
      </c>
      <c r="V245" s="6" t="s">
        <v>993</v>
      </c>
      <c r="W245" s="6" t="s">
        <v>353</v>
      </c>
      <c r="X245" s="6" t="s">
        <v>998</v>
      </c>
      <c r="Y245" s="6">
        <v>2971604112</v>
      </c>
      <c r="Z245" s="6" t="s">
        <v>59</v>
      </c>
      <c r="AA245" s="6" t="s">
        <v>83</v>
      </c>
      <c r="AB245" s="6">
        <v>14958.37</v>
      </c>
      <c r="AC245" s="6">
        <v>0</v>
      </c>
      <c r="AD245" s="6">
        <v>2780.05</v>
      </c>
      <c r="AE245" s="6">
        <v>0</v>
      </c>
      <c r="AF245" s="6">
        <v>0</v>
      </c>
      <c r="AG245" s="6">
        <v>0</v>
      </c>
      <c r="AH245" s="6">
        <v>19.18</v>
      </c>
      <c r="AI245" s="6" t="s">
        <v>248</v>
      </c>
      <c r="AJ245" s="6" t="s">
        <v>1104</v>
      </c>
      <c r="AK245" s="6" t="s">
        <v>16</v>
      </c>
      <c r="AL245" s="6" t="s">
        <v>51</v>
      </c>
      <c r="AM245" s="6" t="s">
        <v>342</v>
      </c>
      <c r="AN245" s="6" t="s">
        <v>26</v>
      </c>
      <c r="AO245" s="6" t="s">
        <v>250</v>
      </c>
      <c r="AP245" s="6" t="s">
        <v>262</v>
      </c>
      <c r="AQ245" s="6" t="s">
        <v>24</v>
      </c>
    </row>
    <row r="246" spans="1:43" x14ac:dyDescent="0.25">
      <c r="A246" s="6">
        <v>22725597</v>
      </c>
      <c r="B246" s="6">
        <v>23523817</v>
      </c>
      <c r="C246" s="6" t="s">
        <v>237</v>
      </c>
      <c r="D246" s="14">
        <v>45880.806967592587</v>
      </c>
      <c r="E246" s="14">
        <v>45881.243634259263</v>
      </c>
      <c r="F246" s="6" t="s">
        <v>17</v>
      </c>
      <c r="G246" s="6" t="s">
        <v>17</v>
      </c>
      <c r="H246" s="6" t="s">
        <v>1105</v>
      </c>
      <c r="I246" s="6" t="s">
        <v>16</v>
      </c>
      <c r="J246" s="6" t="s">
        <v>1106</v>
      </c>
      <c r="K246" s="6" t="s">
        <v>359</v>
      </c>
      <c r="L246" s="6" t="s">
        <v>372</v>
      </c>
      <c r="M246" s="14">
        <v>45876.443749999999</v>
      </c>
      <c r="N246" s="6" t="s">
        <v>1105</v>
      </c>
      <c r="O246" s="6" t="s">
        <v>83</v>
      </c>
      <c r="P246" s="6" t="s">
        <v>242</v>
      </c>
      <c r="Q246" s="6" t="s">
        <v>361</v>
      </c>
      <c r="R246" s="6" t="s">
        <v>339</v>
      </c>
      <c r="S246" s="6" t="s">
        <v>7</v>
      </c>
      <c r="T246" s="6" t="s">
        <v>245</v>
      </c>
      <c r="U246" s="6" t="s">
        <v>123</v>
      </c>
      <c r="V246" s="6" t="s">
        <v>1006</v>
      </c>
      <c r="W246" s="6" t="s">
        <v>353</v>
      </c>
      <c r="X246" s="6" t="s">
        <v>247</v>
      </c>
      <c r="Y246" s="6">
        <v>2971622833</v>
      </c>
      <c r="Z246" s="6" t="s">
        <v>59</v>
      </c>
      <c r="AA246" s="6" t="s">
        <v>83</v>
      </c>
      <c r="AB246" s="6">
        <v>0</v>
      </c>
      <c r="AC246" s="6">
        <v>0</v>
      </c>
      <c r="AD246" s="6">
        <v>49.23</v>
      </c>
      <c r="AE246" s="6">
        <v>0</v>
      </c>
      <c r="AF246" s="6">
        <v>49.23</v>
      </c>
      <c r="AG246" s="6">
        <v>0</v>
      </c>
      <c r="AH246" s="6">
        <v>19.18</v>
      </c>
      <c r="AI246" s="6" t="s">
        <v>248</v>
      </c>
      <c r="AJ246" s="6" t="s">
        <v>1107</v>
      </c>
      <c r="AK246" s="6" t="s">
        <v>16</v>
      </c>
      <c r="AL246" s="6" t="s">
        <v>51</v>
      </c>
      <c r="AM246" s="6" t="s">
        <v>342</v>
      </c>
      <c r="AN246" s="6" t="s">
        <v>26</v>
      </c>
      <c r="AO246" s="6" t="s">
        <v>250</v>
      </c>
      <c r="AP246" s="6" t="s">
        <v>262</v>
      </c>
      <c r="AQ246" s="6" t="s">
        <v>24</v>
      </c>
    </row>
    <row r="247" spans="1:43" x14ac:dyDescent="0.25">
      <c r="A247" s="6">
        <v>22725689</v>
      </c>
      <c r="B247" s="6">
        <v>23523914</v>
      </c>
      <c r="C247" s="6" t="s">
        <v>237</v>
      </c>
      <c r="D247" s="14">
        <v>45880.81689814815</v>
      </c>
      <c r="E247" s="14">
        <v>45881.243680555563</v>
      </c>
      <c r="F247" s="6" t="s">
        <v>17</v>
      </c>
      <c r="G247" s="6" t="s">
        <v>17</v>
      </c>
      <c r="H247" s="6" t="s">
        <v>1108</v>
      </c>
      <c r="I247" s="6" t="s">
        <v>16</v>
      </c>
      <c r="J247" s="6" t="s">
        <v>1109</v>
      </c>
      <c r="K247" s="6" t="s">
        <v>359</v>
      </c>
      <c r="L247" s="6" t="s">
        <v>372</v>
      </c>
      <c r="M247" s="14">
        <v>45875.474999999999</v>
      </c>
      <c r="N247" s="6" t="s">
        <v>1108</v>
      </c>
      <c r="O247" s="6" t="s">
        <v>83</v>
      </c>
      <c r="P247" s="6" t="s">
        <v>242</v>
      </c>
      <c r="Q247" s="6" t="s">
        <v>256</v>
      </c>
      <c r="R247" s="6" t="s">
        <v>424</v>
      </c>
      <c r="S247" s="6" t="s">
        <v>7</v>
      </c>
      <c r="T247" s="6" t="s">
        <v>245</v>
      </c>
      <c r="U247" s="6" t="s">
        <v>123</v>
      </c>
      <c r="V247" s="6" t="s">
        <v>997</v>
      </c>
      <c r="W247" s="6" t="s">
        <v>353</v>
      </c>
      <c r="X247" s="6" t="s">
        <v>1052</v>
      </c>
      <c r="Y247" s="6">
        <v>2971604085</v>
      </c>
      <c r="Z247" s="6" t="s">
        <v>59</v>
      </c>
      <c r="AA247" s="6" t="s">
        <v>83</v>
      </c>
      <c r="AB247" s="6">
        <v>995.63</v>
      </c>
      <c r="AC247" s="6">
        <v>59.54</v>
      </c>
      <c r="AD247" s="6">
        <v>1263.8399999999999</v>
      </c>
      <c r="AE247" s="6">
        <v>0</v>
      </c>
      <c r="AF247" s="6">
        <v>59.54</v>
      </c>
      <c r="AG247" s="6">
        <v>0</v>
      </c>
      <c r="AH247" s="6">
        <v>19.29</v>
      </c>
      <c r="AI247" s="6" t="s">
        <v>248</v>
      </c>
      <c r="AJ247" s="6" t="s">
        <v>1110</v>
      </c>
      <c r="AK247" s="6" t="s">
        <v>16</v>
      </c>
      <c r="AL247" s="6" t="s">
        <v>51</v>
      </c>
      <c r="AM247" s="6" t="s">
        <v>342</v>
      </c>
      <c r="AN247" s="6" t="s">
        <v>26</v>
      </c>
      <c r="AO247" s="6" t="s">
        <v>250</v>
      </c>
      <c r="AP247" s="6" t="s">
        <v>262</v>
      </c>
      <c r="AQ247" s="6" t="s">
        <v>24</v>
      </c>
    </row>
    <row r="248" spans="1:43" x14ac:dyDescent="0.25">
      <c r="A248" s="6">
        <v>22725690</v>
      </c>
      <c r="B248" s="6">
        <v>23523915</v>
      </c>
      <c r="C248" s="6" t="s">
        <v>237</v>
      </c>
      <c r="D248" s="14">
        <v>45880.816967592589</v>
      </c>
      <c r="E248" s="14">
        <v>45881.243692129632</v>
      </c>
      <c r="F248" s="6" t="s">
        <v>17</v>
      </c>
      <c r="G248" s="6" t="s">
        <v>17</v>
      </c>
      <c r="H248" s="6" t="s">
        <v>1111</v>
      </c>
      <c r="I248" s="6" t="s">
        <v>16</v>
      </c>
      <c r="J248" s="6" t="s">
        <v>992</v>
      </c>
      <c r="K248" s="6" t="s">
        <v>359</v>
      </c>
      <c r="L248" s="6" t="s">
        <v>372</v>
      </c>
      <c r="M248" s="14">
        <v>45875.220833333333</v>
      </c>
      <c r="N248" s="6" t="s">
        <v>1111</v>
      </c>
      <c r="O248" s="6" t="s">
        <v>83</v>
      </c>
      <c r="P248" s="6" t="s">
        <v>242</v>
      </c>
      <c r="Q248" s="6" t="s">
        <v>256</v>
      </c>
      <c r="R248" s="6" t="s">
        <v>424</v>
      </c>
      <c r="S248" s="6" t="s">
        <v>7</v>
      </c>
      <c r="T248" s="6" t="s">
        <v>245</v>
      </c>
      <c r="U248" s="6" t="s">
        <v>123</v>
      </c>
      <c r="V248" s="6" t="s">
        <v>993</v>
      </c>
      <c r="W248" s="6" t="s">
        <v>353</v>
      </c>
      <c r="X248" s="6" t="s">
        <v>998</v>
      </c>
      <c r="Y248" s="6">
        <v>2971604092</v>
      </c>
      <c r="Z248" s="6" t="s">
        <v>59</v>
      </c>
      <c r="AA248" s="6" t="s">
        <v>83</v>
      </c>
      <c r="AB248" s="6">
        <v>10704.1</v>
      </c>
      <c r="AC248" s="6">
        <v>59.54</v>
      </c>
      <c r="AD248" s="6">
        <v>519.41999999999996</v>
      </c>
      <c r="AE248" s="6">
        <v>0</v>
      </c>
      <c r="AF248" s="6">
        <v>59.54</v>
      </c>
      <c r="AG248" s="6">
        <v>0</v>
      </c>
      <c r="AH248" s="6">
        <v>19.29</v>
      </c>
      <c r="AI248" s="6" t="s">
        <v>248</v>
      </c>
      <c r="AJ248" s="6" t="s">
        <v>1112</v>
      </c>
      <c r="AK248" s="6" t="s">
        <v>16</v>
      </c>
      <c r="AL248" s="6" t="s">
        <v>51</v>
      </c>
      <c r="AM248" s="6" t="s">
        <v>342</v>
      </c>
      <c r="AN248" s="6" t="s">
        <v>26</v>
      </c>
      <c r="AO248" s="6" t="s">
        <v>250</v>
      </c>
      <c r="AP248" s="6" t="s">
        <v>262</v>
      </c>
      <c r="AQ248" s="6" t="s">
        <v>24</v>
      </c>
    </row>
    <row r="249" spans="1:43" x14ac:dyDescent="0.25">
      <c r="A249" s="6">
        <v>22725691</v>
      </c>
      <c r="B249" s="6">
        <v>23523916</v>
      </c>
      <c r="C249" s="6" t="s">
        <v>237</v>
      </c>
      <c r="D249" s="14">
        <v>45880.817037037043</v>
      </c>
      <c r="E249" s="14">
        <v>45881.243877314817</v>
      </c>
      <c r="F249" s="6" t="s">
        <v>17</v>
      </c>
      <c r="G249" s="6" t="s">
        <v>17</v>
      </c>
      <c r="H249" s="6" t="s">
        <v>1113</v>
      </c>
      <c r="I249" s="6" t="s">
        <v>16</v>
      </c>
      <c r="J249" s="6" t="s">
        <v>1114</v>
      </c>
      <c r="K249" s="6" t="s">
        <v>359</v>
      </c>
      <c r="L249" s="6" t="s">
        <v>372</v>
      </c>
      <c r="M249" s="14">
        <v>45875.487500000003</v>
      </c>
      <c r="N249" s="6" t="s">
        <v>1113</v>
      </c>
      <c r="O249" s="6" t="s">
        <v>83</v>
      </c>
      <c r="P249" s="6" t="s">
        <v>242</v>
      </c>
      <c r="Q249" s="6" t="s">
        <v>256</v>
      </c>
      <c r="R249" s="6" t="s">
        <v>424</v>
      </c>
      <c r="S249" s="6" t="s">
        <v>7</v>
      </c>
      <c r="T249" s="6" t="s">
        <v>245</v>
      </c>
      <c r="U249" s="6" t="s">
        <v>123</v>
      </c>
      <c r="V249" s="6" t="s">
        <v>997</v>
      </c>
      <c r="W249" s="6" t="s">
        <v>353</v>
      </c>
      <c r="X249" s="6" t="s">
        <v>1052</v>
      </c>
      <c r="Y249" s="6">
        <v>2971604087</v>
      </c>
      <c r="Z249" s="6" t="s">
        <v>59</v>
      </c>
      <c r="AA249" s="6" t="s">
        <v>83</v>
      </c>
      <c r="AB249" s="6">
        <v>963.54</v>
      </c>
      <c r="AC249" s="6">
        <v>59.54</v>
      </c>
      <c r="AD249" s="6">
        <v>1105.68</v>
      </c>
      <c r="AE249" s="6">
        <v>0</v>
      </c>
      <c r="AF249" s="6">
        <v>59.54</v>
      </c>
      <c r="AG249" s="6">
        <v>0</v>
      </c>
      <c r="AH249" s="6">
        <v>19.29</v>
      </c>
      <c r="AI249" s="6" t="s">
        <v>248</v>
      </c>
      <c r="AJ249" s="6" t="s">
        <v>1115</v>
      </c>
      <c r="AK249" s="6" t="s">
        <v>16</v>
      </c>
      <c r="AL249" s="6" t="s">
        <v>51</v>
      </c>
      <c r="AM249" s="6" t="s">
        <v>342</v>
      </c>
      <c r="AN249" s="6" t="s">
        <v>26</v>
      </c>
      <c r="AO249" s="6" t="s">
        <v>250</v>
      </c>
      <c r="AP249" s="6" t="s">
        <v>262</v>
      </c>
      <c r="AQ249" s="6" t="s">
        <v>24</v>
      </c>
    </row>
    <row r="250" spans="1:43" x14ac:dyDescent="0.25">
      <c r="A250" s="6">
        <v>22725599</v>
      </c>
      <c r="B250" s="6">
        <v>23523819</v>
      </c>
      <c r="C250" s="6" t="s">
        <v>237</v>
      </c>
      <c r="D250" s="14">
        <v>45880.807083333333</v>
      </c>
      <c r="E250" s="14">
        <v>45881.243645833332</v>
      </c>
      <c r="F250" s="6" t="s">
        <v>17</v>
      </c>
      <c r="G250" s="6" t="s">
        <v>17</v>
      </c>
      <c r="H250" s="6" t="s">
        <v>1116</v>
      </c>
      <c r="I250" s="6" t="s">
        <v>16</v>
      </c>
      <c r="J250" s="6" t="s">
        <v>1028</v>
      </c>
      <c r="K250" s="6" t="s">
        <v>359</v>
      </c>
      <c r="L250" s="6" t="s">
        <v>372</v>
      </c>
      <c r="M250" s="14">
        <v>45875</v>
      </c>
      <c r="N250" s="6" t="s">
        <v>1116</v>
      </c>
      <c r="O250" s="6" t="s">
        <v>83</v>
      </c>
      <c r="P250" s="6" t="s">
        <v>272</v>
      </c>
      <c r="Q250" s="6" t="s">
        <v>256</v>
      </c>
      <c r="R250" s="6" t="s">
        <v>424</v>
      </c>
      <c r="S250" s="6" t="s">
        <v>7</v>
      </c>
      <c r="T250" s="6" t="s">
        <v>245</v>
      </c>
      <c r="U250" s="6" t="s">
        <v>123</v>
      </c>
      <c r="V250" s="6" t="s">
        <v>1017</v>
      </c>
      <c r="W250" s="6" t="s">
        <v>353</v>
      </c>
      <c r="X250" s="6" t="s">
        <v>247</v>
      </c>
      <c r="Y250" s="6">
        <v>2971604093</v>
      </c>
      <c r="Z250" s="6" t="s">
        <v>59</v>
      </c>
      <c r="AA250" s="6" t="s">
        <v>83</v>
      </c>
      <c r="AB250" s="6">
        <v>3329.18</v>
      </c>
      <c r="AC250" s="6">
        <v>0</v>
      </c>
      <c r="AD250" s="6">
        <v>815.53</v>
      </c>
      <c r="AE250" s="6">
        <v>0</v>
      </c>
      <c r="AF250" s="6">
        <v>0</v>
      </c>
      <c r="AG250" s="6">
        <v>0</v>
      </c>
      <c r="AH250" s="6">
        <v>19.29</v>
      </c>
      <c r="AI250" s="6" t="s">
        <v>248</v>
      </c>
      <c r="AJ250" s="6" t="s">
        <v>1117</v>
      </c>
      <c r="AK250" s="6" t="s">
        <v>16</v>
      </c>
      <c r="AL250" s="6" t="s">
        <v>51</v>
      </c>
      <c r="AM250" s="6" t="s">
        <v>342</v>
      </c>
      <c r="AN250" s="6" t="s">
        <v>26</v>
      </c>
      <c r="AO250" s="6" t="s">
        <v>250</v>
      </c>
      <c r="AP250" s="6" t="s">
        <v>262</v>
      </c>
      <c r="AQ250" s="6" t="s">
        <v>24</v>
      </c>
    </row>
    <row r="251" spans="1:43" x14ac:dyDescent="0.25">
      <c r="A251" s="6">
        <v>22725686</v>
      </c>
      <c r="B251" s="6">
        <v>23523911</v>
      </c>
      <c r="C251" s="6" t="s">
        <v>237</v>
      </c>
      <c r="D251" s="14">
        <v>45880.816678240742</v>
      </c>
      <c r="E251" s="14">
        <v>45881.243657407409</v>
      </c>
      <c r="F251" s="6" t="s">
        <v>17</v>
      </c>
      <c r="G251" s="6" t="s">
        <v>17</v>
      </c>
      <c r="H251" s="6" t="s">
        <v>1118</v>
      </c>
      <c r="I251" s="6" t="s">
        <v>16</v>
      </c>
      <c r="J251" s="6" t="s">
        <v>1119</v>
      </c>
      <c r="K251" s="6" t="s">
        <v>359</v>
      </c>
      <c r="L251" s="6" t="s">
        <v>372</v>
      </c>
      <c r="M251" s="14">
        <v>45875.395138888889</v>
      </c>
      <c r="N251" s="6" t="s">
        <v>1118</v>
      </c>
      <c r="O251" s="6" t="s">
        <v>83</v>
      </c>
      <c r="P251" s="6" t="s">
        <v>242</v>
      </c>
      <c r="Q251" s="6" t="s">
        <v>256</v>
      </c>
      <c r="R251" s="6" t="s">
        <v>424</v>
      </c>
      <c r="S251" s="6" t="s">
        <v>7</v>
      </c>
      <c r="T251" s="6" t="s">
        <v>245</v>
      </c>
      <c r="U251" s="6" t="s">
        <v>123</v>
      </c>
      <c r="V251" s="6" t="s">
        <v>993</v>
      </c>
      <c r="W251" s="6" t="s">
        <v>353</v>
      </c>
      <c r="X251" s="6" t="s">
        <v>1052</v>
      </c>
      <c r="Y251" s="6">
        <v>2971604083</v>
      </c>
      <c r="Z251" s="6" t="s">
        <v>59</v>
      </c>
      <c r="AA251" s="6" t="s">
        <v>83</v>
      </c>
      <c r="AB251" s="6">
        <v>1416.59</v>
      </c>
      <c r="AC251" s="6">
        <v>59.54</v>
      </c>
      <c r="AD251" s="6">
        <v>794.2</v>
      </c>
      <c r="AE251" s="6">
        <v>0</v>
      </c>
      <c r="AF251" s="6">
        <v>59.54</v>
      </c>
      <c r="AG251" s="6">
        <v>0</v>
      </c>
      <c r="AH251" s="6">
        <v>19.29</v>
      </c>
      <c r="AI251" s="6" t="s">
        <v>248</v>
      </c>
      <c r="AJ251" s="6" t="s">
        <v>1120</v>
      </c>
      <c r="AK251" s="6" t="s">
        <v>16</v>
      </c>
      <c r="AL251" s="6" t="s">
        <v>51</v>
      </c>
      <c r="AM251" s="6" t="s">
        <v>342</v>
      </c>
      <c r="AN251" s="6" t="s">
        <v>26</v>
      </c>
      <c r="AO251" s="6" t="s">
        <v>250</v>
      </c>
      <c r="AP251" s="6" t="s">
        <v>262</v>
      </c>
      <c r="AQ251" s="6" t="s">
        <v>24</v>
      </c>
    </row>
    <row r="252" spans="1:43" x14ac:dyDescent="0.25">
      <c r="A252" s="6">
        <v>22725687</v>
      </c>
      <c r="B252" s="6">
        <v>23523912</v>
      </c>
      <c r="C252" s="6" t="s">
        <v>237</v>
      </c>
      <c r="D252" s="14">
        <v>45880.816759259258</v>
      </c>
      <c r="E252" s="14">
        <v>45881.243668981479</v>
      </c>
      <c r="F252" s="6" t="s">
        <v>17</v>
      </c>
      <c r="G252" s="6" t="s">
        <v>17</v>
      </c>
      <c r="H252" s="6" t="s">
        <v>1121</v>
      </c>
      <c r="I252" s="6" t="s">
        <v>16</v>
      </c>
      <c r="J252" s="6" t="s">
        <v>1122</v>
      </c>
      <c r="K252" s="6" t="s">
        <v>359</v>
      </c>
      <c r="L252" s="6" t="s">
        <v>372</v>
      </c>
      <c r="M252" s="14">
        <v>45875</v>
      </c>
      <c r="N252" s="6" t="s">
        <v>1121</v>
      </c>
      <c r="O252" s="6" t="s">
        <v>83</v>
      </c>
      <c r="P252" s="6" t="s">
        <v>272</v>
      </c>
      <c r="Q252" s="6" t="s">
        <v>256</v>
      </c>
      <c r="R252" s="6" t="s">
        <v>424</v>
      </c>
      <c r="S252" s="6" t="s">
        <v>7</v>
      </c>
      <c r="T252" s="6" t="s">
        <v>245</v>
      </c>
      <c r="U252" s="6" t="s">
        <v>123</v>
      </c>
      <c r="V252" s="6" t="s">
        <v>989</v>
      </c>
      <c r="W252" s="6" t="s">
        <v>353</v>
      </c>
      <c r="X252" s="6" t="s">
        <v>247</v>
      </c>
      <c r="Y252" s="6">
        <v>2971604090</v>
      </c>
      <c r="Z252" s="6" t="s">
        <v>59</v>
      </c>
      <c r="AA252" s="6" t="s">
        <v>83</v>
      </c>
      <c r="AB252" s="6">
        <v>14953.78</v>
      </c>
      <c r="AC252" s="6">
        <v>139.9</v>
      </c>
      <c r="AD252" s="6">
        <v>1280.05</v>
      </c>
      <c r="AE252" s="6">
        <v>0</v>
      </c>
      <c r="AF252" s="6">
        <v>139.9</v>
      </c>
      <c r="AG252" s="6">
        <v>0</v>
      </c>
      <c r="AH252" s="6">
        <v>19.29</v>
      </c>
      <c r="AI252" s="6" t="s">
        <v>248</v>
      </c>
      <c r="AJ252" s="6" t="s">
        <v>1123</v>
      </c>
      <c r="AK252" s="6" t="s">
        <v>16</v>
      </c>
      <c r="AL252" s="6" t="s">
        <v>51</v>
      </c>
      <c r="AM252" s="6" t="s">
        <v>342</v>
      </c>
      <c r="AN252" s="6" t="s">
        <v>26</v>
      </c>
      <c r="AO252" s="6" t="s">
        <v>250</v>
      </c>
      <c r="AP252" s="6" t="s">
        <v>262</v>
      </c>
      <c r="AQ252" s="6" t="s">
        <v>24</v>
      </c>
    </row>
    <row r="253" spans="1:43" x14ac:dyDescent="0.25">
      <c r="A253" s="6">
        <v>22731402</v>
      </c>
      <c r="B253" s="6">
        <v>23528868</v>
      </c>
      <c r="C253" s="6" t="s">
        <v>237</v>
      </c>
      <c r="D253" s="14">
        <v>45881.743518518517</v>
      </c>
      <c r="E253" s="14">
        <v>45881.744062500002</v>
      </c>
      <c r="F253" s="6" t="s">
        <v>17</v>
      </c>
      <c r="G253" s="6" t="s">
        <v>17</v>
      </c>
      <c r="H253" s="6" t="s">
        <v>1124</v>
      </c>
      <c r="I253" s="6" t="s">
        <v>16</v>
      </c>
      <c r="J253" s="6" t="s">
        <v>1125</v>
      </c>
      <c r="K253" s="6" t="s">
        <v>1067</v>
      </c>
      <c r="L253" s="6" t="s">
        <v>1067</v>
      </c>
      <c r="M253" s="14">
        <v>45881.654861111107</v>
      </c>
      <c r="N253" s="6" t="s">
        <v>1126</v>
      </c>
      <c r="O253" s="6" t="s">
        <v>83</v>
      </c>
      <c r="P253" s="6" t="s">
        <v>272</v>
      </c>
      <c r="Q253" s="6" t="s">
        <v>256</v>
      </c>
      <c r="R253" s="6" t="s">
        <v>424</v>
      </c>
      <c r="S253" s="6" t="s">
        <v>7</v>
      </c>
      <c r="T253" s="6" t="s">
        <v>245</v>
      </c>
      <c r="U253" s="6" t="s">
        <v>123</v>
      </c>
      <c r="V253" s="6" t="s">
        <v>1069</v>
      </c>
      <c r="W253" s="6" t="s">
        <v>83</v>
      </c>
      <c r="X253" s="6" t="s">
        <v>318</v>
      </c>
      <c r="Y253" s="6">
        <v>7700075334</v>
      </c>
      <c r="Z253" s="6" t="s">
        <v>59</v>
      </c>
      <c r="AA253" s="6" t="s">
        <v>83</v>
      </c>
      <c r="AB253" s="6">
        <v>0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248</v>
      </c>
      <c r="AJ253" s="6" t="s">
        <v>762</v>
      </c>
      <c r="AK253" s="6" t="s">
        <v>16</v>
      </c>
      <c r="AL253" s="6" t="s">
        <v>58</v>
      </c>
      <c r="AM253" s="6" t="s">
        <v>74</v>
      </c>
      <c r="AN253" s="6" t="s">
        <v>20</v>
      </c>
      <c r="AO253" s="6" t="s">
        <v>250</v>
      </c>
      <c r="AP253" s="6" t="s">
        <v>251</v>
      </c>
      <c r="AQ253" s="6" t="s">
        <v>33</v>
      </c>
    </row>
    <row r="254" spans="1:43" x14ac:dyDescent="0.25">
      <c r="A254" s="6">
        <v>22731693</v>
      </c>
      <c r="B254" s="6">
        <v>23529149</v>
      </c>
      <c r="C254" s="6" t="s">
        <v>237</v>
      </c>
      <c r="D254" s="14">
        <v>45881.755694444437</v>
      </c>
      <c r="E254" s="14">
        <v>45881.757025462961</v>
      </c>
      <c r="F254" s="6" t="s">
        <v>17</v>
      </c>
      <c r="G254" s="6" t="s">
        <v>17</v>
      </c>
      <c r="H254" s="6" t="s">
        <v>1127</v>
      </c>
      <c r="I254" s="6" t="s">
        <v>16</v>
      </c>
      <c r="J254" s="6" t="s">
        <v>1128</v>
      </c>
      <c r="K254" s="6" t="s">
        <v>1067</v>
      </c>
      <c r="L254" s="6" t="s">
        <v>1067</v>
      </c>
      <c r="M254" s="14">
        <v>45881.663888888892</v>
      </c>
      <c r="N254" s="6" t="s">
        <v>1126</v>
      </c>
      <c r="O254" s="6" t="s">
        <v>83</v>
      </c>
      <c r="P254" s="6" t="s">
        <v>272</v>
      </c>
      <c r="Q254" s="6" t="s">
        <v>256</v>
      </c>
      <c r="R254" s="6" t="s">
        <v>424</v>
      </c>
      <c r="S254" s="6" t="s">
        <v>7</v>
      </c>
      <c r="T254" s="6" t="s">
        <v>245</v>
      </c>
      <c r="U254" s="6" t="s">
        <v>123</v>
      </c>
      <c r="V254" s="6" t="s">
        <v>1069</v>
      </c>
      <c r="W254" s="6" t="s">
        <v>83</v>
      </c>
      <c r="X254" s="6" t="s">
        <v>318</v>
      </c>
      <c r="Y254" s="6">
        <v>7700075343</v>
      </c>
      <c r="Z254" s="6" t="s">
        <v>59</v>
      </c>
      <c r="AA254" s="6" t="s">
        <v>83</v>
      </c>
      <c r="AB254" s="6">
        <v>0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248</v>
      </c>
      <c r="AJ254" s="6" t="s">
        <v>762</v>
      </c>
      <c r="AK254" s="6" t="s">
        <v>16</v>
      </c>
      <c r="AL254" s="6" t="s">
        <v>58</v>
      </c>
      <c r="AM254" s="6" t="s">
        <v>74</v>
      </c>
      <c r="AN254" s="6" t="s">
        <v>20</v>
      </c>
      <c r="AO254" s="6" t="s">
        <v>250</v>
      </c>
      <c r="AP254" s="6" t="s">
        <v>251</v>
      </c>
      <c r="AQ254" s="6" t="s">
        <v>33</v>
      </c>
    </row>
    <row r="255" spans="1:43" x14ac:dyDescent="0.25">
      <c r="A255" s="6">
        <v>22731929</v>
      </c>
      <c r="B255" s="6">
        <v>23529380</v>
      </c>
      <c r="C255" s="6" t="s">
        <v>237</v>
      </c>
      <c r="D255" s="14">
        <v>45881.764131944437</v>
      </c>
      <c r="E255" s="14">
        <v>45881.765162037038</v>
      </c>
      <c r="F255" s="6" t="s">
        <v>17</v>
      </c>
      <c r="G255" s="6" t="s">
        <v>17</v>
      </c>
      <c r="H255" s="6" t="s">
        <v>1129</v>
      </c>
      <c r="I255" s="6" t="s">
        <v>16</v>
      </c>
      <c r="J255" s="6" t="s">
        <v>1130</v>
      </c>
      <c r="K255" s="6" t="s">
        <v>1067</v>
      </c>
      <c r="L255" s="6" t="s">
        <v>1067</v>
      </c>
      <c r="M255" s="14">
        <v>45881.674305555563</v>
      </c>
      <c r="N255" s="6" t="s">
        <v>1126</v>
      </c>
      <c r="O255" s="6" t="s">
        <v>83</v>
      </c>
      <c r="P255" s="6" t="s">
        <v>272</v>
      </c>
      <c r="Q255" s="6" t="s">
        <v>256</v>
      </c>
      <c r="R255" s="6" t="s">
        <v>424</v>
      </c>
      <c r="S255" s="6" t="s">
        <v>7</v>
      </c>
      <c r="T255" s="6" t="s">
        <v>245</v>
      </c>
      <c r="U255" s="6" t="s">
        <v>123</v>
      </c>
      <c r="V255" s="6" t="s">
        <v>1069</v>
      </c>
      <c r="W255" s="6" t="s">
        <v>83</v>
      </c>
      <c r="X255" s="6" t="s">
        <v>318</v>
      </c>
      <c r="Y255" s="6">
        <v>7700075356</v>
      </c>
      <c r="Z255" s="6" t="s">
        <v>59</v>
      </c>
      <c r="AA255" s="6" t="s">
        <v>83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248</v>
      </c>
      <c r="AJ255" s="6" t="s">
        <v>762</v>
      </c>
      <c r="AK255" s="6" t="s">
        <v>16</v>
      </c>
      <c r="AL255" s="6" t="s">
        <v>58</v>
      </c>
      <c r="AM255" s="6" t="s">
        <v>74</v>
      </c>
      <c r="AN255" s="6" t="s">
        <v>20</v>
      </c>
      <c r="AO255" s="6" t="s">
        <v>250</v>
      </c>
      <c r="AP255" s="6" t="s">
        <v>251</v>
      </c>
      <c r="AQ255" s="6" t="s">
        <v>33</v>
      </c>
    </row>
    <row r="256" spans="1:43" x14ac:dyDescent="0.25">
      <c r="A256" s="6">
        <v>22732239</v>
      </c>
      <c r="B256" s="6">
        <v>23529680</v>
      </c>
      <c r="C256" s="6" t="s">
        <v>237</v>
      </c>
      <c r="D256" s="14">
        <v>45881.774583333332</v>
      </c>
      <c r="E256" s="14">
        <v>45881.776875000003</v>
      </c>
      <c r="F256" s="6" t="s">
        <v>17</v>
      </c>
      <c r="G256" s="6" t="s">
        <v>17</v>
      </c>
      <c r="H256" s="6" t="s">
        <v>1131</v>
      </c>
      <c r="I256" s="6" t="s">
        <v>16</v>
      </c>
      <c r="J256" s="6" t="s">
        <v>1130</v>
      </c>
      <c r="K256" s="6" t="s">
        <v>1067</v>
      </c>
      <c r="L256" s="6" t="s">
        <v>1067</v>
      </c>
      <c r="M256" s="14">
        <v>45881.679861111108</v>
      </c>
      <c r="N256" s="6" t="s">
        <v>1126</v>
      </c>
      <c r="O256" s="6" t="s">
        <v>83</v>
      </c>
      <c r="P256" s="6" t="s">
        <v>272</v>
      </c>
      <c r="Q256" s="6" t="s">
        <v>256</v>
      </c>
      <c r="R256" s="6" t="s">
        <v>424</v>
      </c>
      <c r="S256" s="6" t="s">
        <v>7</v>
      </c>
      <c r="T256" s="6" t="s">
        <v>245</v>
      </c>
      <c r="U256" s="6" t="s">
        <v>123</v>
      </c>
      <c r="V256" s="6" t="s">
        <v>1069</v>
      </c>
      <c r="W256" s="6" t="s">
        <v>83</v>
      </c>
      <c r="X256" s="6" t="s">
        <v>318</v>
      </c>
      <c r="Y256" s="6">
        <v>7700075357</v>
      </c>
      <c r="Z256" s="6" t="s">
        <v>59</v>
      </c>
      <c r="AA256" s="6" t="s">
        <v>83</v>
      </c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248</v>
      </c>
      <c r="AJ256" s="6" t="s">
        <v>762</v>
      </c>
      <c r="AK256" s="6" t="s">
        <v>16</v>
      </c>
      <c r="AL256" s="6" t="s">
        <v>58</v>
      </c>
      <c r="AM256" s="6" t="s">
        <v>74</v>
      </c>
      <c r="AN256" s="6" t="s">
        <v>20</v>
      </c>
      <c r="AO256" s="6" t="s">
        <v>250</v>
      </c>
      <c r="AP256" s="6" t="s">
        <v>251</v>
      </c>
      <c r="AQ256" s="6" t="s">
        <v>33</v>
      </c>
    </row>
    <row r="257" spans="1:43" x14ac:dyDescent="0.25">
      <c r="A257" s="6">
        <v>22732735</v>
      </c>
      <c r="B257" s="6">
        <v>23530160</v>
      </c>
      <c r="C257" s="6" t="s">
        <v>237</v>
      </c>
      <c r="D257" s="14">
        <v>45881.795752314807</v>
      </c>
      <c r="E257" s="14">
        <v>45881.798275462963</v>
      </c>
      <c r="F257" s="6" t="s">
        <v>17</v>
      </c>
      <c r="G257" s="6" t="s">
        <v>17</v>
      </c>
      <c r="H257" s="6" t="s">
        <v>1132</v>
      </c>
      <c r="I257" s="6" t="s">
        <v>16</v>
      </c>
      <c r="J257" s="6" t="s">
        <v>1133</v>
      </c>
      <c r="K257" s="6" t="s">
        <v>366</v>
      </c>
      <c r="L257" s="6" t="s">
        <v>1067</v>
      </c>
      <c r="M257" s="14">
        <v>45881</v>
      </c>
      <c r="N257" s="6" t="s">
        <v>1126</v>
      </c>
      <c r="O257" s="6" t="s">
        <v>83</v>
      </c>
      <c r="P257" s="6" t="s">
        <v>242</v>
      </c>
      <c r="Q257" s="6" t="s">
        <v>361</v>
      </c>
      <c r="R257" s="6" t="s">
        <v>339</v>
      </c>
      <c r="S257" s="6" t="s">
        <v>7</v>
      </c>
      <c r="T257" s="6" t="s">
        <v>245</v>
      </c>
      <c r="U257" s="6" t="s">
        <v>123</v>
      </c>
      <c r="V257" s="6" t="s">
        <v>1069</v>
      </c>
      <c r="W257" s="6" t="s">
        <v>83</v>
      </c>
      <c r="X257" s="6" t="s">
        <v>247</v>
      </c>
      <c r="Y257" s="6">
        <v>2952834970</v>
      </c>
      <c r="Z257" s="6" t="s">
        <v>59</v>
      </c>
      <c r="AA257" s="6" t="s">
        <v>83</v>
      </c>
      <c r="AB257" s="6">
        <v>0</v>
      </c>
      <c r="AC257" s="6">
        <v>0</v>
      </c>
      <c r="AD257" s="6">
        <v>450</v>
      </c>
      <c r="AE257" s="6">
        <v>0</v>
      </c>
      <c r="AF257" s="6">
        <v>59.61</v>
      </c>
      <c r="AG257" s="6">
        <v>0</v>
      </c>
      <c r="AH257" s="6">
        <v>0</v>
      </c>
      <c r="AI257" s="6" t="s">
        <v>248</v>
      </c>
      <c r="AJ257" s="6" t="s">
        <v>1134</v>
      </c>
      <c r="AK257" s="6" t="s">
        <v>16</v>
      </c>
      <c r="AL257" s="6" t="s">
        <v>51</v>
      </c>
      <c r="AM257" s="6" t="s">
        <v>342</v>
      </c>
      <c r="AN257" s="6" t="s">
        <v>26</v>
      </c>
      <c r="AO257" s="6" t="s">
        <v>250</v>
      </c>
      <c r="AP257" s="6" t="s">
        <v>262</v>
      </c>
      <c r="AQ257" s="6" t="s">
        <v>24</v>
      </c>
    </row>
    <row r="258" spans="1:43" x14ac:dyDescent="0.25">
      <c r="A258" s="6">
        <v>22722828</v>
      </c>
      <c r="B258" s="6">
        <v>23521138</v>
      </c>
      <c r="C258" s="6" t="s">
        <v>237</v>
      </c>
      <c r="D258" s="14">
        <v>45880.588483796288</v>
      </c>
      <c r="E258" s="14">
        <v>45880.590810185182</v>
      </c>
      <c r="F258" s="6" t="s">
        <v>17</v>
      </c>
      <c r="G258" s="6" t="s">
        <v>17</v>
      </c>
      <c r="H258" s="6" t="s">
        <v>1135</v>
      </c>
      <c r="I258" s="6" t="s">
        <v>13</v>
      </c>
      <c r="J258" s="6" t="s">
        <v>1136</v>
      </c>
      <c r="K258" s="6" t="s">
        <v>605</v>
      </c>
      <c r="L258" s="6" t="s">
        <v>605</v>
      </c>
      <c r="M258" s="14">
        <v>45880.579861111109</v>
      </c>
      <c r="N258" s="6">
        <v>4580114</v>
      </c>
      <c r="O258" s="6" t="s">
        <v>83</v>
      </c>
      <c r="P258" s="6" t="s">
        <v>242</v>
      </c>
      <c r="Q258" s="6" t="s">
        <v>616</v>
      </c>
      <c r="R258" s="6" t="s">
        <v>616</v>
      </c>
      <c r="S258" s="6" t="s">
        <v>9</v>
      </c>
      <c r="T258" s="6" t="s">
        <v>245</v>
      </c>
      <c r="U258" s="6" t="s">
        <v>185</v>
      </c>
      <c r="V258" s="6" t="s">
        <v>1137</v>
      </c>
      <c r="W258" s="6" t="s">
        <v>83</v>
      </c>
      <c r="X258" s="6" t="s">
        <v>83</v>
      </c>
      <c r="Y258" s="6" t="s">
        <v>83</v>
      </c>
      <c r="Z258" s="6" t="s">
        <v>129</v>
      </c>
      <c r="AA258" s="6" t="s">
        <v>83</v>
      </c>
      <c r="AB258" s="6">
        <v>4297.75</v>
      </c>
      <c r="AC258" s="6">
        <v>129.65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1138</v>
      </c>
      <c r="AJ258" s="6" t="s">
        <v>259</v>
      </c>
      <c r="AK258" s="6" t="s">
        <v>13</v>
      </c>
      <c r="AL258" s="6" t="s">
        <v>50</v>
      </c>
      <c r="AM258" s="6" t="s">
        <v>260</v>
      </c>
      <c r="AN258" s="6" t="s">
        <v>20</v>
      </c>
      <c r="AO258" s="6" t="s">
        <v>261</v>
      </c>
      <c r="AP258" s="6" t="s">
        <v>262</v>
      </c>
      <c r="AQ258" s="6" t="s">
        <v>30</v>
      </c>
    </row>
    <row r="259" spans="1:43" x14ac:dyDescent="0.25">
      <c r="A259" s="6">
        <v>22718191</v>
      </c>
      <c r="B259" s="6">
        <v>23517450</v>
      </c>
      <c r="C259" s="6" t="s">
        <v>237</v>
      </c>
      <c r="D259" s="14">
        <v>45879.639305555553</v>
      </c>
      <c r="E259" s="14">
        <v>45881.715914351851</v>
      </c>
      <c r="F259" s="6" t="s">
        <v>17</v>
      </c>
      <c r="G259" s="6" t="s">
        <v>19</v>
      </c>
      <c r="H259" s="6" t="s">
        <v>1139</v>
      </c>
      <c r="I259" s="6" t="s">
        <v>15</v>
      </c>
      <c r="J259" s="6" t="s">
        <v>1140</v>
      </c>
      <c r="K259" s="6" t="s">
        <v>1141</v>
      </c>
      <c r="L259" s="6" t="s">
        <v>1141</v>
      </c>
      <c r="M259" s="14">
        <v>45877.677777777782</v>
      </c>
      <c r="N259" s="6" t="s">
        <v>1142</v>
      </c>
      <c r="O259" s="6" t="s">
        <v>83</v>
      </c>
      <c r="P259" s="6" t="s">
        <v>272</v>
      </c>
      <c r="Q259" s="6" t="s">
        <v>256</v>
      </c>
      <c r="R259" s="6" t="s">
        <v>256</v>
      </c>
      <c r="S259" s="6" t="s">
        <v>7</v>
      </c>
      <c r="T259" s="6" t="s">
        <v>245</v>
      </c>
      <c r="U259" s="6" t="s">
        <v>190</v>
      </c>
      <c r="V259" s="6" t="s">
        <v>1143</v>
      </c>
      <c r="W259" s="6" t="s">
        <v>353</v>
      </c>
      <c r="X259" s="6" t="s">
        <v>318</v>
      </c>
      <c r="Y259" s="6">
        <v>3023517469</v>
      </c>
      <c r="Z259" s="6" t="s">
        <v>111</v>
      </c>
      <c r="AA259" s="6" t="s">
        <v>83</v>
      </c>
      <c r="AB259" s="6">
        <v>671.34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72</v>
      </c>
      <c r="AI259" s="6" t="s">
        <v>83</v>
      </c>
      <c r="AJ259" s="6" t="s">
        <v>1144</v>
      </c>
      <c r="AK259" s="6" t="s">
        <v>15</v>
      </c>
      <c r="AL259" s="6" t="s">
        <v>80</v>
      </c>
      <c r="AM259" s="6" t="s">
        <v>609</v>
      </c>
      <c r="AN259" s="6" t="s">
        <v>39</v>
      </c>
      <c r="AO259" s="6" t="s">
        <v>610</v>
      </c>
      <c r="AP259" s="6" t="s">
        <v>251</v>
      </c>
      <c r="AQ259" s="6" t="s">
        <v>33</v>
      </c>
    </row>
    <row r="260" spans="1:43" x14ac:dyDescent="0.25">
      <c r="A260" s="6">
        <v>22690026</v>
      </c>
      <c r="B260" s="6">
        <v>23493568</v>
      </c>
      <c r="C260" s="6" t="s">
        <v>237</v>
      </c>
      <c r="D260" s="14">
        <v>45874.961759259262</v>
      </c>
      <c r="E260" s="14">
        <v>45874.962118055562</v>
      </c>
      <c r="F260" s="6" t="s">
        <v>21</v>
      </c>
      <c r="G260" s="6" t="s">
        <v>21</v>
      </c>
      <c r="H260" s="6">
        <v>19455517</v>
      </c>
      <c r="I260" s="6" t="s">
        <v>13</v>
      </c>
      <c r="J260" s="6" t="s">
        <v>1145</v>
      </c>
      <c r="K260" s="6" t="s">
        <v>605</v>
      </c>
      <c r="L260" s="6" t="s">
        <v>605</v>
      </c>
      <c r="M260" s="14">
        <v>45874</v>
      </c>
      <c r="N260" s="6">
        <v>4577704</v>
      </c>
      <c r="O260" s="6" t="s">
        <v>83</v>
      </c>
      <c r="P260" s="6" t="s">
        <v>272</v>
      </c>
      <c r="Q260" s="6" t="s">
        <v>616</v>
      </c>
      <c r="R260" s="6" t="s">
        <v>616</v>
      </c>
      <c r="S260" s="6" t="s">
        <v>9</v>
      </c>
      <c r="T260" s="6" t="s">
        <v>245</v>
      </c>
      <c r="U260" s="6" t="s">
        <v>190</v>
      </c>
      <c r="V260" s="6" t="s">
        <v>1143</v>
      </c>
      <c r="W260" s="6" t="s">
        <v>353</v>
      </c>
      <c r="X260" s="6" t="s">
        <v>1146</v>
      </c>
      <c r="Y260" s="6" t="s">
        <v>83</v>
      </c>
      <c r="Z260" s="6" t="s">
        <v>111</v>
      </c>
      <c r="AA260" s="6" t="s">
        <v>83</v>
      </c>
      <c r="AB260" s="6">
        <v>275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1147</v>
      </c>
      <c r="AJ260" s="6" t="s">
        <v>362</v>
      </c>
      <c r="AK260" s="6" t="s">
        <v>13</v>
      </c>
      <c r="AL260" s="6" t="s">
        <v>62</v>
      </c>
      <c r="AM260" s="6" t="s">
        <v>363</v>
      </c>
      <c r="AN260" s="6" t="s">
        <v>20</v>
      </c>
      <c r="AO260" s="6" t="s">
        <v>261</v>
      </c>
      <c r="AP260" s="6" t="s">
        <v>262</v>
      </c>
      <c r="AQ260" s="6" t="s">
        <v>30</v>
      </c>
    </row>
    <row r="261" spans="1:43" x14ac:dyDescent="0.25">
      <c r="A261" s="6">
        <v>22730648</v>
      </c>
      <c r="B261" s="6">
        <v>23528126</v>
      </c>
      <c r="C261" s="6" t="s">
        <v>237</v>
      </c>
      <c r="D261" s="14">
        <v>45881.651018518518</v>
      </c>
      <c r="E261" s="14">
        <v>45881.654421296298</v>
      </c>
      <c r="F261" s="6" t="s">
        <v>17</v>
      </c>
      <c r="G261" s="6" t="s">
        <v>17</v>
      </c>
      <c r="H261" s="6" t="s">
        <v>1148</v>
      </c>
      <c r="I261" s="6" t="s">
        <v>16</v>
      </c>
      <c r="J261" s="6" t="s">
        <v>1149</v>
      </c>
      <c r="K261" s="6" t="s">
        <v>372</v>
      </c>
      <c r="L261" s="6" t="s">
        <v>372</v>
      </c>
      <c r="M261" s="14">
        <v>45881.374305555553</v>
      </c>
      <c r="N261" s="6">
        <v>13755260251</v>
      </c>
      <c r="O261" s="6" t="s">
        <v>83</v>
      </c>
      <c r="P261" s="6" t="s">
        <v>242</v>
      </c>
      <c r="Q261" s="6" t="s">
        <v>243</v>
      </c>
      <c r="R261" s="6" t="s">
        <v>244</v>
      </c>
      <c r="S261" s="6" t="s">
        <v>9</v>
      </c>
      <c r="T261" s="6" t="s">
        <v>245</v>
      </c>
      <c r="U261" s="6" t="s">
        <v>1150</v>
      </c>
      <c r="V261" s="6" t="s">
        <v>1151</v>
      </c>
      <c r="W261" s="6" t="s">
        <v>353</v>
      </c>
      <c r="X261" s="6" t="s">
        <v>83</v>
      </c>
      <c r="Y261" s="6" t="s">
        <v>83</v>
      </c>
      <c r="Z261" s="6" t="s">
        <v>1152</v>
      </c>
      <c r="AA261" s="6" t="s">
        <v>83</v>
      </c>
      <c r="AB261" s="6">
        <v>1684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 t="s">
        <v>248</v>
      </c>
      <c r="AJ261" s="6" t="s">
        <v>362</v>
      </c>
      <c r="AK261" s="6" t="s">
        <v>16</v>
      </c>
      <c r="AL261" s="6" t="s">
        <v>62</v>
      </c>
      <c r="AM261" s="6" t="s">
        <v>363</v>
      </c>
      <c r="AN261" s="6" t="s">
        <v>20</v>
      </c>
      <c r="AO261" s="6" t="s">
        <v>250</v>
      </c>
      <c r="AP261" s="6" t="s">
        <v>251</v>
      </c>
      <c r="AQ261" s="6" t="s">
        <v>18</v>
      </c>
    </row>
    <row r="262" spans="1:43" x14ac:dyDescent="0.25">
      <c r="A262" s="6">
        <v>22730698</v>
      </c>
      <c r="B262" s="6">
        <v>23528177</v>
      </c>
      <c r="C262" s="6" t="s">
        <v>237</v>
      </c>
      <c r="D262" s="14">
        <v>45881.659733796303</v>
      </c>
      <c r="E262" s="14">
        <v>45882.200682870367</v>
      </c>
      <c r="F262" s="6" t="s">
        <v>17</v>
      </c>
      <c r="G262" s="6" t="s">
        <v>17</v>
      </c>
      <c r="H262" s="6" t="s">
        <v>1153</v>
      </c>
      <c r="I262" s="6" t="s">
        <v>16</v>
      </c>
      <c r="J262" s="6" t="s">
        <v>1154</v>
      </c>
      <c r="K262" s="6" t="s">
        <v>366</v>
      </c>
      <c r="L262" s="6" t="s">
        <v>372</v>
      </c>
      <c r="M262" s="14">
        <v>45867.380555555559</v>
      </c>
      <c r="N262" s="6">
        <v>13697091299</v>
      </c>
      <c r="O262" s="6" t="s">
        <v>83</v>
      </c>
      <c r="P262" s="6" t="s">
        <v>242</v>
      </c>
      <c r="Q262" s="6" t="s">
        <v>256</v>
      </c>
      <c r="R262" s="6" t="s">
        <v>256</v>
      </c>
      <c r="S262" s="6" t="s">
        <v>7</v>
      </c>
      <c r="T262" s="6" t="s">
        <v>245</v>
      </c>
      <c r="U262" s="6" t="s">
        <v>1150</v>
      </c>
      <c r="V262" s="6" t="s">
        <v>1151</v>
      </c>
      <c r="W262" s="6" t="s">
        <v>353</v>
      </c>
      <c r="X262" s="6" t="s">
        <v>247</v>
      </c>
      <c r="Y262" s="6">
        <v>2952834968</v>
      </c>
      <c r="Z262" s="6" t="s">
        <v>1152</v>
      </c>
      <c r="AA262" s="6" t="s">
        <v>83</v>
      </c>
      <c r="AB262" s="6">
        <v>0</v>
      </c>
      <c r="AC262" s="6">
        <v>0</v>
      </c>
      <c r="AD262" s="6">
        <v>450</v>
      </c>
      <c r="AE262" s="6">
        <v>0</v>
      </c>
      <c r="AF262" s="6">
        <v>31.44</v>
      </c>
      <c r="AG262" s="6">
        <v>0</v>
      </c>
      <c r="AH262" s="6">
        <v>24.85</v>
      </c>
      <c r="AI262" s="6" t="s">
        <v>248</v>
      </c>
      <c r="AJ262" s="6" t="s">
        <v>1155</v>
      </c>
      <c r="AK262" s="6" t="s">
        <v>16</v>
      </c>
      <c r="AL262" s="6" t="s">
        <v>68</v>
      </c>
      <c r="AM262" s="6" t="s">
        <v>421</v>
      </c>
      <c r="AN262" s="6" t="s">
        <v>20</v>
      </c>
      <c r="AO262" s="6" t="s">
        <v>250</v>
      </c>
      <c r="AP262" s="6" t="s">
        <v>251</v>
      </c>
      <c r="AQ262" s="6" t="s">
        <v>33</v>
      </c>
    </row>
    <row r="263" spans="1:43" x14ac:dyDescent="0.25">
      <c r="A263" s="6">
        <v>22730698</v>
      </c>
      <c r="B263" s="6">
        <v>23528178</v>
      </c>
      <c r="C263" s="6" t="s">
        <v>378</v>
      </c>
      <c r="D263" s="14">
        <v>45881.659733796303</v>
      </c>
      <c r="E263" s="14">
        <v>45882.200682870367</v>
      </c>
      <c r="F263" s="6" t="s">
        <v>17</v>
      </c>
      <c r="G263" s="6" t="s">
        <v>17</v>
      </c>
      <c r="H263" s="6" t="s">
        <v>1153</v>
      </c>
      <c r="I263" s="6" t="s">
        <v>16</v>
      </c>
      <c r="J263" s="6" t="s">
        <v>1154</v>
      </c>
      <c r="K263" s="6" t="s">
        <v>366</v>
      </c>
      <c r="L263" s="6" t="s">
        <v>372</v>
      </c>
      <c r="M263" s="14">
        <v>45867.380555555559</v>
      </c>
      <c r="N263" s="6">
        <v>13697091299</v>
      </c>
      <c r="O263" s="6" t="s">
        <v>83</v>
      </c>
      <c r="P263" s="6" t="s">
        <v>242</v>
      </c>
      <c r="Q263" s="6" t="s">
        <v>256</v>
      </c>
      <c r="R263" s="6" t="s">
        <v>256</v>
      </c>
      <c r="S263" s="6" t="s">
        <v>7</v>
      </c>
      <c r="T263" s="6" t="s">
        <v>245</v>
      </c>
      <c r="U263" s="6" t="s">
        <v>1150</v>
      </c>
      <c r="V263" s="6" t="s">
        <v>1151</v>
      </c>
      <c r="W263" s="6" t="s">
        <v>353</v>
      </c>
      <c r="X263" s="6" t="s">
        <v>247</v>
      </c>
      <c r="Y263" s="6">
        <v>2952834968</v>
      </c>
      <c r="Z263" s="6" t="s">
        <v>1152</v>
      </c>
      <c r="AA263" s="6" t="s">
        <v>83</v>
      </c>
      <c r="AB263" s="6">
        <v>0</v>
      </c>
      <c r="AC263" s="6">
        <v>0</v>
      </c>
      <c r="AD263" s="6">
        <v>450</v>
      </c>
      <c r="AE263" s="6">
        <v>0</v>
      </c>
      <c r="AF263" s="6">
        <v>31.44</v>
      </c>
      <c r="AG263" s="6">
        <v>0</v>
      </c>
      <c r="AH263" s="6">
        <v>0</v>
      </c>
      <c r="AI263" s="6" t="s">
        <v>248</v>
      </c>
      <c r="AJ263" s="6" t="s">
        <v>1155</v>
      </c>
      <c r="AK263" s="6" t="s">
        <v>16</v>
      </c>
      <c r="AL263" s="6" t="s">
        <v>68</v>
      </c>
      <c r="AM263" s="6" t="s">
        <v>421</v>
      </c>
      <c r="AN263" s="6" t="s">
        <v>20</v>
      </c>
      <c r="AO263" s="6" t="s">
        <v>250</v>
      </c>
      <c r="AP263" s="6" t="s">
        <v>251</v>
      </c>
      <c r="AQ263" s="6" t="s">
        <v>33</v>
      </c>
    </row>
    <row r="264" spans="1:43" x14ac:dyDescent="0.25">
      <c r="A264" s="6">
        <v>22731260</v>
      </c>
      <c r="B264" s="6">
        <v>23528736</v>
      </c>
      <c r="C264" s="6" t="s">
        <v>237</v>
      </c>
      <c r="D264" s="14">
        <v>45881.726226851853</v>
      </c>
      <c r="E264" s="14">
        <v>45881.729016203702</v>
      </c>
      <c r="F264" s="6" t="s">
        <v>17</v>
      </c>
      <c r="G264" s="6" t="s">
        <v>17</v>
      </c>
      <c r="H264" s="6" t="s">
        <v>1156</v>
      </c>
      <c r="I264" s="6" t="s">
        <v>13</v>
      </c>
      <c r="J264" s="6" t="s">
        <v>1157</v>
      </c>
      <c r="K264" s="6" t="s">
        <v>1158</v>
      </c>
      <c r="L264" s="6" t="s">
        <v>1158</v>
      </c>
      <c r="M264" s="14">
        <v>45866.791666666657</v>
      </c>
      <c r="N264" s="6">
        <v>4573356</v>
      </c>
      <c r="O264" s="6" t="s">
        <v>83</v>
      </c>
      <c r="P264" s="6" t="s">
        <v>272</v>
      </c>
      <c r="Q264" s="6" t="s">
        <v>256</v>
      </c>
      <c r="R264" s="6" t="s">
        <v>256</v>
      </c>
      <c r="S264" s="6" t="s">
        <v>7</v>
      </c>
      <c r="T264" s="6" t="s">
        <v>245</v>
      </c>
      <c r="U264" s="6" t="s">
        <v>1159</v>
      </c>
      <c r="V264" s="6" t="s">
        <v>1160</v>
      </c>
      <c r="W264" s="6" t="s">
        <v>83</v>
      </c>
      <c r="X264" s="6" t="s">
        <v>1161</v>
      </c>
      <c r="Y264" s="6">
        <v>2971547132</v>
      </c>
      <c r="Z264" s="6" t="s">
        <v>89</v>
      </c>
      <c r="AA264" s="6" t="s">
        <v>83</v>
      </c>
      <c r="AB264" s="6">
        <v>8530.0614000000005</v>
      </c>
      <c r="AC264" s="6">
        <v>3652.57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 t="s">
        <v>1162</v>
      </c>
      <c r="AJ264" s="6" t="s">
        <v>1163</v>
      </c>
      <c r="AK264" s="6" t="s">
        <v>13</v>
      </c>
      <c r="AL264" s="6" t="s">
        <v>51</v>
      </c>
      <c r="AM264" s="6" t="s">
        <v>342</v>
      </c>
      <c r="AN264" s="6" t="s">
        <v>26</v>
      </c>
      <c r="AO264" s="6" t="s">
        <v>250</v>
      </c>
      <c r="AP264" s="6" t="s">
        <v>262</v>
      </c>
      <c r="AQ264" s="6" t="s">
        <v>24</v>
      </c>
    </row>
    <row r="265" spans="1:43" x14ac:dyDescent="0.25">
      <c r="A265" s="6">
        <v>22565297</v>
      </c>
      <c r="B265" s="6">
        <v>23389768</v>
      </c>
      <c r="C265" s="6" t="s">
        <v>237</v>
      </c>
      <c r="D265" s="14">
        <v>45853.544872685183</v>
      </c>
      <c r="E265" s="14">
        <v>45853.545740740738</v>
      </c>
      <c r="F265" s="46" t="s">
        <v>27</v>
      </c>
      <c r="G265" s="46" t="s">
        <v>27</v>
      </c>
      <c r="H265" s="6" t="s">
        <v>1164</v>
      </c>
      <c r="I265" s="6" t="s">
        <v>13</v>
      </c>
      <c r="J265" s="6" t="s">
        <v>1165</v>
      </c>
      <c r="K265" s="6" t="s">
        <v>1166</v>
      </c>
      <c r="L265" s="6" t="s">
        <v>1166</v>
      </c>
      <c r="M265" s="14">
        <v>45853.534722222219</v>
      </c>
      <c r="N265" s="6">
        <v>4565213</v>
      </c>
      <c r="O265" s="6" t="s">
        <v>1167</v>
      </c>
      <c r="P265" s="6" t="s">
        <v>272</v>
      </c>
      <c r="Q265" s="6" t="s">
        <v>616</v>
      </c>
      <c r="R265" s="6" t="s">
        <v>616</v>
      </c>
      <c r="S265" s="6" t="s">
        <v>8</v>
      </c>
      <c r="T265" s="6" t="s">
        <v>245</v>
      </c>
      <c r="U265" s="6" t="s">
        <v>156</v>
      </c>
      <c r="V265" s="6" t="s">
        <v>1168</v>
      </c>
      <c r="W265" s="6" t="s">
        <v>83</v>
      </c>
      <c r="X265" s="6" t="s">
        <v>83</v>
      </c>
      <c r="Y265" s="6" t="s">
        <v>83</v>
      </c>
      <c r="Z265" s="6" t="s">
        <v>89</v>
      </c>
      <c r="AA265" s="6" t="s">
        <v>83</v>
      </c>
      <c r="AB265" s="6">
        <v>276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 t="s">
        <v>1169</v>
      </c>
      <c r="AJ265" s="6" t="s">
        <v>259</v>
      </c>
      <c r="AK265" s="6" t="s">
        <v>13</v>
      </c>
      <c r="AL265" s="6" t="s">
        <v>50</v>
      </c>
      <c r="AM265" s="6" t="s">
        <v>260</v>
      </c>
      <c r="AN265" s="6" t="s">
        <v>20</v>
      </c>
      <c r="AO265" s="6" t="s">
        <v>250</v>
      </c>
      <c r="AP265" s="6" t="s">
        <v>251</v>
      </c>
      <c r="AQ265" s="6" t="s">
        <v>18</v>
      </c>
    </row>
    <row r="266" spans="1:43" x14ac:dyDescent="0.25">
      <c r="A266" s="6">
        <v>22695511</v>
      </c>
      <c r="B266" s="6">
        <v>23498358</v>
      </c>
      <c r="C266" s="6" t="s">
        <v>237</v>
      </c>
      <c r="D266" s="14">
        <v>45875.76</v>
      </c>
      <c r="E266" s="14">
        <v>45875.762025462973</v>
      </c>
      <c r="F266" s="6" t="s">
        <v>21</v>
      </c>
      <c r="G266" s="6" t="s">
        <v>21</v>
      </c>
      <c r="H266" s="6" t="s">
        <v>1170</v>
      </c>
      <c r="I266" s="6" t="s">
        <v>13</v>
      </c>
      <c r="J266" s="6" t="s">
        <v>1171</v>
      </c>
      <c r="K266" s="6" t="s">
        <v>605</v>
      </c>
      <c r="L266" s="6" t="s">
        <v>605</v>
      </c>
      <c r="M266" s="14">
        <v>45870.75</v>
      </c>
      <c r="N266" s="6">
        <v>4575525</v>
      </c>
      <c r="O266" s="6" t="s">
        <v>83</v>
      </c>
      <c r="P266" s="6" t="s">
        <v>272</v>
      </c>
      <c r="Q266" s="6" t="s">
        <v>256</v>
      </c>
      <c r="R266" s="6" t="s">
        <v>256</v>
      </c>
      <c r="S266" s="6" t="s">
        <v>7</v>
      </c>
      <c r="T266" s="6" t="s">
        <v>245</v>
      </c>
      <c r="U266" s="6" t="s">
        <v>156</v>
      </c>
      <c r="V266" s="6" t="s">
        <v>1172</v>
      </c>
      <c r="W266" s="6" t="s">
        <v>83</v>
      </c>
      <c r="X266" s="6" t="s">
        <v>998</v>
      </c>
      <c r="Y266" s="6">
        <v>2971228101</v>
      </c>
      <c r="Z266" s="6" t="s">
        <v>89</v>
      </c>
      <c r="AA266" s="6" t="s">
        <v>83</v>
      </c>
      <c r="AB266" s="6">
        <v>32068.2582</v>
      </c>
      <c r="AC266" s="6">
        <v>1492.47</v>
      </c>
      <c r="AD266" s="6">
        <v>0</v>
      </c>
      <c r="AE266" s="6">
        <v>0</v>
      </c>
      <c r="AF266" s="6">
        <v>0</v>
      </c>
      <c r="AG266" s="6">
        <v>0</v>
      </c>
      <c r="AH266" s="6">
        <v>0</v>
      </c>
      <c r="AI266" s="6" t="s">
        <v>1173</v>
      </c>
      <c r="AJ266" s="6" t="s">
        <v>1174</v>
      </c>
      <c r="AK266" s="6" t="s">
        <v>13</v>
      </c>
      <c r="AL266" s="6" t="s">
        <v>51</v>
      </c>
      <c r="AM266" s="6" t="s">
        <v>342</v>
      </c>
      <c r="AN266" s="6" t="s">
        <v>26</v>
      </c>
      <c r="AO266" s="6" t="s">
        <v>250</v>
      </c>
      <c r="AP266" s="6" t="s">
        <v>262</v>
      </c>
      <c r="AQ266" s="6" t="s">
        <v>24</v>
      </c>
    </row>
    <row r="267" spans="1:43" x14ac:dyDescent="0.25">
      <c r="A267" s="6">
        <v>22695721</v>
      </c>
      <c r="B267" s="6">
        <v>23498572</v>
      </c>
      <c r="C267" s="6" t="s">
        <v>237</v>
      </c>
      <c r="D267" s="14">
        <v>45875.766851851848</v>
      </c>
      <c r="E267" s="14">
        <v>45875.769861111112</v>
      </c>
      <c r="F267" s="6" t="s">
        <v>21</v>
      </c>
      <c r="G267" s="6" t="s">
        <v>21</v>
      </c>
      <c r="H267" s="6" t="s">
        <v>1175</v>
      </c>
      <c r="I267" s="6" t="s">
        <v>13</v>
      </c>
      <c r="J267" s="6" t="s">
        <v>1176</v>
      </c>
      <c r="K267" s="6" t="s">
        <v>605</v>
      </c>
      <c r="L267" s="6" t="s">
        <v>605</v>
      </c>
      <c r="M267" s="14">
        <v>45870.75</v>
      </c>
      <c r="N267" s="6">
        <v>4575483</v>
      </c>
      <c r="O267" s="6" t="s">
        <v>83</v>
      </c>
      <c r="P267" s="6" t="s">
        <v>272</v>
      </c>
      <c r="Q267" s="6" t="s">
        <v>256</v>
      </c>
      <c r="R267" s="6" t="s">
        <v>256</v>
      </c>
      <c r="S267" s="6" t="s">
        <v>7</v>
      </c>
      <c r="T267" s="6" t="s">
        <v>245</v>
      </c>
      <c r="U267" s="6" t="s">
        <v>156</v>
      </c>
      <c r="V267" s="6" t="s">
        <v>1172</v>
      </c>
      <c r="W267" s="6" t="s">
        <v>83</v>
      </c>
      <c r="X267" s="6" t="s">
        <v>998</v>
      </c>
      <c r="Y267" s="6">
        <v>2971228100</v>
      </c>
      <c r="Z267" s="6" t="s">
        <v>89</v>
      </c>
      <c r="AA267" s="6" t="s">
        <v>83</v>
      </c>
      <c r="AB267" s="6">
        <v>12428.341200000001</v>
      </c>
      <c r="AC267" s="6">
        <v>1352.38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 t="s">
        <v>1177</v>
      </c>
      <c r="AJ267" s="6" t="s">
        <v>1178</v>
      </c>
      <c r="AK267" s="6" t="s">
        <v>13</v>
      </c>
      <c r="AL267" s="6" t="s">
        <v>51</v>
      </c>
      <c r="AM267" s="6" t="s">
        <v>342</v>
      </c>
      <c r="AN267" s="6" t="s">
        <v>26</v>
      </c>
      <c r="AO267" s="6" t="s">
        <v>250</v>
      </c>
      <c r="AP267" s="6" t="s">
        <v>262</v>
      </c>
      <c r="AQ267" s="6" t="s">
        <v>24</v>
      </c>
    </row>
    <row r="268" spans="1:43" x14ac:dyDescent="0.25">
      <c r="A268" s="6">
        <v>22679659</v>
      </c>
      <c r="B268" s="6">
        <v>23484113</v>
      </c>
      <c r="C268" s="6" t="s">
        <v>237</v>
      </c>
      <c r="D268" s="14">
        <v>45873.671238425923</v>
      </c>
      <c r="E268" s="14">
        <v>45873.673981481479</v>
      </c>
      <c r="F268" s="6" t="s">
        <v>23</v>
      </c>
      <c r="G268" s="6" t="s">
        <v>23</v>
      </c>
      <c r="H268" s="6" t="s">
        <v>1179</v>
      </c>
      <c r="I268" s="6" t="s">
        <v>13</v>
      </c>
      <c r="J268" s="6" t="s">
        <v>1171</v>
      </c>
      <c r="K268" s="6" t="s">
        <v>605</v>
      </c>
      <c r="L268" s="6" t="s">
        <v>605</v>
      </c>
      <c r="M268" s="14">
        <v>45873.665972222218</v>
      </c>
      <c r="N268" s="6">
        <v>4575831</v>
      </c>
      <c r="O268" s="6" t="s">
        <v>1180</v>
      </c>
      <c r="P268" s="6" t="s">
        <v>272</v>
      </c>
      <c r="Q268" s="6" t="s">
        <v>616</v>
      </c>
      <c r="R268" s="6" t="s">
        <v>616</v>
      </c>
      <c r="S268" s="6" t="s">
        <v>8</v>
      </c>
      <c r="T268" s="6" t="s">
        <v>245</v>
      </c>
      <c r="U268" s="6" t="s">
        <v>156</v>
      </c>
      <c r="V268" s="6" t="s">
        <v>1172</v>
      </c>
      <c r="W268" s="6" t="s">
        <v>83</v>
      </c>
      <c r="X268" s="6" t="s">
        <v>83</v>
      </c>
      <c r="Y268" s="6" t="s">
        <v>83</v>
      </c>
      <c r="Z268" s="6" t="s">
        <v>89</v>
      </c>
      <c r="AA268" s="6" t="s">
        <v>83</v>
      </c>
      <c r="AB268" s="6">
        <v>387.8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1181</v>
      </c>
      <c r="AJ268" s="6" t="s">
        <v>259</v>
      </c>
      <c r="AK268" s="6" t="s">
        <v>13</v>
      </c>
      <c r="AL268" s="6" t="s">
        <v>50</v>
      </c>
      <c r="AM268" s="6" t="s">
        <v>260</v>
      </c>
      <c r="AN268" s="6" t="s">
        <v>20</v>
      </c>
      <c r="AO268" s="6" t="s">
        <v>250</v>
      </c>
      <c r="AP268" s="6" t="s">
        <v>251</v>
      </c>
      <c r="AQ268" s="6" t="s">
        <v>18</v>
      </c>
    </row>
    <row r="269" spans="1:43" x14ac:dyDescent="0.25">
      <c r="A269" s="6">
        <v>22568247</v>
      </c>
      <c r="B269" s="6">
        <v>23392640</v>
      </c>
      <c r="C269" s="6" t="s">
        <v>237</v>
      </c>
      <c r="D269" s="14">
        <v>45853.815682870372</v>
      </c>
      <c r="E269" s="14">
        <v>45853.816342592603</v>
      </c>
      <c r="F269" s="46" t="s">
        <v>27</v>
      </c>
      <c r="G269" s="46" t="s">
        <v>27</v>
      </c>
      <c r="H269" s="6" t="s">
        <v>1182</v>
      </c>
      <c r="I269" s="6" t="s">
        <v>13</v>
      </c>
      <c r="J269" s="6" t="s">
        <v>1183</v>
      </c>
      <c r="K269" s="6" t="s">
        <v>605</v>
      </c>
      <c r="L269" s="6" t="s">
        <v>605</v>
      </c>
      <c r="M269" s="14">
        <v>45853.458333333343</v>
      </c>
      <c r="N269" s="6">
        <v>4566694</v>
      </c>
      <c r="O269" s="6" t="s">
        <v>83</v>
      </c>
      <c r="P269" s="6" t="s">
        <v>242</v>
      </c>
      <c r="Q269" s="6" t="s">
        <v>256</v>
      </c>
      <c r="R269" s="6" t="s">
        <v>256</v>
      </c>
      <c r="S269" s="6" t="s">
        <v>9</v>
      </c>
      <c r="T269" s="6" t="s">
        <v>245</v>
      </c>
      <c r="U269" s="6" t="s">
        <v>189</v>
      </c>
      <c r="V269" s="6" t="s">
        <v>1184</v>
      </c>
      <c r="W269" s="6" t="s">
        <v>83</v>
      </c>
      <c r="X269" s="6" t="s">
        <v>83</v>
      </c>
      <c r="Y269" s="6" t="s">
        <v>83</v>
      </c>
      <c r="Z269" s="6" t="s">
        <v>89</v>
      </c>
      <c r="AA269" s="6" t="s">
        <v>83</v>
      </c>
      <c r="AB269" s="6">
        <v>568.79999999999995</v>
      </c>
      <c r="AC269" s="6">
        <v>28.44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 t="s">
        <v>1185</v>
      </c>
      <c r="AJ269" s="6" t="s">
        <v>259</v>
      </c>
      <c r="AK269" s="6" t="s">
        <v>13</v>
      </c>
      <c r="AL269" s="6" t="s">
        <v>50</v>
      </c>
      <c r="AM269" s="6" t="s">
        <v>260</v>
      </c>
      <c r="AN269" s="6" t="s">
        <v>20</v>
      </c>
      <c r="AO269" s="6" t="s">
        <v>261</v>
      </c>
      <c r="AP269" s="6" t="s">
        <v>262</v>
      </c>
      <c r="AQ269" s="6" t="s">
        <v>30</v>
      </c>
    </row>
    <row r="270" spans="1:43" x14ac:dyDescent="0.25">
      <c r="A270" s="6">
        <v>22574376</v>
      </c>
      <c r="B270" s="6">
        <v>23397987</v>
      </c>
      <c r="C270" s="6" t="s">
        <v>237</v>
      </c>
      <c r="D270" s="14">
        <v>45854.780798611107</v>
      </c>
      <c r="E270" s="14">
        <v>45854.781666666669</v>
      </c>
      <c r="F270" s="46" t="s">
        <v>27</v>
      </c>
      <c r="G270" s="46" t="s">
        <v>27</v>
      </c>
      <c r="H270" s="6" t="s">
        <v>1186</v>
      </c>
      <c r="I270" s="6" t="s">
        <v>13</v>
      </c>
      <c r="J270" s="6" t="s">
        <v>1187</v>
      </c>
      <c r="K270" s="6" t="s">
        <v>1188</v>
      </c>
      <c r="L270" s="6" t="s">
        <v>1188</v>
      </c>
      <c r="M270" s="14">
        <v>45854.777083333327</v>
      </c>
      <c r="N270" s="6">
        <v>4564042</v>
      </c>
      <c r="O270" s="6" t="s">
        <v>1189</v>
      </c>
      <c r="P270" s="6" t="s">
        <v>272</v>
      </c>
      <c r="Q270" s="6" t="s">
        <v>243</v>
      </c>
      <c r="R270" s="6" t="s">
        <v>244</v>
      </c>
      <c r="S270" s="6" t="s">
        <v>8</v>
      </c>
      <c r="T270" s="6" t="s">
        <v>245</v>
      </c>
      <c r="U270" s="6" t="s">
        <v>188</v>
      </c>
      <c r="V270" s="6" t="s">
        <v>1190</v>
      </c>
      <c r="W270" s="6" t="s">
        <v>83</v>
      </c>
      <c r="X270" s="6" t="s">
        <v>83</v>
      </c>
      <c r="Y270" s="6" t="s">
        <v>83</v>
      </c>
      <c r="Z270" s="6" t="s">
        <v>122</v>
      </c>
      <c r="AA270" s="6" t="s">
        <v>83</v>
      </c>
      <c r="AB270" s="6">
        <v>1530</v>
      </c>
      <c r="AC270" s="6">
        <v>0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 t="s">
        <v>1191</v>
      </c>
      <c r="AJ270" s="6" t="s">
        <v>259</v>
      </c>
      <c r="AK270" s="6" t="s">
        <v>13</v>
      </c>
      <c r="AL270" s="6" t="s">
        <v>50</v>
      </c>
      <c r="AM270" s="6" t="s">
        <v>260</v>
      </c>
      <c r="AN270" s="6" t="s">
        <v>20</v>
      </c>
      <c r="AO270" s="6" t="s">
        <v>250</v>
      </c>
      <c r="AP270" s="6" t="s">
        <v>251</v>
      </c>
      <c r="AQ270" s="6" t="s">
        <v>18</v>
      </c>
    </row>
    <row r="271" spans="1:43" x14ac:dyDescent="0.25">
      <c r="A271" s="6">
        <v>22688189</v>
      </c>
      <c r="B271" s="6">
        <v>23491831</v>
      </c>
      <c r="C271" s="6" t="s">
        <v>237</v>
      </c>
      <c r="D271" s="14">
        <v>45874.761921296304</v>
      </c>
      <c r="E271" s="14">
        <v>45874.793807870366</v>
      </c>
      <c r="F271" s="6" t="s">
        <v>21</v>
      </c>
      <c r="G271" s="6" t="s">
        <v>21</v>
      </c>
      <c r="H271" s="6" t="s">
        <v>1192</v>
      </c>
      <c r="I271" s="6" t="s">
        <v>253</v>
      </c>
      <c r="J271" s="6" t="s">
        <v>1193</v>
      </c>
      <c r="K271" s="6" t="s">
        <v>255</v>
      </c>
      <c r="L271" s="6" t="s">
        <v>255</v>
      </c>
      <c r="M271" s="14">
        <v>45874.642361111109</v>
      </c>
      <c r="N271" s="6">
        <v>65394</v>
      </c>
      <c r="O271" s="6" t="s">
        <v>83</v>
      </c>
      <c r="P271" s="6" t="s">
        <v>272</v>
      </c>
      <c r="Q271" s="6" t="s">
        <v>256</v>
      </c>
      <c r="R271" s="6" t="s">
        <v>256</v>
      </c>
      <c r="S271" s="6" t="s">
        <v>9</v>
      </c>
      <c r="T271" s="6" t="s">
        <v>245</v>
      </c>
      <c r="U271" s="6" t="s">
        <v>147</v>
      </c>
      <c r="V271" s="6" t="s">
        <v>1194</v>
      </c>
      <c r="W271" s="6" t="s">
        <v>83</v>
      </c>
      <c r="X271" s="6" t="s">
        <v>83</v>
      </c>
      <c r="Y271" s="6" t="s">
        <v>83</v>
      </c>
      <c r="Z271" s="6" t="s">
        <v>100</v>
      </c>
      <c r="AA271" s="6" t="s">
        <v>83</v>
      </c>
      <c r="AB271" s="6">
        <v>125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1195</v>
      </c>
      <c r="AJ271" s="6" t="s">
        <v>259</v>
      </c>
      <c r="AK271" s="6" t="s">
        <v>12</v>
      </c>
      <c r="AL271" s="6" t="s">
        <v>50</v>
      </c>
      <c r="AM271" s="6" t="s">
        <v>260</v>
      </c>
      <c r="AN271" s="6" t="s">
        <v>20</v>
      </c>
      <c r="AO271" s="6" t="s">
        <v>250</v>
      </c>
      <c r="AP271" s="6" t="s">
        <v>251</v>
      </c>
      <c r="AQ271" s="6" t="s">
        <v>18</v>
      </c>
    </row>
    <row r="272" spans="1:43" x14ac:dyDescent="0.25">
      <c r="A272" s="6">
        <v>22688193</v>
      </c>
      <c r="B272" s="6">
        <v>23491835</v>
      </c>
      <c r="C272" s="6" t="s">
        <v>237</v>
      </c>
      <c r="D272" s="14">
        <v>45874.761979166673</v>
      </c>
      <c r="E272" s="14">
        <v>45874.793807870366</v>
      </c>
      <c r="F272" s="6" t="s">
        <v>21</v>
      </c>
      <c r="G272" s="6" t="s">
        <v>21</v>
      </c>
      <c r="H272" s="6" t="s">
        <v>1196</v>
      </c>
      <c r="I272" s="6" t="s">
        <v>253</v>
      </c>
      <c r="J272" s="6" t="s">
        <v>1197</v>
      </c>
      <c r="K272" s="6" t="s">
        <v>255</v>
      </c>
      <c r="L272" s="6" t="s">
        <v>255</v>
      </c>
      <c r="M272" s="14">
        <v>45874.63958333333</v>
      </c>
      <c r="N272" s="6">
        <v>64750</v>
      </c>
      <c r="O272" s="6" t="s">
        <v>83</v>
      </c>
      <c r="P272" s="6" t="s">
        <v>272</v>
      </c>
      <c r="Q272" s="6" t="s">
        <v>256</v>
      </c>
      <c r="R272" s="6" t="s">
        <v>256</v>
      </c>
      <c r="S272" s="6" t="s">
        <v>9</v>
      </c>
      <c r="T272" s="6" t="s">
        <v>245</v>
      </c>
      <c r="U272" s="6" t="s">
        <v>147</v>
      </c>
      <c r="V272" s="6" t="s">
        <v>1194</v>
      </c>
      <c r="W272" s="6" t="s">
        <v>83</v>
      </c>
      <c r="X272" s="6" t="s">
        <v>83</v>
      </c>
      <c r="Y272" s="6" t="s">
        <v>83</v>
      </c>
      <c r="Z272" s="6" t="s">
        <v>100</v>
      </c>
      <c r="AA272" s="6" t="s">
        <v>83</v>
      </c>
      <c r="AB272" s="6">
        <v>215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1198</v>
      </c>
      <c r="AJ272" s="6" t="s">
        <v>259</v>
      </c>
      <c r="AK272" s="6" t="s">
        <v>12</v>
      </c>
      <c r="AL272" s="6" t="s">
        <v>50</v>
      </c>
      <c r="AM272" s="6" t="s">
        <v>260</v>
      </c>
      <c r="AN272" s="6" t="s">
        <v>20</v>
      </c>
      <c r="AO272" s="6" t="s">
        <v>250</v>
      </c>
      <c r="AP272" s="6" t="s">
        <v>251</v>
      </c>
      <c r="AQ272" s="6" t="s">
        <v>18</v>
      </c>
    </row>
    <row r="273" spans="1:43" x14ac:dyDescent="0.25">
      <c r="A273" s="6">
        <v>22688196</v>
      </c>
      <c r="B273" s="6">
        <v>23491839</v>
      </c>
      <c r="C273" s="6" t="s">
        <v>237</v>
      </c>
      <c r="D273" s="14">
        <v>45874.762141203697</v>
      </c>
      <c r="E273" s="14">
        <v>45874.793958333343</v>
      </c>
      <c r="F273" s="6" t="s">
        <v>21</v>
      </c>
      <c r="G273" s="6" t="s">
        <v>21</v>
      </c>
      <c r="H273" s="6" t="s">
        <v>1199</v>
      </c>
      <c r="I273" s="6" t="s">
        <v>253</v>
      </c>
      <c r="J273" s="6" t="s">
        <v>1200</v>
      </c>
      <c r="K273" s="6" t="s">
        <v>255</v>
      </c>
      <c r="L273" s="6" t="s">
        <v>255</v>
      </c>
      <c r="M273" s="14">
        <v>45874.631249999999</v>
      </c>
      <c r="N273" s="6">
        <v>60403</v>
      </c>
      <c r="O273" s="6" t="s">
        <v>83</v>
      </c>
      <c r="P273" s="6" t="s">
        <v>272</v>
      </c>
      <c r="Q273" s="6" t="s">
        <v>256</v>
      </c>
      <c r="R273" s="6" t="s">
        <v>256</v>
      </c>
      <c r="S273" s="6" t="s">
        <v>9</v>
      </c>
      <c r="T273" s="6" t="s">
        <v>245</v>
      </c>
      <c r="U273" s="6" t="s">
        <v>147</v>
      </c>
      <c r="V273" s="6" t="s">
        <v>1201</v>
      </c>
      <c r="W273" s="6" t="s">
        <v>83</v>
      </c>
      <c r="X273" s="6" t="s">
        <v>83</v>
      </c>
      <c r="Y273" s="6" t="s">
        <v>83</v>
      </c>
      <c r="Z273" s="6" t="s">
        <v>100</v>
      </c>
      <c r="AA273" s="6" t="s">
        <v>83</v>
      </c>
      <c r="AB273" s="6">
        <v>249.9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1202</v>
      </c>
      <c r="AJ273" s="6" t="s">
        <v>259</v>
      </c>
      <c r="AK273" s="6" t="s">
        <v>12</v>
      </c>
      <c r="AL273" s="6" t="s">
        <v>50</v>
      </c>
      <c r="AM273" s="6" t="s">
        <v>260</v>
      </c>
      <c r="AN273" s="6" t="s">
        <v>20</v>
      </c>
      <c r="AO273" s="6" t="s">
        <v>250</v>
      </c>
      <c r="AP273" s="6" t="s">
        <v>251</v>
      </c>
      <c r="AQ273" s="6" t="s">
        <v>18</v>
      </c>
    </row>
    <row r="274" spans="1:43" x14ac:dyDescent="0.25">
      <c r="A274" s="6">
        <v>22688197</v>
      </c>
      <c r="B274" s="6">
        <v>23491840</v>
      </c>
      <c r="C274" s="6" t="s">
        <v>237</v>
      </c>
      <c r="D274" s="14">
        <v>45874.762199074074</v>
      </c>
      <c r="E274" s="14">
        <v>45874.793969907398</v>
      </c>
      <c r="F274" s="6" t="s">
        <v>21</v>
      </c>
      <c r="G274" s="6" t="s">
        <v>21</v>
      </c>
      <c r="H274" s="6" t="s">
        <v>1203</v>
      </c>
      <c r="I274" s="6" t="s">
        <v>253</v>
      </c>
      <c r="J274" s="6" t="s">
        <v>1200</v>
      </c>
      <c r="K274" s="6" t="s">
        <v>255</v>
      </c>
      <c r="L274" s="6" t="s">
        <v>255</v>
      </c>
      <c r="M274" s="14">
        <v>45874.62777777778</v>
      </c>
      <c r="N274" s="6">
        <v>58141</v>
      </c>
      <c r="O274" s="6" t="s">
        <v>83</v>
      </c>
      <c r="P274" s="6" t="s">
        <v>272</v>
      </c>
      <c r="Q274" s="6" t="s">
        <v>256</v>
      </c>
      <c r="R274" s="6" t="s">
        <v>256</v>
      </c>
      <c r="S274" s="6" t="s">
        <v>9</v>
      </c>
      <c r="T274" s="6" t="s">
        <v>245</v>
      </c>
      <c r="U274" s="6" t="s">
        <v>147</v>
      </c>
      <c r="V274" s="6" t="s">
        <v>1201</v>
      </c>
      <c r="W274" s="6" t="s">
        <v>83</v>
      </c>
      <c r="X274" s="6" t="s">
        <v>83</v>
      </c>
      <c r="Y274" s="6" t="s">
        <v>83</v>
      </c>
      <c r="Z274" s="6" t="s">
        <v>100</v>
      </c>
      <c r="AA274" s="6" t="s">
        <v>83</v>
      </c>
      <c r="AB274" s="6">
        <v>249.9</v>
      </c>
      <c r="AC274" s="6">
        <v>0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 t="s">
        <v>1204</v>
      </c>
      <c r="AJ274" s="6" t="s">
        <v>259</v>
      </c>
      <c r="AK274" s="6" t="s">
        <v>12</v>
      </c>
      <c r="AL274" s="6" t="s">
        <v>50</v>
      </c>
      <c r="AM274" s="6" t="s">
        <v>260</v>
      </c>
      <c r="AN274" s="6" t="s">
        <v>20</v>
      </c>
      <c r="AO274" s="6" t="s">
        <v>250</v>
      </c>
      <c r="AP274" s="6" t="s">
        <v>251</v>
      </c>
      <c r="AQ274" s="6" t="s">
        <v>18</v>
      </c>
    </row>
    <row r="275" spans="1:43" x14ac:dyDescent="0.25">
      <c r="A275" s="6">
        <v>22731826</v>
      </c>
      <c r="B275" s="6">
        <v>23529278</v>
      </c>
      <c r="C275" s="6" t="s">
        <v>237</v>
      </c>
      <c r="D275" s="14">
        <v>45881.760474537034</v>
      </c>
      <c r="E275" s="14">
        <v>45881.772245370368</v>
      </c>
      <c r="F275" s="6" t="s">
        <v>17</v>
      </c>
      <c r="G275" s="6" t="s">
        <v>17</v>
      </c>
      <c r="H275" s="6" t="s">
        <v>1205</v>
      </c>
      <c r="I275" s="6" t="s">
        <v>253</v>
      </c>
      <c r="J275" s="6" t="s">
        <v>1206</v>
      </c>
      <c r="K275" s="6" t="s">
        <v>255</v>
      </c>
      <c r="L275" s="6" t="s">
        <v>255</v>
      </c>
      <c r="M275" s="14">
        <v>45881.624305555553</v>
      </c>
      <c r="N275" s="6">
        <v>76960</v>
      </c>
      <c r="O275" s="6" t="s">
        <v>83</v>
      </c>
      <c r="P275" s="6" t="s">
        <v>272</v>
      </c>
      <c r="Q275" s="6" t="s">
        <v>256</v>
      </c>
      <c r="R275" s="6" t="s">
        <v>256</v>
      </c>
      <c r="S275" s="6" t="s">
        <v>9</v>
      </c>
      <c r="T275" s="6" t="s">
        <v>245</v>
      </c>
      <c r="U275" s="6" t="s">
        <v>147</v>
      </c>
      <c r="V275" s="6" t="s">
        <v>1194</v>
      </c>
      <c r="W275" s="6" t="s">
        <v>83</v>
      </c>
      <c r="X275" s="6" t="s">
        <v>83</v>
      </c>
      <c r="Y275" s="6" t="s">
        <v>83</v>
      </c>
      <c r="Z275" s="6" t="s">
        <v>100</v>
      </c>
      <c r="AA275" s="6" t="s">
        <v>83</v>
      </c>
      <c r="AB275" s="6">
        <v>330</v>
      </c>
      <c r="AC275" s="6">
        <v>0</v>
      </c>
      <c r="AD275" s="6">
        <v>0</v>
      </c>
      <c r="AE275" s="6">
        <v>0</v>
      </c>
      <c r="AF275" s="6">
        <v>0</v>
      </c>
      <c r="AG275" s="6">
        <v>9.9</v>
      </c>
      <c r="AH275" s="6">
        <v>0</v>
      </c>
      <c r="AI275" s="6" t="s">
        <v>1207</v>
      </c>
      <c r="AJ275" s="6" t="s">
        <v>259</v>
      </c>
      <c r="AK275" s="6" t="s">
        <v>12</v>
      </c>
      <c r="AL275" s="6" t="s">
        <v>50</v>
      </c>
      <c r="AM275" s="6" t="s">
        <v>260</v>
      </c>
      <c r="AN275" s="6" t="s">
        <v>20</v>
      </c>
      <c r="AO275" s="6" t="s">
        <v>250</v>
      </c>
      <c r="AP275" s="6" t="s">
        <v>251</v>
      </c>
      <c r="AQ275" s="6" t="s">
        <v>18</v>
      </c>
    </row>
    <row r="276" spans="1:43" x14ac:dyDescent="0.25">
      <c r="A276" s="6">
        <v>22711248</v>
      </c>
      <c r="B276" s="6">
        <v>23512571</v>
      </c>
      <c r="C276" s="6" t="s">
        <v>237</v>
      </c>
      <c r="D276" s="14">
        <v>45877.80023148148</v>
      </c>
      <c r="E276" s="14">
        <v>45877.932476851849</v>
      </c>
      <c r="F276" s="6" t="s">
        <v>19</v>
      </c>
      <c r="G276" s="6" t="s">
        <v>19</v>
      </c>
      <c r="H276" s="6" t="s">
        <v>1208</v>
      </c>
      <c r="I276" s="6" t="s">
        <v>253</v>
      </c>
      <c r="J276" s="6" t="s">
        <v>1209</v>
      </c>
      <c r="K276" s="6" t="s">
        <v>1210</v>
      </c>
      <c r="L276" s="6" t="s">
        <v>1210</v>
      </c>
      <c r="M276" s="14">
        <v>45877.788194444453</v>
      </c>
      <c r="N276" s="6">
        <v>10419</v>
      </c>
      <c r="O276" s="6" t="s">
        <v>83</v>
      </c>
      <c r="P276" s="6" t="s">
        <v>272</v>
      </c>
      <c r="Q276" s="6" t="s">
        <v>256</v>
      </c>
      <c r="R276" s="6" t="s">
        <v>424</v>
      </c>
      <c r="S276" s="6" t="s">
        <v>7</v>
      </c>
      <c r="T276" s="6" t="s">
        <v>245</v>
      </c>
      <c r="U276" s="6" t="s">
        <v>135</v>
      </c>
      <c r="V276" s="6" t="s">
        <v>1211</v>
      </c>
      <c r="W276" s="6" t="s">
        <v>83</v>
      </c>
      <c r="X276" s="6" t="s">
        <v>306</v>
      </c>
      <c r="Y276" s="6">
        <v>2143001095</v>
      </c>
      <c r="Z276" s="6" t="s">
        <v>77</v>
      </c>
      <c r="AA276" s="6" t="s">
        <v>83</v>
      </c>
      <c r="AB276" s="6">
        <v>1</v>
      </c>
      <c r="AC276" s="6">
        <v>1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1212</v>
      </c>
      <c r="AJ276" s="6" t="s">
        <v>307</v>
      </c>
      <c r="AK276" s="6" t="s">
        <v>12</v>
      </c>
      <c r="AL276" s="6" t="s">
        <v>60</v>
      </c>
      <c r="AM276" s="6" t="s">
        <v>308</v>
      </c>
      <c r="AN276" s="6" t="s">
        <v>26</v>
      </c>
      <c r="AO276" s="6" t="s">
        <v>250</v>
      </c>
      <c r="AP276" s="6" t="s">
        <v>262</v>
      </c>
      <c r="AQ276" s="6" t="s">
        <v>24</v>
      </c>
    </row>
    <row r="277" spans="1:43" x14ac:dyDescent="0.25">
      <c r="A277" s="6">
        <v>22732785</v>
      </c>
      <c r="B277" s="6">
        <v>23530210</v>
      </c>
      <c r="C277" s="6" t="s">
        <v>237</v>
      </c>
      <c r="D277" s="14">
        <v>45881.798182870371</v>
      </c>
      <c r="E277" s="14">
        <v>45881.862210648149</v>
      </c>
      <c r="F277" s="6" t="s">
        <v>17</v>
      </c>
      <c r="G277" s="6" t="s">
        <v>17</v>
      </c>
      <c r="H277" s="6" t="s">
        <v>1213</v>
      </c>
      <c r="I277" s="6" t="s">
        <v>253</v>
      </c>
      <c r="J277" s="6" t="s">
        <v>1214</v>
      </c>
      <c r="K277" s="6" t="s">
        <v>255</v>
      </c>
      <c r="L277" s="6" t="s">
        <v>255</v>
      </c>
      <c r="M277" s="14">
        <v>45881.636111111111</v>
      </c>
      <c r="N277" s="6">
        <v>10428</v>
      </c>
      <c r="O277" s="6" t="s">
        <v>83</v>
      </c>
      <c r="P277" s="6" t="s">
        <v>242</v>
      </c>
      <c r="Q277" s="6" t="s">
        <v>256</v>
      </c>
      <c r="R277" s="6" t="s">
        <v>256</v>
      </c>
      <c r="S277" s="6" t="s">
        <v>9</v>
      </c>
      <c r="T277" s="6" t="s">
        <v>245</v>
      </c>
      <c r="U277" s="6" t="s">
        <v>135</v>
      </c>
      <c r="V277" s="6" t="s">
        <v>1211</v>
      </c>
      <c r="W277" s="6" t="s">
        <v>83</v>
      </c>
      <c r="X277" s="6" t="s">
        <v>83</v>
      </c>
      <c r="Y277" s="6" t="s">
        <v>83</v>
      </c>
      <c r="Z277" s="6" t="s">
        <v>77</v>
      </c>
      <c r="AA277" s="6" t="s">
        <v>83</v>
      </c>
      <c r="AB277" s="6">
        <v>2597.4499999999998</v>
      </c>
      <c r="AC277" s="6">
        <v>0</v>
      </c>
      <c r="AD277" s="6">
        <v>0</v>
      </c>
      <c r="AE277" s="6">
        <v>0</v>
      </c>
      <c r="AF277" s="6">
        <v>0</v>
      </c>
      <c r="AG277" s="6">
        <v>545.51</v>
      </c>
      <c r="AH277" s="6">
        <v>0</v>
      </c>
      <c r="AI277" s="6" t="s">
        <v>1215</v>
      </c>
      <c r="AJ277" s="6" t="s">
        <v>259</v>
      </c>
      <c r="AK277" s="6" t="s">
        <v>12</v>
      </c>
      <c r="AL277" s="6" t="s">
        <v>50</v>
      </c>
      <c r="AM277" s="6" t="s">
        <v>260</v>
      </c>
      <c r="AN277" s="6" t="s">
        <v>20</v>
      </c>
      <c r="AO277" s="6" t="s">
        <v>261</v>
      </c>
      <c r="AP277" s="6" t="s">
        <v>262</v>
      </c>
      <c r="AQ277" s="6" t="s">
        <v>30</v>
      </c>
    </row>
    <row r="278" spans="1:43" x14ac:dyDescent="0.25">
      <c r="A278" s="6">
        <v>22732757</v>
      </c>
      <c r="B278" s="6">
        <v>23530182</v>
      </c>
      <c r="C278" s="6" t="s">
        <v>237</v>
      </c>
      <c r="D278" s="14">
        <v>45881.7969212963</v>
      </c>
      <c r="E278" s="14">
        <v>45881.929930555547</v>
      </c>
      <c r="F278" s="6" t="s">
        <v>17</v>
      </c>
      <c r="G278" s="6" t="s">
        <v>17</v>
      </c>
      <c r="H278" s="6" t="s">
        <v>1216</v>
      </c>
      <c r="I278" s="6" t="s">
        <v>253</v>
      </c>
      <c r="J278" s="6" t="s">
        <v>1217</v>
      </c>
      <c r="K278" s="6" t="s">
        <v>255</v>
      </c>
      <c r="L278" s="6" t="s">
        <v>255</v>
      </c>
      <c r="M278" s="14">
        <v>45881.674305555563</v>
      </c>
      <c r="N278" s="6">
        <v>10540</v>
      </c>
      <c r="O278" s="6" t="s">
        <v>1218</v>
      </c>
      <c r="P278" s="6" t="s">
        <v>242</v>
      </c>
      <c r="Q278" s="6" t="s">
        <v>243</v>
      </c>
      <c r="R278" s="6" t="s">
        <v>244</v>
      </c>
      <c r="S278" s="6" t="s">
        <v>8</v>
      </c>
      <c r="T278" s="6" t="s">
        <v>245</v>
      </c>
      <c r="U278" s="6" t="s">
        <v>135</v>
      </c>
      <c r="V278" s="6" t="s">
        <v>1211</v>
      </c>
      <c r="W278" s="6" t="s">
        <v>83</v>
      </c>
      <c r="X278" s="6" t="s">
        <v>83</v>
      </c>
      <c r="Y278" s="6" t="s">
        <v>83</v>
      </c>
      <c r="Z278" s="6" t="s">
        <v>77</v>
      </c>
      <c r="AA278" s="6" t="s">
        <v>83</v>
      </c>
      <c r="AB278" s="6">
        <v>170.70500000000001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1219</v>
      </c>
      <c r="AJ278" s="6" t="s">
        <v>259</v>
      </c>
      <c r="AK278" s="6" t="s">
        <v>12</v>
      </c>
      <c r="AL278" s="6" t="s">
        <v>50</v>
      </c>
      <c r="AM278" s="6" t="s">
        <v>260</v>
      </c>
      <c r="AN278" s="6" t="s">
        <v>20</v>
      </c>
      <c r="AO278" s="6" t="s">
        <v>250</v>
      </c>
      <c r="AP278" s="6" t="s">
        <v>251</v>
      </c>
      <c r="AQ278" s="6" t="s">
        <v>18</v>
      </c>
    </row>
    <row r="279" spans="1:43" x14ac:dyDescent="0.25">
      <c r="A279" s="6">
        <v>22732761</v>
      </c>
      <c r="B279" s="6">
        <v>23530186</v>
      </c>
      <c r="C279" s="6" t="s">
        <v>237</v>
      </c>
      <c r="D279" s="14">
        <v>45881.797118055547</v>
      </c>
      <c r="E279" s="14">
        <v>45881.929942129631</v>
      </c>
      <c r="F279" s="6" t="s">
        <v>17</v>
      </c>
      <c r="G279" s="6" t="s">
        <v>17</v>
      </c>
      <c r="H279" s="6" t="s">
        <v>1220</v>
      </c>
      <c r="I279" s="6" t="s">
        <v>253</v>
      </c>
      <c r="J279" s="6" t="s">
        <v>1221</v>
      </c>
      <c r="K279" s="6" t="s">
        <v>255</v>
      </c>
      <c r="L279" s="6" t="s">
        <v>255</v>
      </c>
      <c r="M279" s="14">
        <v>45881.667361111111</v>
      </c>
      <c r="N279" s="6">
        <v>10536</v>
      </c>
      <c r="O279" s="6" t="s">
        <v>1222</v>
      </c>
      <c r="P279" s="6" t="s">
        <v>242</v>
      </c>
      <c r="Q279" s="6" t="s">
        <v>243</v>
      </c>
      <c r="R279" s="6" t="s">
        <v>244</v>
      </c>
      <c r="S279" s="6" t="s">
        <v>8</v>
      </c>
      <c r="T279" s="6" t="s">
        <v>245</v>
      </c>
      <c r="U279" s="6" t="s">
        <v>135</v>
      </c>
      <c r="V279" s="6" t="s">
        <v>1211</v>
      </c>
      <c r="W279" s="6" t="s">
        <v>83</v>
      </c>
      <c r="X279" s="6" t="s">
        <v>83</v>
      </c>
      <c r="Y279" s="6" t="s">
        <v>83</v>
      </c>
      <c r="Z279" s="6" t="s">
        <v>77</v>
      </c>
      <c r="AA279" s="6" t="s">
        <v>83</v>
      </c>
      <c r="AB279" s="6">
        <v>231.53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1223</v>
      </c>
      <c r="AJ279" s="6" t="s">
        <v>259</v>
      </c>
      <c r="AK279" s="6" t="s">
        <v>12</v>
      </c>
      <c r="AL279" s="6" t="s">
        <v>50</v>
      </c>
      <c r="AM279" s="6" t="s">
        <v>260</v>
      </c>
      <c r="AN279" s="6" t="s">
        <v>20</v>
      </c>
      <c r="AO279" s="6" t="s">
        <v>250</v>
      </c>
      <c r="AP279" s="6" t="s">
        <v>251</v>
      </c>
      <c r="AQ279" s="6" t="s">
        <v>18</v>
      </c>
    </row>
    <row r="280" spans="1:43" x14ac:dyDescent="0.25">
      <c r="A280" s="6">
        <v>22732770</v>
      </c>
      <c r="B280" s="6">
        <v>23530195</v>
      </c>
      <c r="C280" s="6" t="s">
        <v>237</v>
      </c>
      <c r="D280" s="14">
        <v>45881.797546296293</v>
      </c>
      <c r="E280" s="14">
        <v>45881.861956018518</v>
      </c>
      <c r="F280" s="6" t="s">
        <v>17</v>
      </c>
      <c r="G280" s="6" t="s">
        <v>17</v>
      </c>
      <c r="H280" s="6" t="s">
        <v>1224</v>
      </c>
      <c r="I280" s="6" t="s">
        <v>253</v>
      </c>
      <c r="J280" s="6" t="s">
        <v>1225</v>
      </c>
      <c r="K280" s="6" t="s">
        <v>255</v>
      </c>
      <c r="L280" s="6" t="s">
        <v>255</v>
      </c>
      <c r="M280" s="14">
        <v>45881.630555555559</v>
      </c>
      <c r="N280" s="6">
        <v>10529</v>
      </c>
      <c r="O280" s="6" t="s">
        <v>638</v>
      </c>
      <c r="P280" s="6" t="s">
        <v>242</v>
      </c>
      <c r="Q280" s="6" t="s">
        <v>243</v>
      </c>
      <c r="R280" s="6" t="s">
        <v>244</v>
      </c>
      <c r="S280" s="6" t="s">
        <v>8</v>
      </c>
      <c r="T280" s="6" t="s">
        <v>245</v>
      </c>
      <c r="U280" s="6" t="s">
        <v>135</v>
      </c>
      <c r="V280" s="6" t="s">
        <v>1211</v>
      </c>
      <c r="W280" s="6" t="s">
        <v>83</v>
      </c>
      <c r="X280" s="6" t="s">
        <v>83</v>
      </c>
      <c r="Y280" s="6" t="s">
        <v>83</v>
      </c>
      <c r="Z280" s="6" t="s">
        <v>77</v>
      </c>
      <c r="AA280" s="6" t="s">
        <v>83</v>
      </c>
      <c r="AB280" s="6">
        <v>556.37120000000004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1226</v>
      </c>
      <c r="AJ280" s="6" t="s">
        <v>259</v>
      </c>
      <c r="AK280" s="6" t="s">
        <v>12</v>
      </c>
      <c r="AL280" s="6" t="s">
        <v>50</v>
      </c>
      <c r="AM280" s="6" t="s">
        <v>260</v>
      </c>
      <c r="AN280" s="6" t="s">
        <v>20</v>
      </c>
      <c r="AO280" s="6" t="s">
        <v>250</v>
      </c>
      <c r="AP280" s="6" t="s">
        <v>251</v>
      </c>
      <c r="AQ280" s="6" t="s">
        <v>18</v>
      </c>
    </row>
    <row r="281" spans="1:43" x14ac:dyDescent="0.25">
      <c r="A281" s="6">
        <v>22729831</v>
      </c>
      <c r="B281" s="6">
        <v>23527371</v>
      </c>
      <c r="C281" s="6" t="s">
        <v>237</v>
      </c>
      <c r="D281" s="14">
        <v>45881.529988425929</v>
      </c>
      <c r="E281" s="14">
        <v>45881.570439814823</v>
      </c>
      <c r="F281" s="6" t="s">
        <v>17</v>
      </c>
      <c r="G281" s="6" t="s">
        <v>17</v>
      </c>
      <c r="H281" s="6" t="s">
        <v>1227</v>
      </c>
      <c r="I281" s="6" t="s">
        <v>253</v>
      </c>
      <c r="J281" s="6" t="s">
        <v>1228</v>
      </c>
      <c r="K281" s="6" t="s">
        <v>255</v>
      </c>
      <c r="L281" s="6" t="s">
        <v>255</v>
      </c>
      <c r="M281" s="14">
        <v>45881.434027777781</v>
      </c>
      <c r="N281" s="6">
        <v>10522</v>
      </c>
      <c r="O281" s="6" t="s">
        <v>629</v>
      </c>
      <c r="P281" s="6" t="s">
        <v>242</v>
      </c>
      <c r="Q281" s="6" t="s">
        <v>243</v>
      </c>
      <c r="R281" s="6" t="s">
        <v>244</v>
      </c>
      <c r="S281" s="6" t="s">
        <v>8</v>
      </c>
      <c r="T281" s="6" t="s">
        <v>245</v>
      </c>
      <c r="U281" s="6" t="s">
        <v>135</v>
      </c>
      <c r="V281" s="6" t="s">
        <v>1211</v>
      </c>
      <c r="W281" s="6" t="s">
        <v>83</v>
      </c>
      <c r="X281" s="6" t="s">
        <v>83</v>
      </c>
      <c r="Y281" s="6" t="s">
        <v>83</v>
      </c>
      <c r="Z281" s="6" t="s">
        <v>77</v>
      </c>
      <c r="AA281" s="6" t="s">
        <v>83</v>
      </c>
      <c r="AB281" s="6">
        <v>393.42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1229</v>
      </c>
      <c r="AJ281" s="6" t="s">
        <v>259</v>
      </c>
      <c r="AK281" s="6" t="s">
        <v>12</v>
      </c>
      <c r="AL281" s="6" t="s">
        <v>50</v>
      </c>
      <c r="AM281" s="6" t="s">
        <v>260</v>
      </c>
      <c r="AN281" s="6" t="s">
        <v>20</v>
      </c>
      <c r="AO281" s="6" t="s">
        <v>250</v>
      </c>
      <c r="AP281" s="6" t="s">
        <v>251</v>
      </c>
      <c r="AQ281" s="6" t="s">
        <v>18</v>
      </c>
    </row>
    <row r="282" spans="1:43" x14ac:dyDescent="0.25">
      <c r="A282" s="6">
        <v>22700933</v>
      </c>
      <c r="B282" s="6">
        <v>23503142</v>
      </c>
      <c r="C282" s="6" t="s">
        <v>237</v>
      </c>
      <c r="D282" s="14">
        <v>45876.537997685176</v>
      </c>
      <c r="E282" s="14">
        <v>45876.561377314807</v>
      </c>
      <c r="F282" s="6" t="s">
        <v>21</v>
      </c>
      <c r="G282" s="6" t="s">
        <v>21</v>
      </c>
      <c r="H282" s="6" t="s">
        <v>1230</v>
      </c>
      <c r="I282" s="6" t="s">
        <v>253</v>
      </c>
      <c r="J282" s="6" t="s">
        <v>1231</v>
      </c>
      <c r="K282" s="6" t="s">
        <v>1232</v>
      </c>
      <c r="L282" s="6" t="s">
        <v>1232</v>
      </c>
      <c r="M282" s="14">
        <v>45876.359027777777</v>
      </c>
      <c r="N282" s="6">
        <v>10120</v>
      </c>
      <c r="O282" s="6" t="s">
        <v>83</v>
      </c>
      <c r="P282" s="6" t="s">
        <v>272</v>
      </c>
      <c r="Q282" s="6" t="s">
        <v>256</v>
      </c>
      <c r="R282" s="6" t="s">
        <v>256</v>
      </c>
      <c r="S282" s="6" t="s">
        <v>9</v>
      </c>
      <c r="T282" s="6" t="s">
        <v>245</v>
      </c>
      <c r="U282" s="6" t="s">
        <v>135</v>
      </c>
      <c r="V282" s="6" t="s">
        <v>1211</v>
      </c>
      <c r="W282" s="6" t="s">
        <v>83</v>
      </c>
      <c r="X282" s="6" t="s">
        <v>83</v>
      </c>
      <c r="Y282" s="6" t="s">
        <v>83</v>
      </c>
      <c r="Z282" s="6" t="s">
        <v>77</v>
      </c>
      <c r="AA282" s="6" t="s">
        <v>83</v>
      </c>
      <c r="AB282" s="6">
        <v>418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1233</v>
      </c>
      <c r="AJ282" s="6" t="s">
        <v>259</v>
      </c>
      <c r="AK282" s="6" t="s">
        <v>12</v>
      </c>
      <c r="AL282" s="6" t="s">
        <v>50</v>
      </c>
      <c r="AM282" s="6" t="s">
        <v>260</v>
      </c>
      <c r="AN282" s="6" t="s">
        <v>20</v>
      </c>
      <c r="AO282" s="6" t="s">
        <v>250</v>
      </c>
      <c r="AP282" s="6" t="s">
        <v>251</v>
      </c>
      <c r="AQ282" s="6" t="s">
        <v>18</v>
      </c>
    </row>
    <row r="283" spans="1:43" x14ac:dyDescent="0.25">
      <c r="A283" s="6">
        <v>22700934</v>
      </c>
      <c r="B283" s="6">
        <v>23503143</v>
      </c>
      <c r="C283" s="6" t="s">
        <v>237</v>
      </c>
      <c r="D283" s="14">
        <v>45876.538043981483</v>
      </c>
      <c r="E283" s="14">
        <v>45876.930162037039</v>
      </c>
      <c r="F283" s="6" t="s">
        <v>21</v>
      </c>
      <c r="G283" s="6" t="s">
        <v>21</v>
      </c>
      <c r="H283" s="6" t="s">
        <v>1234</v>
      </c>
      <c r="I283" s="6" t="s">
        <v>253</v>
      </c>
      <c r="J283" s="6" t="s">
        <v>1221</v>
      </c>
      <c r="K283" s="6" t="s">
        <v>1232</v>
      </c>
      <c r="L283" s="6" t="s">
        <v>1232</v>
      </c>
      <c r="M283" s="14">
        <v>45876.356249999997</v>
      </c>
      <c r="N283" s="6">
        <v>10119</v>
      </c>
      <c r="O283" s="6" t="s">
        <v>83</v>
      </c>
      <c r="P283" s="6" t="s">
        <v>272</v>
      </c>
      <c r="Q283" s="6" t="s">
        <v>256</v>
      </c>
      <c r="R283" s="6" t="s">
        <v>256</v>
      </c>
      <c r="S283" s="6" t="s">
        <v>9</v>
      </c>
      <c r="T283" s="6" t="s">
        <v>245</v>
      </c>
      <c r="U283" s="6" t="s">
        <v>135</v>
      </c>
      <c r="V283" s="6" t="s">
        <v>1211</v>
      </c>
      <c r="W283" s="6" t="s">
        <v>83</v>
      </c>
      <c r="X283" s="6" t="s">
        <v>83</v>
      </c>
      <c r="Y283" s="6" t="s">
        <v>83</v>
      </c>
      <c r="Z283" s="6" t="s">
        <v>77</v>
      </c>
      <c r="AA283" s="6" t="s">
        <v>83</v>
      </c>
      <c r="AB283" s="6">
        <v>418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1235</v>
      </c>
      <c r="AJ283" s="6" t="s">
        <v>259</v>
      </c>
      <c r="AK283" s="6" t="s">
        <v>12</v>
      </c>
      <c r="AL283" s="6" t="s">
        <v>50</v>
      </c>
      <c r="AM283" s="6" t="s">
        <v>260</v>
      </c>
      <c r="AN283" s="6" t="s">
        <v>20</v>
      </c>
      <c r="AO283" s="6" t="s">
        <v>250</v>
      </c>
      <c r="AP283" s="6" t="s">
        <v>251</v>
      </c>
      <c r="AQ283" s="6" t="s">
        <v>18</v>
      </c>
    </row>
    <row r="284" spans="1:43" x14ac:dyDescent="0.25">
      <c r="A284" s="6">
        <v>22732776</v>
      </c>
      <c r="B284" s="6">
        <v>23530201</v>
      </c>
      <c r="C284" s="6" t="s">
        <v>237</v>
      </c>
      <c r="D284" s="14">
        <v>45881.797800925917</v>
      </c>
      <c r="E284" s="14">
        <v>45881.806608796287</v>
      </c>
      <c r="F284" s="6" t="s">
        <v>17</v>
      </c>
      <c r="G284" s="6" t="s">
        <v>17</v>
      </c>
      <c r="H284" s="6" t="s">
        <v>1236</v>
      </c>
      <c r="I284" s="6" t="s">
        <v>253</v>
      </c>
      <c r="J284" s="6" t="s">
        <v>1237</v>
      </c>
      <c r="K284" s="6" t="s">
        <v>1238</v>
      </c>
      <c r="L284" s="6" t="s">
        <v>1238</v>
      </c>
      <c r="M284" s="14">
        <v>45881.631944444453</v>
      </c>
      <c r="N284" s="6">
        <v>10525</v>
      </c>
      <c r="O284" s="6" t="s">
        <v>83</v>
      </c>
      <c r="P284" s="6" t="s">
        <v>272</v>
      </c>
      <c r="Q284" s="6" t="s">
        <v>243</v>
      </c>
      <c r="R284" s="6" t="s">
        <v>244</v>
      </c>
      <c r="S284" s="6" t="s">
        <v>7</v>
      </c>
      <c r="T284" s="6" t="s">
        <v>245</v>
      </c>
      <c r="U284" s="6" t="s">
        <v>135</v>
      </c>
      <c r="V284" s="6" t="s">
        <v>1211</v>
      </c>
      <c r="W284" s="6" t="s">
        <v>83</v>
      </c>
      <c r="X284" s="6" t="s">
        <v>306</v>
      </c>
      <c r="Y284" s="6">
        <v>4432049634</v>
      </c>
      <c r="Z284" s="6" t="s">
        <v>77</v>
      </c>
      <c r="AA284" s="6" t="s">
        <v>83</v>
      </c>
      <c r="AB284" s="6">
        <v>0</v>
      </c>
      <c r="AC284" s="6">
        <v>42.5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1239</v>
      </c>
      <c r="AJ284" s="6" t="s">
        <v>1240</v>
      </c>
      <c r="AK284" s="6" t="s">
        <v>12</v>
      </c>
      <c r="AL284" s="6" t="s">
        <v>58</v>
      </c>
      <c r="AM284" s="6" t="s">
        <v>74</v>
      </c>
      <c r="AN284" s="6" t="s">
        <v>20</v>
      </c>
      <c r="AO284" s="6" t="s">
        <v>250</v>
      </c>
      <c r="AP284" s="6" t="s">
        <v>251</v>
      </c>
      <c r="AQ284" s="6" t="s">
        <v>94</v>
      </c>
    </row>
    <row r="285" spans="1:43" x14ac:dyDescent="0.25">
      <c r="A285" s="6">
        <v>22732783</v>
      </c>
      <c r="B285" s="6">
        <v>23530208</v>
      </c>
      <c r="C285" s="6" t="s">
        <v>237</v>
      </c>
      <c r="D285" s="14">
        <v>45881.798078703701</v>
      </c>
      <c r="E285" s="14">
        <v>45881.862199074072</v>
      </c>
      <c r="F285" s="6" t="s">
        <v>17</v>
      </c>
      <c r="G285" s="6" t="s">
        <v>17</v>
      </c>
      <c r="H285" s="6" t="s">
        <v>1241</v>
      </c>
      <c r="I285" s="6" t="s">
        <v>253</v>
      </c>
      <c r="J285" s="6" t="s">
        <v>1217</v>
      </c>
      <c r="K285" s="6" t="s">
        <v>1238</v>
      </c>
      <c r="L285" s="6" t="s">
        <v>1238</v>
      </c>
      <c r="M285" s="14">
        <v>45881.720833333333</v>
      </c>
      <c r="N285" s="6">
        <v>10498</v>
      </c>
      <c r="O285" s="6" t="s">
        <v>1242</v>
      </c>
      <c r="P285" s="6" t="s">
        <v>272</v>
      </c>
      <c r="Q285" s="6" t="s">
        <v>243</v>
      </c>
      <c r="R285" s="6" t="s">
        <v>244</v>
      </c>
      <c r="S285" s="6" t="s">
        <v>8</v>
      </c>
      <c r="T285" s="6" t="s">
        <v>245</v>
      </c>
      <c r="U285" s="6" t="s">
        <v>135</v>
      </c>
      <c r="V285" s="6" t="s">
        <v>1211</v>
      </c>
      <c r="W285" s="6" t="s">
        <v>83</v>
      </c>
      <c r="X285" s="6" t="s">
        <v>83</v>
      </c>
      <c r="Y285" s="6" t="s">
        <v>83</v>
      </c>
      <c r="Z285" s="6" t="s">
        <v>77</v>
      </c>
      <c r="AA285" s="6" t="s">
        <v>83</v>
      </c>
      <c r="AB285" s="6">
        <v>207.15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1243</v>
      </c>
      <c r="AJ285" s="6" t="s">
        <v>259</v>
      </c>
      <c r="AK285" s="6" t="s">
        <v>12</v>
      </c>
      <c r="AL285" s="6" t="s">
        <v>50</v>
      </c>
      <c r="AM285" s="6" t="s">
        <v>260</v>
      </c>
      <c r="AN285" s="6" t="s">
        <v>20</v>
      </c>
      <c r="AO285" s="6" t="s">
        <v>250</v>
      </c>
      <c r="AP285" s="6" t="s">
        <v>251</v>
      </c>
      <c r="AQ285" s="6" t="s">
        <v>18</v>
      </c>
    </row>
    <row r="286" spans="1:43" x14ac:dyDescent="0.25">
      <c r="A286" s="6">
        <v>22732786</v>
      </c>
      <c r="B286" s="6">
        <v>23530211</v>
      </c>
      <c r="C286" s="6" t="s">
        <v>237</v>
      </c>
      <c r="D286" s="14">
        <v>45881.798217592594</v>
      </c>
      <c r="E286" s="14">
        <v>45881.932268518518</v>
      </c>
      <c r="F286" s="6" t="s">
        <v>17</v>
      </c>
      <c r="G286" s="6" t="s">
        <v>17</v>
      </c>
      <c r="H286" s="6" t="s">
        <v>1244</v>
      </c>
      <c r="I286" s="6" t="s">
        <v>253</v>
      </c>
      <c r="J286" s="6" t="s">
        <v>1245</v>
      </c>
      <c r="K286" s="6" t="s">
        <v>1238</v>
      </c>
      <c r="L286" s="6" t="s">
        <v>1238</v>
      </c>
      <c r="M286" s="14">
        <v>45881.718055555553</v>
      </c>
      <c r="N286" s="6">
        <v>10283</v>
      </c>
      <c r="O286" s="6" t="s">
        <v>629</v>
      </c>
      <c r="P286" s="6" t="s">
        <v>272</v>
      </c>
      <c r="Q286" s="6" t="s">
        <v>243</v>
      </c>
      <c r="R286" s="6" t="s">
        <v>244</v>
      </c>
      <c r="S286" s="6" t="s">
        <v>8</v>
      </c>
      <c r="T286" s="6" t="s">
        <v>245</v>
      </c>
      <c r="U286" s="6" t="s">
        <v>135</v>
      </c>
      <c r="V286" s="6" t="s">
        <v>1211</v>
      </c>
      <c r="W286" s="6" t="s">
        <v>83</v>
      </c>
      <c r="X286" s="6" t="s">
        <v>83</v>
      </c>
      <c r="Y286" s="6" t="s">
        <v>83</v>
      </c>
      <c r="Z286" s="6" t="s">
        <v>77</v>
      </c>
      <c r="AA286" s="6" t="s">
        <v>83</v>
      </c>
      <c r="AB286" s="6">
        <v>220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1246</v>
      </c>
      <c r="AJ286" s="6" t="s">
        <v>259</v>
      </c>
      <c r="AK286" s="6" t="s">
        <v>12</v>
      </c>
      <c r="AL286" s="6" t="s">
        <v>50</v>
      </c>
      <c r="AM286" s="6" t="s">
        <v>260</v>
      </c>
      <c r="AN286" s="6" t="s">
        <v>20</v>
      </c>
      <c r="AO286" s="6" t="s">
        <v>250</v>
      </c>
      <c r="AP286" s="6" t="s">
        <v>251</v>
      </c>
      <c r="AQ286" s="6" t="s">
        <v>18</v>
      </c>
    </row>
    <row r="287" spans="1:43" x14ac:dyDescent="0.25">
      <c r="A287" s="6">
        <v>22732787</v>
      </c>
      <c r="B287" s="6">
        <v>23530212</v>
      </c>
      <c r="C287" s="6" t="s">
        <v>237</v>
      </c>
      <c r="D287" s="14">
        <v>45881.798263888893</v>
      </c>
      <c r="E287" s="14">
        <v>45881.932280092587</v>
      </c>
      <c r="F287" s="6" t="s">
        <v>17</v>
      </c>
      <c r="G287" s="6" t="s">
        <v>17</v>
      </c>
      <c r="H287" s="6" t="s">
        <v>1247</v>
      </c>
      <c r="I287" s="6" t="s">
        <v>253</v>
      </c>
      <c r="J287" s="6" t="s">
        <v>1245</v>
      </c>
      <c r="K287" s="6" t="s">
        <v>1238</v>
      </c>
      <c r="L287" s="6" t="s">
        <v>1238</v>
      </c>
      <c r="M287" s="14">
        <v>45881.71597222222</v>
      </c>
      <c r="N287" s="6">
        <v>10281</v>
      </c>
      <c r="O287" s="6" t="s">
        <v>1222</v>
      </c>
      <c r="P287" s="6" t="s">
        <v>272</v>
      </c>
      <c r="Q287" s="6" t="s">
        <v>243</v>
      </c>
      <c r="R287" s="6" t="s">
        <v>244</v>
      </c>
      <c r="S287" s="6" t="s">
        <v>8</v>
      </c>
      <c r="T287" s="6" t="s">
        <v>245</v>
      </c>
      <c r="U287" s="6" t="s">
        <v>135</v>
      </c>
      <c r="V287" s="6" t="s">
        <v>1211</v>
      </c>
      <c r="W287" s="6" t="s">
        <v>83</v>
      </c>
      <c r="X287" s="6" t="s">
        <v>83</v>
      </c>
      <c r="Y287" s="6" t="s">
        <v>83</v>
      </c>
      <c r="Z287" s="6" t="s">
        <v>77</v>
      </c>
      <c r="AA287" s="6" t="s">
        <v>83</v>
      </c>
      <c r="AB287" s="6">
        <v>777.76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1248</v>
      </c>
      <c r="AJ287" s="6" t="s">
        <v>259</v>
      </c>
      <c r="AK287" s="6" t="s">
        <v>12</v>
      </c>
      <c r="AL287" s="6" t="s">
        <v>50</v>
      </c>
      <c r="AM287" s="6" t="s">
        <v>260</v>
      </c>
      <c r="AN287" s="6" t="s">
        <v>20</v>
      </c>
      <c r="AO287" s="6" t="s">
        <v>250</v>
      </c>
      <c r="AP287" s="6" t="s">
        <v>251</v>
      </c>
      <c r="AQ287" s="6" t="s">
        <v>18</v>
      </c>
    </row>
    <row r="288" spans="1:43" x14ac:dyDescent="0.25">
      <c r="A288" s="6">
        <v>22728522</v>
      </c>
      <c r="B288" s="6">
        <v>23526103</v>
      </c>
      <c r="C288" s="6" t="s">
        <v>237</v>
      </c>
      <c r="D288" s="14">
        <v>45881.420034722221</v>
      </c>
      <c r="E288" s="14">
        <v>45881.428287037037</v>
      </c>
      <c r="F288" s="6" t="s">
        <v>17</v>
      </c>
      <c r="G288" s="6" t="s">
        <v>17</v>
      </c>
      <c r="H288" s="6" t="s">
        <v>1249</v>
      </c>
      <c r="I288" s="6" t="s">
        <v>14</v>
      </c>
      <c r="J288" s="6" t="s">
        <v>1250</v>
      </c>
      <c r="K288" s="6" t="s">
        <v>1251</v>
      </c>
      <c r="L288" s="6" t="s">
        <v>1251</v>
      </c>
      <c r="M288" s="14">
        <v>45880</v>
      </c>
      <c r="N288" s="6">
        <v>17266419</v>
      </c>
      <c r="O288" s="6" t="s">
        <v>83</v>
      </c>
      <c r="P288" s="6" t="s">
        <v>242</v>
      </c>
      <c r="Q288" s="6" t="s">
        <v>256</v>
      </c>
      <c r="R288" s="6" t="s">
        <v>424</v>
      </c>
      <c r="S288" s="6" t="s">
        <v>7</v>
      </c>
      <c r="T288" s="6" t="s">
        <v>245</v>
      </c>
      <c r="U288" s="6" t="s">
        <v>187</v>
      </c>
      <c r="V288" s="6" t="s">
        <v>1252</v>
      </c>
      <c r="W288" s="6" t="s">
        <v>83</v>
      </c>
      <c r="X288" s="6" t="s">
        <v>247</v>
      </c>
      <c r="Y288" s="6">
        <v>2952835556</v>
      </c>
      <c r="Z288" s="6" t="s">
        <v>1253</v>
      </c>
      <c r="AA288" s="6" t="s">
        <v>83</v>
      </c>
      <c r="AB288" s="6">
        <v>1594.03</v>
      </c>
      <c r="AC288" s="6">
        <v>34.11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1254</v>
      </c>
      <c r="AJ288" s="6" t="s">
        <v>1255</v>
      </c>
      <c r="AK288" s="6" t="s">
        <v>14</v>
      </c>
      <c r="AL288" s="6" t="s">
        <v>51</v>
      </c>
      <c r="AM288" s="6" t="s">
        <v>342</v>
      </c>
      <c r="AN288" s="6" t="s">
        <v>26</v>
      </c>
      <c r="AO288" s="6" t="s">
        <v>250</v>
      </c>
      <c r="AP288" s="6" t="s">
        <v>262</v>
      </c>
      <c r="AQ288" s="6" t="s">
        <v>24</v>
      </c>
    </row>
    <row r="289" spans="1:43" x14ac:dyDescent="0.25">
      <c r="A289" s="6">
        <v>22728525</v>
      </c>
      <c r="B289" s="6">
        <v>23526105</v>
      </c>
      <c r="C289" s="6" t="s">
        <v>237</v>
      </c>
      <c r="D289" s="14">
        <v>45881.420069444437</v>
      </c>
      <c r="E289" s="14">
        <v>45881.428310185183</v>
      </c>
      <c r="F289" s="6" t="s">
        <v>17</v>
      </c>
      <c r="G289" s="6" t="s">
        <v>17</v>
      </c>
      <c r="H289" s="6" t="s">
        <v>1256</v>
      </c>
      <c r="I289" s="6" t="s">
        <v>14</v>
      </c>
      <c r="J289" s="6" t="s">
        <v>1257</v>
      </c>
      <c r="K289" s="6" t="s">
        <v>1251</v>
      </c>
      <c r="L289" s="6" t="s">
        <v>1251</v>
      </c>
      <c r="M289" s="14">
        <v>45880</v>
      </c>
      <c r="N289" s="6">
        <v>17266449</v>
      </c>
      <c r="O289" s="6" t="s">
        <v>83</v>
      </c>
      <c r="P289" s="6" t="s">
        <v>242</v>
      </c>
      <c r="Q289" s="6" t="s">
        <v>256</v>
      </c>
      <c r="R289" s="6" t="s">
        <v>424</v>
      </c>
      <c r="S289" s="6" t="s">
        <v>7</v>
      </c>
      <c r="T289" s="6" t="s">
        <v>245</v>
      </c>
      <c r="U289" s="6" t="s">
        <v>187</v>
      </c>
      <c r="V289" s="6" t="s">
        <v>1252</v>
      </c>
      <c r="W289" s="6" t="s">
        <v>83</v>
      </c>
      <c r="X289" s="6" t="s">
        <v>247</v>
      </c>
      <c r="Y289" s="6">
        <v>2952835557</v>
      </c>
      <c r="Z289" s="6" t="s">
        <v>1253</v>
      </c>
      <c r="AA289" s="6" t="s">
        <v>83</v>
      </c>
      <c r="AB289" s="6">
        <v>1594.03</v>
      </c>
      <c r="AC289" s="6">
        <v>34.11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1258</v>
      </c>
      <c r="AJ289" s="6" t="s">
        <v>1259</v>
      </c>
      <c r="AK289" s="6" t="s">
        <v>14</v>
      </c>
      <c r="AL289" s="6" t="s">
        <v>51</v>
      </c>
      <c r="AM289" s="6" t="s">
        <v>342</v>
      </c>
      <c r="AN289" s="6" t="s">
        <v>26</v>
      </c>
      <c r="AO289" s="6" t="s">
        <v>250</v>
      </c>
      <c r="AP289" s="6" t="s">
        <v>262</v>
      </c>
      <c r="AQ289" s="6" t="s">
        <v>24</v>
      </c>
    </row>
    <row r="290" spans="1:43" x14ac:dyDescent="0.25">
      <c r="A290" s="6">
        <v>22706933</v>
      </c>
      <c r="B290" s="6">
        <v>23508378</v>
      </c>
      <c r="C290" s="6" t="s">
        <v>237</v>
      </c>
      <c r="D290" s="14">
        <v>45877.414317129631</v>
      </c>
      <c r="E290" s="14">
        <v>45877.42019675926</v>
      </c>
      <c r="F290" s="6" t="s">
        <v>19</v>
      </c>
      <c r="G290" s="6" t="s">
        <v>19</v>
      </c>
      <c r="H290" s="6" t="s">
        <v>1260</v>
      </c>
      <c r="I290" s="6" t="s">
        <v>13</v>
      </c>
      <c r="J290" s="6" t="s">
        <v>1261</v>
      </c>
      <c r="K290" s="6" t="s">
        <v>1262</v>
      </c>
      <c r="L290" s="6" t="s">
        <v>1262</v>
      </c>
      <c r="M290" s="14">
        <v>45876.572916666657</v>
      </c>
      <c r="N290" s="6">
        <v>4579033</v>
      </c>
      <c r="O290" s="6" t="s">
        <v>83</v>
      </c>
      <c r="P290" s="6" t="s">
        <v>272</v>
      </c>
      <c r="Q290" s="6" t="s">
        <v>243</v>
      </c>
      <c r="R290" s="6" t="s">
        <v>244</v>
      </c>
      <c r="S290" s="6" t="s">
        <v>7</v>
      </c>
      <c r="T290" s="6" t="s">
        <v>245</v>
      </c>
      <c r="U290" s="6" t="s">
        <v>174</v>
      </c>
      <c r="V290" s="6" t="s">
        <v>1263</v>
      </c>
      <c r="W290" s="6" t="s">
        <v>83</v>
      </c>
      <c r="X290" s="6" t="s">
        <v>247</v>
      </c>
      <c r="Y290" s="6">
        <v>2244662996</v>
      </c>
      <c r="Z290" s="6" t="s">
        <v>107</v>
      </c>
      <c r="AA290" s="6" t="s">
        <v>83</v>
      </c>
      <c r="AB290" s="6">
        <v>564.87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1264</v>
      </c>
      <c r="AJ290" s="6" t="s">
        <v>1265</v>
      </c>
      <c r="AK290" s="6" t="s">
        <v>13</v>
      </c>
      <c r="AL290" s="6" t="s">
        <v>51</v>
      </c>
      <c r="AM290" s="6" t="s">
        <v>342</v>
      </c>
      <c r="AN290" s="6" t="s">
        <v>26</v>
      </c>
      <c r="AO290" s="6" t="s">
        <v>250</v>
      </c>
      <c r="AP290" s="6" t="s">
        <v>262</v>
      </c>
      <c r="AQ290" s="6" t="s">
        <v>24</v>
      </c>
    </row>
    <row r="291" spans="1:43" x14ac:dyDescent="0.25">
      <c r="A291" s="6">
        <v>22720944</v>
      </c>
      <c r="B291" s="6">
        <v>23519346</v>
      </c>
      <c r="C291" s="6" t="s">
        <v>237</v>
      </c>
      <c r="D291" s="14">
        <v>45880.384895833333</v>
      </c>
      <c r="E291" s="14">
        <v>45880.397430555553</v>
      </c>
      <c r="F291" s="6" t="s">
        <v>17</v>
      </c>
      <c r="G291" s="6" t="s">
        <v>17</v>
      </c>
      <c r="H291" s="6" t="s">
        <v>1266</v>
      </c>
      <c r="I291" s="6" t="s">
        <v>13</v>
      </c>
      <c r="J291" s="6" t="s">
        <v>1267</v>
      </c>
      <c r="K291" s="6" t="s">
        <v>1262</v>
      </c>
      <c r="L291" s="6" t="s">
        <v>1262</v>
      </c>
      <c r="M291" s="14">
        <v>45877.770833333343</v>
      </c>
      <c r="N291" s="6">
        <v>4579790</v>
      </c>
      <c r="O291" s="6" t="s">
        <v>83</v>
      </c>
      <c r="P291" s="6" t="s">
        <v>272</v>
      </c>
      <c r="Q291" s="6" t="s">
        <v>256</v>
      </c>
      <c r="R291" s="6" t="s">
        <v>424</v>
      </c>
      <c r="S291" s="6" t="s">
        <v>7</v>
      </c>
      <c r="T291" s="6" t="s">
        <v>245</v>
      </c>
      <c r="U291" s="6" t="s">
        <v>174</v>
      </c>
      <c r="V291" s="6" t="s">
        <v>1268</v>
      </c>
      <c r="W291" s="6" t="s">
        <v>83</v>
      </c>
      <c r="X291" s="6" t="s">
        <v>306</v>
      </c>
      <c r="Y291" s="6">
        <v>2142999330</v>
      </c>
      <c r="Z291" s="6" t="s">
        <v>107</v>
      </c>
      <c r="AA291" s="6" t="s">
        <v>83</v>
      </c>
      <c r="AB291" s="6">
        <v>696.83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1269</v>
      </c>
      <c r="AJ291" s="6" t="s">
        <v>1270</v>
      </c>
      <c r="AK291" s="6" t="s">
        <v>13</v>
      </c>
      <c r="AL291" s="6" t="s">
        <v>51</v>
      </c>
      <c r="AM291" s="6" t="s">
        <v>342</v>
      </c>
      <c r="AN291" s="6" t="s">
        <v>26</v>
      </c>
      <c r="AO291" s="6" t="s">
        <v>250</v>
      </c>
      <c r="AP291" s="6" t="s">
        <v>262</v>
      </c>
      <c r="AQ291" s="6" t="s">
        <v>24</v>
      </c>
    </row>
    <row r="292" spans="1:43" x14ac:dyDescent="0.25">
      <c r="A292" s="6">
        <v>22701567</v>
      </c>
      <c r="B292" s="6">
        <v>23503717</v>
      </c>
      <c r="C292" s="6" t="s">
        <v>237</v>
      </c>
      <c r="D292" s="14">
        <v>45876.632592592592</v>
      </c>
      <c r="E292" s="14">
        <v>45876.635752314818</v>
      </c>
      <c r="F292" s="6" t="s">
        <v>21</v>
      </c>
      <c r="G292" s="6" t="s">
        <v>21</v>
      </c>
      <c r="H292" s="6">
        <v>19446829</v>
      </c>
      <c r="I292" s="6" t="s">
        <v>13</v>
      </c>
      <c r="J292" s="6" t="s">
        <v>1271</v>
      </c>
      <c r="K292" s="6" t="s">
        <v>605</v>
      </c>
      <c r="L292" s="6" t="s">
        <v>605</v>
      </c>
      <c r="M292" s="14">
        <v>45873.748611111107</v>
      </c>
      <c r="N292" s="6">
        <v>4576986</v>
      </c>
      <c r="O292" s="6" t="s">
        <v>83</v>
      </c>
      <c r="P292" s="6" t="s">
        <v>272</v>
      </c>
      <c r="Q292" s="6" t="s">
        <v>243</v>
      </c>
      <c r="R292" s="6" t="s">
        <v>244</v>
      </c>
      <c r="S292" s="6" t="s">
        <v>9</v>
      </c>
      <c r="T292" s="6" t="s">
        <v>245</v>
      </c>
      <c r="U292" s="6" t="s">
        <v>169</v>
      </c>
      <c r="V292" s="6" t="s">
        <v>1272</v>
      </c>
      <c r="W292" s="6" t="s">
        <v>83</v>
      </c>
      <c r="X292" s="6" t="s">
        <v>1273</v>
      </c>
      <c r="Y292" s="6" t="s">
        <v>83</v>
      </c>
      <c r="Z292" s="6" t="s">
        <v>104</v>
      </c>
      <c r="AA292" s="6" t="s">
        <v>83</v>
      </c>
      <c r="AB292" s="6">
        <v>524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1274</v>
      </c>
      <c r="AJ292" s="6" t="s">
        <v>1275</v>
      </c>
      <c r="AK292" s="6" t="s">
        <v>13</v>
      </c>
      <c r="AL292" s="6" t="s">
        <v>56</v>
      </c>
      <c r="AM292" s="6" t="s">
        <v>331</v>
      </c>
      <c r="AN292" s="6" t="s">
        <v>20</v>
      </c>
      <c r="AO292" s="6" t="s">
        <v>250</v>
      </c>
      <c r="AP292" s="6" t="s">
        <v>251</v>
      </c>
      <c r="AQ292" s="6" t="s">
        <v>18</v>
      </c>
    </row>
    <row r="293" spans="1:43" x14ac:dyDescent="0.25">
      <c r="A293" s="6">
        <v>22574510</v>
      </c>
      <c r="B293" s="6">
        <v>23398118</v>
      </c>
      <c r="C293" s="6" t="s">
        <v>237</v>
      </c>
      <c r="D293" s="14">
        <v>45854.787685185183</v>
      </c>
      <c r="E293" s="14">
        <v>45854.788912037038</v>
      </c>
      <c r="F293" s="46" t="s">
        <v>27</v>
      </c>
      <c r="G293" s="46" t="s">
        <v>27</v>
      </c>
      <c r="H293" s="6">
        <v>19197258</v>
      </c>
      <c r="I293" s="6" t="s">
        <v>13</v>
      </c>
      <c r="J293" s="6" t="s">
        <v>1276</v>
      </c>
      <c r="K293" s="6" t="s">
        <v>605</v>
      </c>
      <c r="L293" s="6" t="s">
        <v>605</v>
      </c>
      <c r="M293" s="14">
        <v>45854.703472222223</v>
      </c>
      <c r="N293" s="6">
        <v>4567637</v>
      </c>
      <c r="O293" s="6" t="s">
        <v>83</v>
      </c>
      <c r="P293" s="6" t="s">
        <v>242</v>
      </c>
      <c r="Q293" s="6" t="s">
        <v>256</v>
      </c>
      <c r="R293" s="6" t="s">
        <v>256</v>
      </c>
      <c r="S293" s="6" t="s">
        <v>9</v>
      </c>
      <c r="T293" s="6" t="s">
        <v>245</v>
      </c>
      <c r="U293" s="6" t="s">
        <v>169</v>
      </c>
      <c r="V293" s="6" t="s">
        <v>1272</v>
      </c>
      <c r="W293" s="6" t="s">
        <v>83</v>
      </c>
      <c r="X293" s="6" t="s">
        <v>83</v>
      </c>
      <c r="Y293" s="6" t="s">
        <v>83</v>
      </c>
      <c r="Z293" s="6" t="s">
        <v>104</v>
      </c>
      <c r="AA293" s="6" t="s">
        <v>83</v>
      </c>
      <c r="AB293" s="6">
        <v>379.76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1277</v>
      </c>
      <c r="AJ293" s="6" t="s">
        <v>259</v>
      </c>
      <c r="AK293" s="6" t="s">
        <v>13</v>
      </c>
      <c r="AL293" s="6" t="s">
        <v>50</v>
      </c>
      <c r="AM293" s="6" t="s">
        <v>260</v>
      </c>
      <c r="AN293" s="6" t="s">
        <v>20</v>
      </c>
      <c r="AO293" s="6" t="s">
        <v>261</v>
      </c>
      <c r="AP293" s="6" t="s">
        <v>262</v>
      </c>
      <c r="AQ293" s="6" t="s">
        <v>30</v>
      </c>
    </row>
    <row r="294" spans="1:43" x14ac:dyDescent="0.25">
      <c r="A294" s="6">
        <v>22583919</v>
      </c>
      <c r="B294" s="6">
        <v>23405726</v>
      </c>
      <c r="C294" s="6" t="s">
        <v>237</v>
      </c>
      <c r="D294" s="14">
        <v>45856.469826388893</v>
      </c>
      <c r="E294" s="14">
        <v>45856.474421296298</v>
      </c>
      <c r="F294" s="46" t="s">
        <v>27</v>
      </c>
      <c r="G294" s="46" t="s">
        <v>27</v>
      </c>
      <c r="H294" s="6">
        <v>19216215</v>
      </c>
      <c r="I294" s="6" t="s">
        <v>13</v>
      </c>
      <c r="J294" s="6" t="s">
        <v>1278</v>
      </c>
      <c r="K294" s="6" t="s">
        <v>605</v>
      </c>
      <c r="L294" s="6" t="s">
        <v>605</v>
      </c>
      <c r="M294" s="14">
        <v>45855.811805555553</v>
      </c>
      <c r="N294" s="6">
        <v>4568443</v>
      </c>
      <c r="O294" s="6" t="s">
        <v>83</v>
      </c>
      <c r="P294" s="6" t="s">
        <v>242</v>
      </c>
      <c r="Q294" s="6" t="s">
        <v>256</v>
      </c>
      <c r="R294" s="6" t="s">
        <v>256</v>
      </c>
      <c r="S294" s="6" t="s">
        <v>9</v>
      </c>
      <c r="T294" s="6" t="s">
        <v>245</v>
      </c>
      <c r="U294" s="6" t="s">
        <v>169</v>
      </c>
      <c r="V294" s="6" t="s">
        <v>1272</v>
      </c>
      <c r="W294" s="6" t="s">
        <v>83</v>
      </c>
      <c r="X294" s="6" t="s">
        <v>83</v>
      </c>
      <c r="Y294" s="6" t="s">
        <v>83</v>
      </c>
      <c r="Z294" s="6" t="s">
        <v>104</v>
      </c>
      <c r="AA294" s="6" t="s">
        <v>83</v>
      </c>
      <c r="AB294" s="6">
        <v>219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1279</v>
      </c>
      <c r="AJ294" s="6" t="s">
        <v>259</v>
      </c>
      <c r="AK294" s="6" t="s">
        <v>13</v>
      </c>
      <c r="AL294" s="6" t="s">
        <v>50</v>
      </c>
      <c r="AM294" s="6" t="s">
        <v>260</v>
      </c>
      <c r="AN294" s="6" t="s">
        <v>20</v>
      </c>
      <c r="AO294" s="6" t="s">
        <v>261</v>
      </c>
      <c r="AP294" s="6" t="s">
        <v>262</v>
      </c>
      <c r="AQ294" s="6" t="s">
        <v>30</v>
      </c>
    </row>
    <row r="295" spans="1:43" x14ac:dyDescent="0.25">
      <c r="A295" s="6">
        <v>22728593</v>
      </c>
      <c r="B295" s="6">
        <v>23526160</v>
      </c>
      <c r="C295" s="6" t="s">
        <v>237</v>
      </c>
      <c r="D295" s="14">
        <v>45881.427708333344</v>
      </c>
      <c r="E295" s="14">
        <v>45881.430752314824</v>
      </c>
      <c r="F295" s="6" t="s">
        <v>17</v>
      </c>
      <c r="G295" s="6" t="s">
        <v>17</v>
      </c>
      <c r="H295" s="6" t="s">
        <v>1280</v>
      </c>
      <c r="I295" s="6" t="s">
        <v>13</v>
      </c>
      <c r="J295" s="6" t="s">
        <v>1281</v>
      </c>
      <c r="K295" s="6" t="s">
        <v>1282</v>
      </c>
      <c r="L295" s="6" t="s">
        <v>1282</v>
      </c>
      <c r="M295" s="14">
        <v>45881.418055555558</v>
      </c>
      <c r="N295" s="6">
        <v>4578711</v>
      </c>
      <c r="O295" s="6" t="s">
        <v>1283</v>
      </c>
      <c r="P295" s="6" t="s">
        <v>272</v>
      </c>
      <c r="Q295" s="6" t="s">
        <v>243</v>
      </c>
      <c r="R295" s="6" t="s">
        <v>244</v>
      </c>
      <c r="S295" s="6" t="s">
        <v>8</v>
      </c>
      <c r="T295" s="6" t="s">
        <v>245</v>
      </c>
      <c r="U295" s="6" t="s">
        <v>169</v>
      </c>
      <c r="V295" s="6" t="s">
        <v>1272</v>
      </c>
      <c r="W295" s="6" t="s">
        <v>83</v>
      </c>
      <c r="X295" s="6" t="s">
        <v>83</v>
      </c>
      <c r="Y295" s="6" t="s">
        <v>83</v>
      </c>
      <c r="Z295" s="6" t="s">
        <v>104</v>
      </c>
      <c r="AA295" s="6" t="s">
        <v>83</v>
      </c>
      <c r="AB295" s="6">
        <v>534.91999999999996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1284</v>
      </c>
      <c r="AJ295" s="6" t="s">
        <v>259</v>
      </c>
      <c r="AK295" s="6" t="s">
        <v>13</v>
      </c>
      <c r="AL295" s="6" t="s">
        <v>50</v>
      </c>
      <c r="AM295" s="6" t="s">
        <v>260</v>
      </c>
      <c r="AN295" s="6" t="s">
        <v>20</v>
      </c>
      <c r="AO295" s="6" t="s">
        <v>250</v>
      </c>
      <c r="AP295" s="6" t="s">
        <v>251</v>
      </c>
      <c r="AQ295" s="6" t="s">
        <v>18</v>
      </c>
    </row>
    <row r="296" spans="1:43" x14ac:dyDescent="0.25">
      <c r="A296" s="6">
        <v>22680658</v>
      </c>
      <c r="B296" s="6">
        <v>23485133</v>
      </c>
      <c r="C296" s="6" t="s">
        <v>237</v>
      </c>
      <c r="D296" s="14">
        <v>45873.760185185187</v>
      </c>
      <c r="E296" s="14">
        <v>45873.761099537027</v>
      </c>
      <c r="F296" s="6" t="s">
        <v>23</v>
      </c>
      <c r="G296" s="6" t="s">
        <v>23</v>
      </c>
      <c r="H296" s="6">
        <v>4576274</v>
      </c>
      <c r="I296" s="6" t="s">
        <v>13</v>
      </c>
      <c r="J296" s="6" t="s">
        <v>1285</v>
      </c>
      <c r="K296" s="6" t="s">
        <v>1166</v>
      </c>
      <c r="L296" s="6" t="s">
        <v>1166</v>
      </c>
      <c r="M296" s="14">
        <v>45873.75</v>
      </c>
      <c r="N296" s="6">
        <v>4576274</v>
      </c>
      <c r="O296" s="6" t="s">
        <v>83</v>
      </c>
      <c r="P296" s="6" t="s">
        <v>272</v>
      </c>
      <c r="Q296" s="6" t="s">
        <v>256</v>
      </c>
      <c r="R296" s="6" t="s">
        <v>256</v>
      </c>
      <c r="S296" s="6" t="s">
        <v>9</v>
      </c>
      <c r="T296" s="6" t="s">
        <v>245</v>
      </c>
      <c r="U296" s="6" t="s">
        <v>178</v>
      </c>
      <c r="V296" s="6" t="s">
        <v>1286</v>
      </c>
      <c r="W296" s="6" t="s">
        <v>83</v>
      </c>
      <c r="X296" s="6" t="s">
        <v>1287</v>
      </c>
      <c r="Y296" s="6" t="s">
        <v>83</v>
      </c>
      <c r="Z296" s="6" t="s">
        <v>109</v>
      </c>
      <c r="AA296" s="6" t="s">
        <v>83</v>
      </c>
      <c r="AB296" s="6">
        <v>156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1288</v>
      </c>
      <c r="AJ296" s="6" t="s">
        <v>1289</v>
      </c>
      <c r="AK296" s="6" t="s">
        <v>13</v>
      </c>
      <c r="AL296" s="6" t="s">
        <v>56</v>
      </c>
      <c r="AM296" s="6" t="s">
        <v>331</v>
      </c>
      <c r="AN296" s="6" t="s">
        <v>20</v>
      </c>
      <c r="AO296" s="6" t="s">
        <v>250</v>
      </c>
      <c r="AP296" s="6" t="s">
        <v>251</v>
      </c>
      <c r="AQ296" s="6" t="s">
        <v>18</v>
      </c>
    </row>
    <row r="297" spans="1:43" x14ac:dyDescent="0.25">
      <c r="A297" s="6">
        <v>22684230</v>
      </c>
      <c r="B297" s="6">
        <v>23488136</v>
      </c>
      <c r="C297" s="6" t="s">
        <v>237</v>
      </c>
      <c r="D297" s="14">
        <v>45874.336678240739</v>
      </c>
      <c r="E297" s="14">
        <v>45874.33697916667</v>
      </c>
      <c r="F297" s="6" t="s">
        <v>21</v>
      </c>
      <c r="G297" s="6" t="s">
        <v>21</v>
      </c>
      <c r="H297" s="6">
        <v>4576387</v>
      </c>
      <c r="I297" s="6" t="s">
        <v>13</v>
      </c>
      <c r="J297" s="6" t="s">
        <v>1290</v>
      </c>
      <c r="K297" s="6" t="s">
        <v>1166</v>
      </c>
      <c r="L297" s="6" t="s">
        <v>1166</v>
      </c>
      <c r="M297" s="14">
        <v>45873.791666666657</v>
      </c>
      <c r="N297" s="6">
        <v>4576387</v>
      </c>
      <c r="O297" s="6" t="s">
        <v>83</v>
      </c>
      <c r="P297" s="6" t="s">
        <v>272</v>
      </c>
      <c r="Q297" s="6" t="s">
        <v>256</v>
      </c>
      <c r="R297" s="6" t="s">
        <v>256</v>
      </c>
      <c r="S297" s="6" t="s">
        <v>9</v>
      </c>
      <c r="T297" s="6" t="s">
        <v>245</v>
      </c>
      <c r="U297" s="6" t="s">
        <v>178</v>
      </c>
      <c r="V297" s="6" t="s">
        <v>1286</v>
      </c>
      <c r="W297" s="6" t="s">
        <v>83</v>
      </c>
      <c r="X297" s="6" t="s">
        <v>1287</v>
      </c>
      <c r="Y297" s="6" t="s">
        <v>83</v>
      </c>
      <c r="Z297" s="6" t="s">
        <v>109</v>
      </c>
      <c r="AA297" s="6" t="s">
        <v>83</v>
      </c>
      <c r="AB297" s="6">
        <v>156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1291</v>
      </c>
      <c r="AJ297" s="6" t="s">
        <v>1289</v>
      </c>
      <c r="AK297" s="6" t="s">
        <v>13</v>
      </c>
      <c r="AL297" s="6" t="s">
        <v>56</v>
      </c>
      <c r="AM297" s="6" t="s">
        <v>331</v>
      </c>
      <c r="AN297" s="6" t="s">
        <v>20</v>
      </c>
      <c r="AO297" s="6" t="s">
        <v>250</v>
      </c>
      <c r="AP297" s="6" t="s">
        <v>251</v>
      </c>
      <c r="AQ297" s="6" t="s">
        <v>18</v>
      </c>
    </row>
    <row r="298" spans="1:43" x14ac:dyDescent="0.25">
      <c r="A298" s="6">
        <v>22730784</v>
      </c>
      <c r="B298" s="6">
        <v>23528274</v>
      </c>
      <c r="C298" s="6" t="s">
        <v>237</v>
      </c>
      <c r="D298" s="14">
        <v>45881.671620370369</v>
      </c>
      <c r="E298" s="14">
        <v>45881.674212962957</v>
      </c>
      <c r="F298" s="6" t="s">
        <v>17</v>
      </c>
      <c r="G298" s="6" t="s">
        <v>17</v>
      </c>
      <c r="H298" s="6" t="s">
        <v>1292</v>
      </c>
      <c r="I298" s="6" t="s">
        <v>13</v>
      </c>
      <c r="J298" s="6" t="s">
        <v>1293</v>
      </c>
      <c r="K298" s="6" t="s">
        <v>1294</v>
      </c>
      <c r="L298" s="6" t="s">
        <v>1294</v>
      </c>
      <c r="M298" s="14">
        <v>45881.663194444453</v>
      </c>
      <c r="N298" s="6">
        <v>4580640</v>
      </c>
      <c r="O298" s="6" t="s">
        <v>1295</v>
      </c>
      <c r="P298" s="6" t="s">
        <v>272</v>
      </c>
      <c r="Q298" s="6" t="s">
        <v>243</v>
      </c>
      <c r="R298" s="6" t="s">
        <v>244</v>
      </c>
      <c r="S298" s="6" t="s">
        <v>8</v>
      </c>
      <c r="T298" s="6" t="s">
        <v>245</v>
      </c>
      <c r="U298" s="6" t="s">
        <v>178</v>
      </c>
      <c r="V298" s="6" t="s">
        <v>1286</v>
      </c>
      <c r="W298" s="6" t="s">
        <v>83</v>
      </c>
      <c r="X298" s="6" t="s">
        <v>83</v>
      </c>
      <c r="Y298" s="6" t="s">
        <v>83</v>
      </c>
      <c r="Z298" s="6" t="s">
        <v>109</v>
      </c>
      <c r="AA298" s="6" t="s">
        <v>83</v>
      </c>
      <c r="AB298" s="6">
        <v>224.81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1296</v>
      </c>
      <c r="AJ298" s="6" t="s">
        <v>259</v>
      </c>
      <c r="AK298" s="6" t="s">
        <v>13</v>
      </c>
      <c r="AL298" s="6" t="s">
        <v>50</v>
      </c>
      <c r="AM298" s="6" t="s">
        <v>260</v>
      </c>
      <c r="AN298" s="6" t="s">
        <v>20</v>
      </c>
      <c r="AO298" s="6" t="s">
        <v>250</v>
      </c>
      <c r="AP298" s="6" t="s">
        <v>251</v>
      </c>
      <c r="AQ298" s="6" t="s">
        <v>18</v>
      </c>
    </row>
    <row r="299" spans="1:43" x14ac:dyDescent="0.25">
      <c r="A299" s="6">
        <v>22730871</v>
      </c>
      <c r="B299" s="6">
        <v>23528359</v>
      </c>
      <c r="C299" s="6" t="s">
        <v>237</v>
      </c>
      <c r="D299" s="14">
        <v>45881.680173611108</v>
      </c>
      <c r="E299" s="14">
        <v>45881.681458333333</v>
      </c>
      <c r="F299" s="6" t="s">
        <v>17</v>
      </c>
      <c r="G299" s="6" t="s">
        <v>17</v>
      </c>
      <c r="H299" s="6" t="s">
        <v>1297</v>
      </c>
      <c r="I299" s="6" t="s">
        <v>16</v>
      </c>
      <c r="J299" s="6" t="s">
        <v>1298</v>
      </c>
      <c r="K299" s="6" t="s">
        <v>1299</v>
      </c>
      <c r="L299" s="6" t="s">
        <v>1300</v>
      </c>
      <c r="M299" s="14">
        <v>45722.507638888892</v>
      </c>
      <c r="N299" s="6" t="s">
        <v>1297</v>
      </c>
      <c r="O299" s="6" t="s">
        <v>83</v>
      </c>
      <c r="P299" s="6" t="s">
        <v>242</v>
      </c>
      <c r="Q299" s="6" t="s">
        <v>361</v>
      </c>
      <c r="R299" s="6" t="s">
        <v>339</v>
      </c>
      <c r="S299" s="6" t="s">
        <v>7</v>
      </c>
      <c r="T299" s="6" t="s">
        <v>245</v>
      </c>
      <c r="U299" s="6" t="s">
        <v>140</v>
      </c>
      <c r="V299" s="6" t="s">
        <v>1301</v>
      </c>
      <c r="W299" s="6" t="s">
        <v>83</v>
      </c>
      <c r="X299" s="6" t="s">
        <v>247</v>
      </c>
      <c r="Y299" s="6">
        <v>2952834969</v>
      </c>
      <c r="Z299" s="6" t="s">
        <v>84</v>
      </c>
      <c r="AA299" s="6" t="s">
        <v>83</v>
      </c>
      <c r="AB299" s="6">
        <v>0</v>
      </c>
      <c r="AC299" s="6">
        <v>0</v>
      </c>
      <c r="AD299" s="6">
        <v>8.84</v>
      </c>
      <c r="AE299" s="6">
        <v>0</v>
      </c>
      <c r="AF299" s="6">
        <v>8.84</v>
      </c>
      <c r="AG299" s="6">
        <v>0</v>
      </c>
      <c r="AH299" s="6">
        <v>0</v>
      </c>
      <c r="AI299" s="6" t="s">
        <v>248</v>
      </c>
      <c r="AJ299" s="6" t="s">
        <v>1302</v>
      </c>
      <c r="AK299" s="6" t="s">
        <v>16</v>
      </c>
      <c r="AL299" s="6" t="s">
        <v>68</v>
      </c>
      <c r="AM299" s="6" t="s">
        <v>421</v>
      </c>
      <c r="AN299" s="6" t="s">
        <v>20</v>
      </c>
      <c r="AO299" s="6" t="s">
        <v>250</v>
      </c>
      <c r="AP299" s="6" t="s">
        <v>251</v>
      </c>
      <c r="AQ299" s="6" t="s">
        <v>33</v>
      </c>
    </row>
    <row r="300" spans="1:43" x14ac:dyDescent="0.25">
      <c r="A300" s="6">
        <v>22730871</v>
      </c>
      <c r="B300" s="6">
        <v>23528360</v>
      </c>
      <c r="C300" s="6" t="s">
        <v>378</v>
      </c>
      <c r="D300" s="14">
        <v>45881.680173611108</v>
      </c>
      <c r="E300" s="14">
        <v>45881.681458333333</v>
      </c>
      <c r="F300" s="6" t="s">
        <v>17</v>
      </c>
      <c r="G300" s="6" t="s">
        <v>17</v>
      </c>
      <c r="H300" s="6" t="s">
        <v>1297</v>
      </c>
      <c r="I300" s="6" t="s">
        <v>16</v>
      </c>
      <c r="J300" s="6" t="s">
        <v>1298</v>
      </c>
      <c r="K300" s="6" t="s">
        <v>1299</v>
      </c>
      <c r="L300" s="6" t="s">
        <v>1300</v>
      </c>
      <c r="M300" s="14">
        <v>45722.507638888892</v>
      </c>
      <c r="N300" s="6" t="s">
        <v>1297</v>
      </c>
      <c r="O300" s="6" t="s">
        <v>83</v>
      </c>
      <c r="P300" s="6" t="s">
        <v>242</v>
      </c>
      <c r="Q300" s="6" t="s">
        <v>361</v>
      </c>
      <c r="R300" s="6" t="s">
        <v>339</v>
      </c>
      <c r="S300" s="6" t="s">
        <v>7</v>
      </c>
      <c r="T300" s="6" t="s">
        <v>245</v>
      </c>
      <c r="U300" s="6" t="s">
        <v>140</v>
      </c>
      <c r="V300" s="6" t="s">
        <v>1301</v>
      </c>
      <c r="W300" s="6" t="s">
        <v>83</v>
      </c>
      <c r="X300" s="6" t="s">
        <v>247</v>
      </c>
      <c r="Y300" s="6">
        <v>2952834969</v>
      </c>
      <c r="Z300" s="6" t="s">
        <v>84</v>
      </c>
      <c r="AA300" s="6" t="s">
        <v>83</v>
      </c>
      <c r="AB300" s="6">
        <v>0</v>
      </c>
      <c r="AC300" s="6">
        <v>0</v>
      </c>
      <c r="AD300" s="6">
        <v>450</v>
      </c>
      <c r="AE300" s="6">
        <v>0</v>
      </c>
      <c r="AF300" s="6">
        <v>0</v>
      </c>
      <c r="AG300" s="6">
        <v>0</v>
      </c>
      <c r="AH300" s="6">
        <v>0</v>
      </c>
      <c r="AI300" s="6" t="s">
        <v>248</v>
      </c>
      <c r="AJ300" s="6" t="s">
        <v>1302</v>
      </c>
      <c r="AK300" s="6" t="s">
        <v>16</v>
      </c>
      <c r="AL300" s="6" t="s">
        <v>68</v>
      </c>
      <c r="AM300" s="6" t="s">
        <v>421</v>
      </c>
      <c r="AN300" s="6" t="s">
        <v>20</v>
      </c>
      <c r="AO300" s="6" t="s">
        <v>250</v>
      </c>
      <c r="AP300" s="6" t="s">
        <v>251</v>
      </c>
      <c r="AQ300" s="6" t="s">
        <v>33</v>
      </c>
    </row>
    <row r="301" spans="1:43" x14ac:dyDescent="0.25">
      <c r="A301" s="6">
        <v>22731519</v>
      </c>
      <c r="B301" s="6">
        <v>23528985</v>
      </c>
      <c r="C301" s="6" t="s">
        <v>237</v>
      </c>
      <c r="D301" s="14">
        <v>45881.751759259263</v>
      </c>
      <c r="E301" s="14">
        <v>45881.753553240742</v>
      </c>
      <c r="F301" s="6" t="s">
        <v>17</v>
      </c>
      <c r="G301" s="6" t="s">
        <v>17</v>
      </c>
      <c r="H301" s="6" t="s">
        <v>1303</v>
      </c>
      <c r="I301" s="6" t="s">
        <v>16</v>
      </c>
      <c r="J301" s="6" t="s">
        <v>1304</v>
      </c>
      <c r="K301" s="6" t="s">
        <v>359</v>
      </c>
      <c r="L301" s="6" t="s">
        <v>1305</v>
      </c>
      <c r="M301" s="14">
        <v>45881.572916666657</v>
      </c>
      <c r="N301" s="6" t="s">
        <v>1126</v>
      </c>
      <c r="O301" s="6" t="s">
        <v>83</v>
      </c>
      <c r="P301" s="6" t="s">
        <v>272</v>
      </c>
      <c r="Q301" s="6" t="s">
        <v>361</v>
      </c>
      <c r="R301" s="6" t="s">
        <v>339</v>
      </c>
      <c r="S301" s="6" t="s">
        <v>7</v>
      </c>
      <c r="T301" s="6" t="s">
        <v>245</v>
      </c>
      <c r="U301" s="6" t="s">
        <v>140</v>
      </c>
      <c r="V301" s="6" t="s">
        <v>1301</v>
      </c>
      <c r="W301" s="6" t="s">
        <v>83</v>
      </c>
      <c r="X301" s="6" t="s">
        <v>247</v>
      </c>
      <c r="Y301" s="6">
        <v>2952834984</v>
      </c>
      <c r="Z301" s="6" t="s">
        <v>84</v>
      </c>
      <c r="AA301" s="6" t="s">
        <v>83</v>
      </c>
      <c r="AB301" s="6">
        <v>0</v>
      </c>
      <c r="AC301" s="6">
        <v>0</v>
      </c>
      <c r="AD301" s="6">
        <v>450</v>
      </c>
      <c r="AE301" s="6">
        <v>0</v>
      </c>
      <c r="AF301" s="6">
        <v>33.03</v>
      </c>
      <c r="AG301" s="6">
        <v>0</v>
      </c>
      <c r="AH301" s="6">
        <v>0</v>
      </c>
      <c r="AI301" s="6" t="s">
        <v>248</v>
      </c>
      <c r="AJ301" s="6" t="s">
        <v>381</v>
      </c>
      <c r="AK301" s="6" t="s">
        <v>16</v>
      </c>
      <c r="AL301" s="6" t="s">
        <v>55</v>
      </c>
      <c r="AM301" s="6" t="s">
        <v>363</v>
      </c>
      <c r="AN301" s="6" t="s">
        <v>20</v>
      </c>
      <c r="AO301" s="6" t="s">
        <v>250</v>
      </c>
      <c r="AP301" s="6" t="s">
        <v>251</v>
      </c>
      <c r="AQ301" s="6" t="s">
        <v>33</v>
      </c>
    </row>
    <row r="302" spans="1:43" x14ac:dyDescent="0.25">
      <c r="A302" s="6">
        <v>22731126</v>
      </c>
      <c r="B302" s="6">
        <v>23528615</v>
      </c>
      <c r="C302" s="6" t="s">
        <v>237</v>
      </c>
      <c r="D302" s="14">
        <v>45881.710231481477</v>
      </c>
      <c r="E302" s="14">
        <v>45881.752789351849</v>
      </c>
      <c r="F302" s="6" t="s">
        <v>17</v>
      </c>
      <c r="G302" s="6" t="s">
        <v>17</v>
      </c>
      <c r="H302" s="6" t="s">
        <v>1306</v>
      </c>
      <c r="I302" s="6" t="s">
        <v>16</v>
      </c>
      <c r="J302" s="6" t="s">
        <v>1307</v>
      </c>
      <c r="K302" s="6" t="s">
        <v>359</v>
      </c>
      <c r="L302" s="6" t="s">
        <v>360</v>
      </c>
      <c r="M302" s="14">
        <v>45881.53125</v>
      </c>
      <c r="N302" s="6" t="s">
        <v>1308</v>
      </c>
      <c r="O302" s="6" t="s">
        <v>83</v>
      </c>
      <c r="P302" s="6" t="s">
        <v>242</v>
      </c>
      <c r="Q302" s="6" t="s">
        <v>361</v>
      </c>
      <c r="R302" s="6" t="s">
        <v>339</v>
      </c>
      <c r="S302" s="6" t="s">
        <v>7</v>
      </c>
      <c r="T302" s="6" t="s">
        <v>245</v>
      </c>
      <c r="U302" s="6" t="s">
        <v>140</v>
      </c>
      <c r="V302" s="6" t="s">
        <v>1301</v>
      </c>
      <c r="W302" s="6" t="s">
        <v>83</v>
      </c>
      <c r="X302" s="6" t="s">
        <v>247</v>
      </c>
      <c r="Y302" s="6">
        <v>2952834981</v>
      </c>
      <c r="Z302" s="6" t="s">
        <v>84</v>
      </c>
      <c r="AA302" s="6" t="s">
        <v>83</v>
      </c>
      <c r="AB302" s="6">
        <v>0</v>
      </c>
      <c r="AC302" s="6">
        <v>0</v>
      </c>
      <c r="AD302" s="6">
        <v>412.63</v>
      </c>
      <c r="AE302" s="6">
        <v>0</v>
      </c>
      <c r="AF302" s="6">
        <v>18.43</v>
      </c>
      <c r="AG302" s="6">
        <v>0</v>
      </c>
      <c r="AH302" s="6">
        <v>0</v>
      </c>
      <c r="AI302" s="6" t="s">
        <v>248</v>
      </c>
      <c r="AJ302" s="6" t="s">
        <v>381</v>
      </c>
      <c r="AK302" s="6" t="s">
        <v>16</v>
      </c>
      <c r="AL302" s="6" t="s">
        <v>55</v>
      </c>
      <c r="AM302" s="6" t="s">
        <v>363</v>
      </c>
      <c r="AN302" s="6" t="s">
        <v>20</v>
      </c>
      <c r="AO302" s="6" t="s">
        <v>250</v>
      </c>
      <c r="AP302" s="6" t="s">
        <v>251</v>
      </c>
      <c r="AQ302" s="6" t="s">
        <v>33</v>
      </c>
    </row>
    <row r="303" spans="1:43" x14ac:dyDescent="0.25">
      <c r="A303" s="6">
        <v>22731130</v>
      </c>
      <c r="B303" s="6">
        <v>23528619</v>
      </c>
      <c r="C303" s="6" t="s">
        <v>237</v>
      </c>
      <c r="D303" s="14">
        <v>45881.710312499999</v>
      </c>
      <c r="E303" s="14">
        <v>45881.752812500003</v>
      </c>
      <c r="F303" s="6" t="s">
        <v>17</v>
      </c>
      <c r="G303" s="6" t="s">
        <v>17</v>
      </c>
      <c r="H303" s="6" t="s">
        <v>1309</v>
      </c>
      <c r="I303" s="6" t="s">
        <v>16</v>
      </c>
      <c r="J303" s="6" t="s">
        <v>1310</v>
      </c>
      <c r="K303" s="6" t="s">
        <v>359</v>
      </c>
      <c r="L303" s="6" t="s">
        <v>360</v>
      </c>
      <c r="M303" s="14">
        <v>45881.552083333343</v>
      </c>
      <c r="N303" s="6" t="s">
        <v>1308</v>
      </c>
      <c r="O303" s="6" t="s">
        <v>83</v>
      </c>
      <c r="P303" s="6" t="s">
        <v>242</v>
      </c>
      <c r="Q303" s="6" t="s">
        <v>361</v>
      </c>
      <c r="R303" s="6" t="s">
        <v>339</v>
      </c>
      <c r="S303" s="6" t="s">
        <v>7</v>
      </c>
      <c r="T303" s="6" t="s">
        <v>245</v>
      </c>
      <c r="U303" s="6" t="s">
        <v>140</v>
      </c>
      <c r="V303" s="6" t="s">
        <v>1301</v>
      </c>
      <c r="W303" s="6" t="s">
        <v>83</v>
      </c>
      <c r="X303" s="6" t="s">
        <v>247</v>
      </c>
      <c r="Y303" s="6">
        <v>2952834982</v>
      </c>
      <c r="Z303" s="6" t="s">
        <v>84</v>
      </c>
      <c r="AA303" s="6" t="s">
        <v>83</v>
      </c>
      <c r="AB303" s="6">
        <v>0</v>
      </c>
      <c r="AC303" s="6">
        <v>0</v>
      </c>
      <c r="AD303" s="6">
        <v>300.63</v>
      </c>
      <c r="AE303" s="6">
        <v>0</v>
      </c>
      <c r="AF303" s="6">
        <v>18.43</v>
      </c>
      <c r="AG303" s="6">
        <v>0</v>
      </c>
      <c r="AH303" s="6">
        <v>0</v>
      </c>
      <c r="AI303" s="6" t="s">
        <v>248</v>
      </c>
      <c r="AJ303" s="6" t="s">
        <v>381</v>
      </c>
      <c r="AK303" s="6" t="s">
        <v>16</v>
      </c>
      <c r="AL303" s="6" t="s">
        <v>55</v>
      </c>
      <c r="AM303" s="6" t="s">
        <v>363</v>
      </c>
      <c r="AN303" s="6" t="s">
        <v>20</v>
      </c>
      <c r="AO303" s="6" t="s">
        <v>250</v>
      </c>
      <c r="AP303" s="6" t="s">
        <v>251</v>
      </c>
      <c r="AQ303" s="6" t="s">
        <v>33</v>
      </c>
    </row>
    <row r="304" spans="1:43" x14ac:dyDescent="0.25">
      <c r="A304" s="6">
        <v>22728486</v>
      </c>
      <c r="B304" s="6">
        <v>23526068</v>
      </c>
      <c r="C304" s="6" t="s">
        <v>237</v>
      </c>
      <c r="D304" s="14">
        <v>45881.417916666673</v>
      </c>
      <c r="E304" s="14">
        <v>45881.672858796293</v>
      </c>
      <c r="F304" s="6" t="s">
        <v>17</v>
      </c>
      <c r="G304" s="6" t="s">
        <v>17</v>
      </c>
      <c r="H304" s="6" t="s">
        <v>1311</v>
      </c>
      <c r="I304" s="6" t="s">
        <v>16</v>
      </c>
      <c r="J304" s="6" t="s">
        <v>1312</v>
      </c>
      <c r="K304" s="6" t="s">
        <v>1313</v>
      </c>
      <c r="L304" s="6" t="s">
        <v>1313</v>
      </c>
      <c r="M304" s="14">
        <v>45881.316666666673</v>
      </c>
      <c r="N304" s="6" t="s">
        <v>1314</v>
      </c>
      <c r="O304" s="6" t="s">
        <v>83</v>
      </c>
      <c r="P304" s="6" t="s">
        <v>272</v>
      </c>
      <c r="Q304" s="6" t="s">
        <v>256</v>
      </c>
      <c r="R304" s="6" t="s">
        <v>256</v>
      </c>
      <c r="S304" s="6" t="s">
        <v>7</v>
      </c>
      <c r="T304" s="6" t="s">
        <v>245</v>
      </c>
      <c r="U304" s="6" t="s">
        <v>140</v>
      </c>
      <c r="V304" s="6" t="s">
        <v>1301</v>
      </c>
      <c r="W304" s="6" t="s">
        <v>83</v>
      </c>
      <c r="X304" s="6" t="s">
        <v>306</v>
      </c>
      <c r="Y304" s="6">
        <v>2143250893</v>
      </c>
      <c r="Z304" s="6" t="s">
        <v>84</v>
      </c>
      <c r="AA304" s="6" t="s">
        <v>83</v>
      </c>
      <c r="AB304" s="6">
        <v>0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 t="s">
        <v>248</v>
      </c>
      <c r="AJ304" s="6" t="s">
        <v>1315</v>
      </c>
      <c r="AK304" s="6" t="s">
        <v>16</v>
      </c>
      <c r="AL304" s="6" t="s">
        <v>51</v>
      </c>
      <c r="AM304" s="6" t="s">
        <v>342</v>
      </c>
      <c r="AN304" s="6" t="s">
        <v>26</v>
      </c>
      <c r="AO304" s="6" t="s">
        <v>250</v>
      </c>
      <c r="AP304" s="6" t="s">
        <v>262</v>
      </c>
      <c r="AQ304" s="6" t="s">
        <v>24</v>
      </c>
    </row>
    <row r="305" spans="1:43" x14ac:dyDescent="0.25">
      <c r="A305" s="6">
        <v>22729433</v>
      </c>
      <c r="B305" s="6">
        <v>23526984</v>
      </c>
      <c r="C305" s="6" t="s">
        <v>237</v>
      </c>
      <c r="D305" s="14">
        <v>45881.512592592589</v>
      </c>
      <c r="E305" s="14">
        <v>45881.53528935185</v>
      </c>
      <c r="F305" s="6" t="s">
        <v>17</v>
      </c>
      <c r="G305" s="6" t="s">
        <v>17</v>
      </c>
      <c r="H305" s="6" t="s">
        <v>1316</v>
      </c>
      <c r="I305" s="6" t="s">
        <v>253</v>
      </c>
      <c r="J305" s="6" t="s">
        <v>1317</v>
      </c>
      <c r="K305" s="6" t="s">
        <v>255</v>
      </c>
      <c r="L305" s="6" t="s">
        <v>255</v>
      </c>
      <c r="M305" s="14">
        <v>45881.277777777781</v>
      </c>
      <c r="N305" s="6">
        <v>24991</v>
      </c>
      <c r="O305" s="6" t="s">
        <v>1318</v>
      </c>
      <c r="P305" s="6" t="s">
        <v>242</v>
      </c>
      <c r="Q305" s="6" t="s">
        <v>243</v>
      </c>
      <c r="R305" s="6" t="s">
        <v>244</v>
      </c>
      <c r="S305" s="6" t="s">
        <v>8</v>
      </c>
      <c r="T305" s="6" t="s">
        <v>245</v>
      </c>
      <c r="U305" s="6" t="s">
        <v>141</v>
      </c>
      <c r="V305" s="6" t="s">
        <v>1319</v>
      </c>
      <c r="W305" s="6" t="s">
        <v>83</v>
      </c>
      <c r="X305" s="6" t="s">
        <v>83</v>
      </c>
      <c r="Y305" s="6" t="s">
        <v>83</v>
      </c>
      <c r="Z305" s="6" t="s">
        <v>82</v>
      </c>
      <c r="AA305" s="6" t="s">
        <v>83</v>
      </c>
      <c r="AB305" s="6">
        <v>1406.8208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1320</v>
      </c>
      <c r="AJ305" s="6" t="s">
        <v>259</v>
      </c>
      <c r="AK305" s="6" t="s">
        <v>12</v>
      </c>
      <c r="AL305" s="6" t="s">
        <v>50</v>
      </c>
      <c r="AM305" s="6" t="s">
        <v>260</v>
      </c>
      <c r="AN305" s="6" t="s">
        <v>20</v>
      </c>
      <c r="AO305" s="6" t="s">
        <v>250</v>
      </c>
      <c r="AP305" s="6" t="s">
        <v>251</v>
      </c>
      <c r="AQ305" s="6" t="s">
        <v>18</v>
      </c>
    </row>
    <row r="306" spans="1:43" x14ac:dyDescent="0.25">
      <c r="A306" s="6">
        <v>22726883</v>
      </c>
      <c r="B306" s="6">
        <v>23524969</v>
      </c>
      <c r="C306" s="6" t="s">
        <v>237</v>
      </c>
      <c r="D306" s="14">
        <v>45881.007523148153</v>
      </c>
      <c r="E306" s="14">
        <v>45881.021701388891</v>
      </c>
      <c r="F306" s="6" t="s">
        <v>17</v>
      </c>
      <c r="G306" s="6" t="s">
        <v>17</v>
      </c>
      <c r="H306" s="6" t="s">
        <v>1321</v>
      </c>
      <c r="I306" s="6" t="s">
        <v>253</v>
      </c>
      <c r="J306" s="6" t="s">
        <v>1322</v>
      </c>
      <c r="K306" s="6" t="s">
        <v>1323</v>
      </c>
      <c r="L306" s="6" t="s">
        <v>1323</v>
      </c>
      <c r="M306" s="14">
        <v>45880.771527777782</v>
      </c>
      <c r="N306" s="6">
        <v>24884</v>
      </c>
      <c r="O306" s="6" t="s">
        <v>83</v>
      </c>
      <c r="P306" s="6" t="s">
        <v>272</v>
      </c>
      <c r="Q306" s="6" t="s">
        <v>256</v>
      </c>
      <c r="R306" s="6" t="s">
        <v>256</v>
      </c>
      <c r="S306" s="6" t="s">
        <v>9</v>
      </c>
      <c r="T306" s="6" t="s">
        <v>245</v>
      </c>
      <c r="U306" s="6" t="s">
        <v>141</v>
      </c>
      <c r="V306" s="6" t="s">
        <v>1319</v>
      </c>
      <c r="W306" s="6" t="s">
        <v>83</v>
      </c>
      <c r="X306" s="6" t="s">
        <v>83</v>
      </c>
      <c r="Y306" s="6" t="s">
        <v>83</v>
      </c>
      <c r="Z306" s="6" t="s">
        <v>82</v>
      </c>
      <c r="AA306" s="6" t="s">
        <v>83</v>
      </c>
      <c r="AB306" s="6">
        <v>227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1324</v>
      </c>
      <c r="AJ306" s="6" t="s">
        <v>259</v>
      </c>
      <c r="AK306" s="6" t="s">
        <v>12</v>
      </c>
      <c r="AL306" s="6" t="s">
        <v>50</v>
      </c>
      <c r="AM306" s="6" t="s">
        <v>260</v>
      </c>
      <c r="AN306" s="6" t="s">
        <v>20</v>
      </c>
      <c r="AO306" s="6" t="s">
        <v>250</v>
      </c>
      <c r="AP306" s="6" t="s">
        <v>251</v>
      </c>
      <c r="AQ306" s="6" t="s">
        <v>18</v>
      </c>
    </row>
    <row r="307" spans="1:43" x14ac:dyDescent="0.25">
      <c r="A307" s="6">
        <v>22707834</v>
      </c>
      <c r="B307" s="6">
        <v>23509291</v>
      </c>
      <c r="C307" s="6" t="s">
        <v>237</v>
      </c>
      <c r="D307" s="14">
        <v>45877.510763888888</v>
      </c>
      <c r="E307" s="14">
        <v>45877.522129629629</v>
      </c>
      <c r="F307" s="6" t="s">
        <v>19</v>
      </c>
      <c r="G307" s="6" t="s">
        <v>19</v>
      </c>
      <c r="H307" s="6" t="s">
        <v>1325</v>
      </c>
      <c r="I307" s="6" t="s">
        <v>253</v>
      </c>
      <c r="J307" s="6" t="s">
        <v>1326</v>
      </c>
      <c r="K307" s="6" t="s">
        <v>1323</v>
      </c>
      <c r="L307" s="6" t="s">
        <v>1323</v>
      </c>
      <c r="M307" s="14">
        <v>45877.452777777777</v>
      </c>
      <c r="N307" s="6">
        <v>24909</v>
      </c>
      <c r="O307" s="6" t="s">
        <v>83</v>
      </c>
      <c r="P307" s="6" t="s">
        <v>272</v>
      </c>
      <c r="Q307" s="6" t="s">
        <v>256</v>
      </c>
      <c r="R307" s="6" t="s">
        <v>256</v>
      </c>
      <c r="S307" s="6" t="s">
        <v>9</v>
      </c>
      <c r="T307" s="6" t="s">
        <v>245</v>
      </c>
      <c r="U307" s="6" t="s">
        <v>141</v>
      </c>
      <c r="V307" s="6" t="s">
        <v>1319</v>
      </c>
      <c r="W307" s="6" t="s">
        <v>83</v>
      </c>
      <c r="X307" s="6" t="s">
        <v>83</v>
      </c>
      <c r="Y307" s="6" t="s">
        <v>83</v>
      </c>
      <c r="Z307" s="6" t="s">
        <v>82</v>
      </c>
      <c r="AA307" s="6" t="s">
        <v>83</v>
      </c>
      <c r="AB307" s="6">
        <v>619.20000000000005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 t="s">
        <v>1327</v>
      </c>
      <c r="AJ307" s="6" t="s">
        <v>259</v>
      </c>
      <c r="AK307" s="6" t="s">
        <v>12</v>
      </c>
      <c r="AL307" s="6" t="s">
        <v>50</v>
      </c>
      <c r="AM307" s="6" t="s">
        <v>260</v>
      </c>
      <c r="AN307" s="6" t="s">
        <v>20</v>
      </c>
      <c r="AO307" s="6" t="s">
        <v>250</v>
      </c>
      <c r="AP307" s="6" t="s">
        <v>251</v>
      </c>
      <c r="AQ307" s="6" t="s">
        <v>18</v>
      </c>
    </row>
    <row r="308" spans="1:43" x14ac:dyDescent="0.25">
      <c r="A308" s="6">
        <v>22722078</v>
      </c>
      <c r="B308" s="6">
        <v>23520439</v>
      </c>
      <c r="C308" s="6" t="s">
        <v>237</v>
      </c>
      <c r="D308" s="14">
        <v>45880.511608796303</v>
      </c>
      <c r="E308" s="14">
        <v>45880.524699074071</v>
      </c>
      <c r="F308" s="6" t="s">
        <v>17</v>
      </c>
      <c r="G308" s="6" t="s">
        <v>17</v>
      </c>
      <c r="H308" s="6" t="s">
        <v>1328</v>
      </c>
      <c r="I308" s="6" t="s">
        <v>253</v>
      </c>
      <c r="J308" s="6" t="s">
        <v>1329</v>
      </c>
      <c r="K308" s="6" t="s">
        <v>1323</v>
      </c>
      <c r="L308" s="6" t="s">
        <v>1323</v>
      </c>
      <c r="M308" s="14">
        <v>45880.487500000003</v>
      </c>
      <c r="N308" s="6">
        <v>24942</v>
      </c>
      <c r="O308" s="6" t="s">
        <v>83</v>
      </c>
      <c r="P308" s="6" t="s">
        <v>272</v>
      </c>
      <c r="Q308" s="6" t="s">
        <v>256</v>
      </c>
      <c r="R308" s="6" t="s">
        <v>256</v>
      </c>
      <c r="S308" s="6" t="s">
        <v>9</v>
      </c>
      <c r="T308" s="6" t="s">
        <v>245</v>
      </c>
      <c r="U308" s="6" t="s">
        <v>141</v>
      </c>
      <c r="V308" s="6" t="s">
        <v>1319</v>
      </c>
      <c r="W308" s="6" t="s">
        <v>83</v>
      </c>
      <c r="X308" s="6" t="s">
        <v>83</v>
      </c>
      <c r="Y308" s="6" t="s">
        <v>83</v>
      </c>
      <c r="Z308" s="6" t="s">
        <v>82</v>
      </c>
      <c r="AA308" s="6" t="s">
        <v>83</v>
      </c>
      <c r="AB308" s="6">
        <v>229.2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 t="s">
        <v>1330</v>
      </c>
      <c r="AJ308" s="6" t="s">
        <v>259</v>
      </c>
      <c r="AK308" s="6" t="s">
        <v>12</v>
      </c>
      <c r="AL308" s="6" t="s">
        <v>50</v>
      </c>
      <c r="AM308" s="6" t="s">
        <v>260</v>
      </c>
      <c r="AN308" s="6" t="s">
        <v>20</v>
      </c>
      <c r="AO308" s="6" t="s">
        <v>250</v>
      </c>
      <c r="AP308" s="6" t="s">
        <v>251</v>
      </c>
      <c r="AQ308" s="6" t="s">
        <v>18</v>
      </c>
    </row>
    <row r="309" spans="1:43" x14ac:dyDescent="0.25">
      <c r="A309" s="6">
        <v>22722079</v>
      </c>
      <c r="B309" s="6">
        <v>23520440</v>
      </c>
      <c r="C309" s="6" t="s">
        <v>237</v>
      </c>
      <c r="D309" s="14">
        <v>45880.511689814812</v>
      </c>
      <c r="E309" s="14">
        <v>45880.524710648147</v>
      </c>
      <c r="F309" s="6" t="s">
        <v>17</v>
      </c>
      <c r="G309" s="6" t="s">
        <v>17</v>
      </c>
      <c r="H309" s="6" t="s">
        <v>1331</v>
      </c>
      <c r="I309" s="6" t="s">
        <v>253</v>
      </c>
      <c r="J309" s="6" t="s">
        <v>1332</v>
      </c>
      <c r="K309" s="6" t="s">
        <v>1323</v>
      </c>
      <c r="L309" s="6" t="s">
        <v>1323</v>
      </c>
      <c r="M309" s="14">
        <v>45880.490277777782</v>
      </c>
      <c r="N309" s="6">
        <v>24941</v>
      </c>
      <c r="O309" s="6" t="s">
        <v>83</v>
      </c>
      <c r="P309" s="6" t="s">
        <v>272</v>
      </c>
      <c r="Q309" s="6" t="s">
        <v>256</v>
      </c>
      <c r="R309" s="6" t="s">
        <v>256</v>
      </c>
      <c r="S309" s="6" t="s">
        <v>9</v>
      </c>
      <c r="T309" s="6" t="s">
        <v>245</v>
      </c>
      <c r="U309" s="6" t="s">
        <v>141</v>
      </c>
      <c r="V309" s="6" t="s">
        <v>1319</v>
      </c>
      <c r="W309" s="6" t="s">
        <v>83</v>
      </c>
      <c r="X309" s="6" t="s">
        <v>83</v>
      </c>
      <c r="Y309" s="6" t="s">
        <v>83</v>
      </c>
      <c r="Z309" s="6" t="s">
        <v>82</v>
      </c>
      <c r="AA309" s="6" t="s">
        <v>83</v>
      </c>
      <c r="AB309" s="6">
        <v>229.2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 t="s">
        <v>1333</v>
      </c>
      <c r="AJ309" s="6" t="s">
        <v>259</v>
      </c>
      <c r="AK309" s="6" t="s">
        <v>12</v>
      </c>
      <c r="AL309" s="6" t="s">
        <v>50</v>
      </c>
      <c r="AM309" s="6" t="s">
        <v>260</v>
      </c>
      <c r="AN309" s="6" t="s">
        <v>20</v>
      </c>
      <c r="AO309" s="6" t="s">
        <v>250</v>
      </c>
      <c r="AP309" s="6" t="s">
        <v>251</v>
      </c>
      <c r="AQ309" s="6" t="s">
        <v>18</v>
      </c>
    </row>
    <row r="310" spans="1:43" x14ac:dyDescent="0.25">
      <c r="A310" s="6">
        <v>22649917</v>
      </c>
      <c r="B310" s="6">
        <v>23459507</v>
      </c>
      <c r="C310" s="6" t="s">
        <v>237</v>
      </c>
      <c r="D310" s="14">
        <v>45868.417361111111</v>
      </c>
      <c r="E310" s="14">
        <v>45868.417523148149</v>
      </c>
      <c r="F310" s="6" t="s">
        <v>23</v>
      </c>
      <c r="G310" s="6" t="s">
        <v>23</v>
      </c>
      <c r="H310" s="6" t="s">
        <v>1334</v>
      </c>
      <c r="I310" s="6" t="s">
        <v>14</v>
      </c>
      <c r="J310" s="6" t="s">
        <v>1335</v>
      </c>
      <c r="K310" s="6" t="s">
        <v>1336</v>
      </c>
      <c r="L310" s="6" t="s">
        <v>1336</v>
      </c>
      <c r="M310" s="14">
        <v>45855.602777777778</v>
      </c>
      <c r="N310" s="6">
        <v>17075340</v>
      </c>
      <c r="O310" s="6" t="s">
        <v>83</v>
      </c>
      <c r="P310" s="6" t="s">
        <v>272</v>
      </c>
      <c r="Q310" s="6" t="s">
        <v>243</v>
      </c>
      <c r="R310" s="6" t="s">
        <v>244</v>
      </c>
      <c r="S310" s="6" t="s">
        <v>3</v>
      </c>
      <c r="T310" s="6" t="s">
        <v>245</v>
      </c>
      <c r="U310" s="6" t="s">
        <v>117</v>
      </c>
      <c r="V310" s="6" t="s">
        <v>1337</v>
      </c>
      <c r="W310" s="6" t="s">
        <v>83</v>
      </c>
      <c r="X310" s="6" t="s">
        <v>83</v>
      </c>
      <c r="Y310" s="6" t="s">
        <v>83</v>
      </c>
      <c r="Z310" s="6" t="s">
        <v>52</v>
      </c>
      <c r="AA310" s="6" t="s">
        <v>83</v>
      </c>
      <c r="AB310" s="6">
        <v>418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1338</v>
      </c>
      <c r="AJ310" s="6" t="s">
        <v>259</v>
      </c>
      <c r="AK310" s="6" t="s">
        <v>14</v>
      </c>
      <c r="AL310" s="6" t="s">
        <v>50</v>
      </c>
      <c r="AM310" s="6" t="s">
        <v>260</v>
      </c>
      <c r="AN310" s="6" t="s">
        <v>20</v>
      </c>
      <c r="AO310" s="6" t="s">
        <v>250</v>
      </c>
      <c r="AP310" s="6" t="s">
        <v>251</v>
      </c>
      <c r="AQ310" s="6" t="s">
        <v>18</v>
      </c>
    </row>
    <row r="311" spans="1:43" x14ac:dyDescent="0.25">
      <c r="A311" s="6">
        <v>22643645</v>
      </c>
      <c r="B311" s="6">
        <v>23453915</v>
      </c>
      <c r="C311" s="6" t="s">
        <v>237</v>
      </c>
      <c r="D311" s="14">
        <v>45867.375694444447</v>
      </c>
      <c r="E311" s="14">
        <v>45867.375925925917</v>
      </c>
      <c r="F311" s="6" t="s">
        <v>23</v>
      </c>
      <c r="G311" s="6" t="s">
        <v>23</v>
      </c>
      <c r="H311" s="6" t="s">
        <v>1339</v>
      </c>
      <c r="I311" s="6" t="s">
        <v>14</v>
      </c>
      <c r="J311" s="6" t="s">
        <v>1335</v>
      </c>
      <c r="K311" s="6" t="s">
        <v>1336</v>
      </c>
      <c r="L311" s="6" t="s">
        <v>1336</v>
      </c>
      <c r="M311" s="14">
        <v>45859.586805555547</v>
      </c>
      <c r="N311" s="6">
        <v>17075013</v>
      </c>
      <c r="O311" s="6" t="s">
        <v>83</v>
      </c>
      <c r="P311" s="6" t="s">
        <v>272</v>
      </c>
      <c r="Q311" s="6" t="s">
        <v>243</v>
      </c>
      <c r="R311" s="6" t="s">
        <v>244</v>
      </c>
      <c r="S311" s="6" t="s">
        <v>3</v>
      </c>
      <c r="T311" s="6" t="s">
        <v>245</v>
      </c>
      <c r="U311" s="6" t="s">
        <v>117</v>
      </c>
      <c r="V311" s="6" t="s">
        <v>1337</v>
      </c>
      <c r="W311" s="6" t="s">
        <v>83</v>
      </c>
      <c r="X311" s="6" t="s">
        <v>83</v>
      </c>
      <c r="Y311" s="6" t="s">
        <v>83</v>
      </c>
      <c r="Z311" s="6" t="s">
        <v>52</v>
      </c>
      <c r="AA311" s="6" t="s">
        <v>83</v>
      </c>
      <c r="AB311" s="6">
        <v>432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1340</v>
      </c>
      <c r="AJ311" s="6" t="s">
        <v>259</v>
      </c>
      <c r="AK311" s="6" t="s">
        <v>14</v>
      </c>
      <c r="AL311" s="6" t="s">
        <v>50</v>
      </c>
      <c r="AM311" s="6" t="s">
        <v>260</v>
      </c>
      <c r="AN311" s="6" t="s">
        <v>20</v>
      </c>
      <c r="AO311" s="6" t="s">
        <v>250</v>
      </c>
      <c r="AP311" s="6" t="s">
        <v>251</v>
      </c>
      <c r="AQ311" s="6" t="s">
        <v>18</v>
      </c>
    </row>
    <row r="312" spans="1:43" x14ac:dyDescent="0.25">
      <c r="A312" s="6">
        <v>22643646</v>
      </c>
      <c r="B312" s="6">
        <v>23453916</v>
      </c>
      <c r="C312" s="6" t="s">
        <v>237</v>
      </c>
      <c r="D312" s="14">
        <v>45867.375717592593</v>
      </c>
      <c r="E312" s="14">
        <v>45867.375925925917</v>
      </c>
      <c r="F312" s="6" t="s">
        <v>23</v>
      </c>
      <c r="G312" s="6" t="s">
        <v>23</v>
      </c>
      <c r="H312" s="6" t="s">
        <v>1341</v>
      </c>
      <c r="I312" s="6" t="s">
        <v>14</v>
      </c>
      <c r="J312" s="6" t="s">
        <v>1335</v>
      </c>
      <c r="K312" s="6" t="s">
        <v>1336</v>
      </c>
      <c r="L312" s="6" t="s">
        <v>1336</v>
      </c>
      <c r="M312" s="14">
        <v>45855.606249999997</v>
      </c>
      <c r="N312" s="6">
        <v>17075260</v>
      </c>
      <c r="O312" s="6" t="s">
        <v>83</v>
      </c>
      <c r="P312" s="6" t="s">
        <v>272</v>
      </c>
      <c r="Q312" s="6" t="s">
        <v>243</v>
      </c>
      <c r="R312" s="6" t="s">
        <v>244</v>
      </c>
      <c r="S312" s="6" t="s">
        <v>3</v>
      </c>
      <c r="T312" s="6" t="s">
        <v>245</v>
      </c>
      <c r="U312" s="6" t="s">
        <v>117</v>
      </c>
      <c r="V312" s="6" t="s">
        <v>1337</v>
      </c>
      <c r="W312" s="6" t="s">
        <v>83</v>
      </c>
      <c r="X312" s="6" t="s">
        <v>83</v>
      </c>
      <c r="Y312" s="6" t="s">
        <v>83</v>
      </c>
      <c r="Z312" s="6" t="s">
        <v>52</v>
      </c>
      <c r="AA312" s="6" t="s">
        <v>83</v>
      </c>
      <c r="AB312" s="6">
        <v>418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 t="s">
        <v>1342</v>
      </c>
      <c r="AJ312" s="6" t="s">
        <v>259</v>
      </c>
      <c r="AK312" s="6" t="s">
        <v>14</v>
      </c>
      <c r="AL312" s="6" t="s">
        <v>50</v>
      </c>
      <c r="AM312" s="6" t="s">
        <v>260</v>
      </c>
      <c r="AN312" s="6" t="s">
        <v>20</v>
      </c>
      <c r="AO312" s="6" t="s">
        <v>250</v>
      </c>
      <c r="AP312" s="6" t="s">
        <v>251</v>
      </c>
      <c r="AQ312" s="6" t="s">
        <v>18</v>
      </c>
    </row>
    <row r="313" spans="1:43" x14ac:dyDescent="0.25">
      <c r="A313" s="6">
        <v>22643647</v>
      </c>
      <c r="B313" s="6">
        <v>23453917</v>
      </c>
      <c r="C313" s="6" t="s">
        <v>237</v>
      </c>
      <c r="D313" s="14">
        <v>45867.375740740739</v>
      </c>
      <c r="E313" s="14">
        <v>45867.375937500001</v>
      </c>
      <c r="F313" s="6" t="s">
        <v>23</v>
      </c>
      <c r="G313" s="6" t="s">
        <v>23</v>
      </c>
      <c r="H313" s="6" t="s">
        <v>1343</v>
      </c>
      <c r="I313" s="6" t="s">
        <v>14</v>
      </c>
      <c r="J313" s="6" t="s">
        <v>1335</v>
      </c>
      <c r="K313" s="6" t="s">
        <v>1336</v>
      </c>
      <c r="L313" s="6" t="s">
        <v>1336</v>
      </c>
      <c r="M313" s="14">
        <v>45855.604861111111</v>
      </c>
      <c r="N313" s="6">
        <v>17075278</v>
      </c>
      <c r="O313" s="6" t="s">
        <v>83</v>
      </c>
      <c r="P313" s="6" t="s">
        <v>272</v>
      </c>
      <c r="Q313" s="6" t="s">
        <v>243</v>
      </c>
      <c r="R313" s="6" t="s">
        <v>244</v>
      </c>
      <c r="S313" s="6" t="s">
        <v>3</v>
      </c>
      <c r="T313" s="6" t="s">
        <v>245</v>
      </c>
      <c r="U313" s="6" t="s">
        <v>117</v>
      </c>
      <c r="V313" s="6" t="s">
        <v>1337</v>
      </c>
      <c r="W313" s="6" t="s">
        <v>83</v>
      </c>
      <c r="X313" s="6" t="s">
        <v>83</v>
      </c>
      <c r="Y313" s="6" t="s">
        <v>83</v>
      </c>
      <c r="Z313" s="6" t="s">
        <v>52</v>
      </c>
      <c r="AA313" s="6" t="s">
        <v>83</v>
      </c>
      <c r="AB313" s="6">
        <v>209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1344</v>
      </c>
      <c r="AJ313" s="6" t="s">
        <v>259</v>
      </c>
      <c r="AK313" s="6" t="s">
        <v>14</v>
      </c>
      <c r="AL313" s="6" t="s">
        <v>50</v>
      </c>
      <c r="AM313" s="6" t="s">
        <v>260</v>
      </c>
      <c r="AN313" s="6" t="s">
        <v>20</v>
      </c>
      <c r="AO313" s="6" t="s">
        <v>250</v>
      </c>
      <c r="AP313" s="6" t="s">
        <v>251</v>
      </c>
      <c r="AQ313" s="6" t="s">
        <v>18</v>
      </c>
    </row>
    <row r="314" spans="1:43" x14ac:dyDescent="0.25">
      <c r="A314" s="6">
        <v>22656876</v>
      </c>
      <c r="B314" s="6">
        <v>23465756</v>
      </c>
      <c r="C314" s="6" t="s">
        <v>237</v>
      </c>
      <c r="D314" s="14">
        <v>45869.417141203703</v>
      </c>
      <c r="E314" s="14">
        <v>45869.417245370372</v>
      </c>
      <c r="F314" s="6" t="s">
        <v>23</v>
      </c>
      <c r="G314" s="6" t="s">
        <v>23</v>
      </c>
      <c r="H314" s="6" t="s">
        <v>1345</v>
      </c>
      <c r="I314" s="6" t="s">
        <v>14</v>
      </c>
      <c r="J314" s="6" t="s">
        <v>1346</v>
      </c>
      <c r="K314" s="6" t="s">
        <v>1336</v>
      </c>
      <c r="L314" s="6" t="s">
        <v>1336</v>
      </c>
      <c r="M314" s="14">
        <v>45854.630555555559</v>
      </c>
      <c r="N314" s="6">
        <v>17054255</v>
      </c>
      <c r="O314" s="6" t="s">
        <v>83</v>
      </c>
      <c r="P314" s="6" t="s">
        <v>272</v>
      </c>
      <c r="Q314" s="6" t="s">
        <v>243</v>
      </c>
      <c r="R314" s="6" t="s">
        <v>244</v>
      </c>
      <c r="S314" s="6" t="s">
        <v>3</v>
      </c>
      <c r="T314" s="6" t="s">
        <v>245</v>
      </c>
      <c r="U314" s="6" t="s">
        <v>117</v>
      </c>
      <c r="V314" s="6" t="s">
        <v>1337</v>
      </c>
      <c r="W314" s="6" t="s">
        <v>83</v>
      </c>
      <c r="X314" s="6" t="s">
        <v>83</v>
      </c>
      <c r="Y314" s="6" t="s">
        <v>83</v>
      </c>
      <c r="Z314" s="6" t="s">
        <v>52</v>
      </c>
      <c r="AA314" s="6" t="s">
        <v>83</v>
      </c>
      <c r="AB314" s="6">
        <v>1176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1347</v>
      </c>
      <c r="AJ314" s="6" t="s">
        <v>259</v>
      </c>
      <c r="AK314" s="6" t="s">
        <v>14</v>
      </c>
      <c r="AL314" s="6" t="s">
        <v>50</v>
      </c>
      <c r="AM314" s="6" t="s">
        <v>260</v>
      </c>
      <c r="AN314" s="6" t="s">
        <v>20</v>
      </c>
      <c r="AO314" s="6" t="s">
        <v>250</v>
      </c>
      <c r="AP314" s="6" t="s">
        <v>251</v>
      </c>
      <c r="AQ314" s="6" t="s">
        <v>18</v>
      </c>
    </row>
    <row r="315" spans="1:43" x14ac:dyDescent="0.25">
      <c r="A315" s="6">
        <v>22656877</v>
      </c>
      <c r="B315" s="6">
        <v>23465757</v>
      </c>
      <c r="C315" s="6" t="s">
        <v>237</v>
      </c>
      <c r="D315" s="14">
        <v>45869.41715277778</v>
      </c>
      <c r="E315" s="14">
        <v>45869.417245370372</v>
      </c>
      <c r="F315" s="6" t="s">
        <v>23</v>
      </c>
      <c r="G315" s="6" t="s">
        <v>23</v>
      </c>
      <c r="H315" s="6" t="s">
        <v>1348</v>
      </c>
      <c r="I315" s="6" t="s">
        <v>14</v>
      </c>
      <c r="J315" s="6" t="s">
        <v>1335</v>
      </c>
      <c r="K315" s="6" t="s">
        <v>1336</v>
      </c>
      <c r="L315" s="6" t="s">
        <v>1336</v>
      </c>
      <c r="M315" s="14">
        <v>45854.642361111109</v>
      </c>
      <c r="N315" s="6">
        <v>17054289</v>
      </c>
      <c r="O315" s="6" t="s">
        <v>83</v>
      </c>
      <c r="P315" s="6" t="s">
        <v>272</v>
      </c>
      <c r="Q315" s="6" t="s">
        <v>243</v>
      </c>
      <c r="R315" s="6" t="s">
        <v>244</v>
      </c>
      <c r="S315" s="6" t="s">
        <v>3</v>
      </c>
      <c r="T315" s="6" t="s">
        <v>245</v>
      </c>
      <c r="U315" s="6" t="s">
        <v>117</v>
      </c>
      <c r="V315" s="6" t="s">
        <v>1337</v>
      </c>
      <c r="W315" s="6" t="s">
        <v>83</v>
      </c>
      <c r="X315" s="6" t="s">
        <v>83</v>
      </c>
      <c r="Y315" s="6" t="s">
        <v>83</v>
      </c>
      <c r="Z315" s="6" t="s">
        <v>52</v>
      </c>
      <c r="AA315" s="6" t="s">
        <v>83</v>
      </c>
      <c r="AB315" s="6">
        <v>836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 t="s">
        <v>1349</v>
      </c>
      <c r="AJ315" s="6" t="s">
        <v>259</v>
      </c>
      <c r="AK315" s="6" t="s">
        <v>14</v>
      </c>
      <c r="AL315" s="6" t="s">
        <v>50</v>
      </c>
      <c r="AM315" s="6" t="s">
        <v>260</v>
      </c>
      <c r="AN315" s="6" t="s">
        <v>20</v>
      </c>
      <c r="AO315" s="6" t="s">
        <v>250</v>
      </c>
      <c r="AP315" s="6" t="s">
        <v>251</v>
      </c>
      <c r="AQ315" s="6" t="s">
        <v>18</v>
      </c>
    </row>
    <row r="316" spans="1:43" x14ac:dyDescent="0.25">
      <c r="A316" s="6">
        <v>22656878</v>
      </c>
      <c r="B316" s="6">
        <v>23465758</v>
      </c>
      <c r="C316" s="6" t="s">
        <v>237</v>
      </c>
      <c r="D316" s="14">
        <v>45869.417187500003</v>
      </c>
      <c r="E316" s="14">
        <v>45869.417245370372</v>
      </c>
      <c r="F316" s="6" t="s">
        <v>23</v>
      </c>
      <c r="G316" s="6" t="s">
        <v>23</v>
      </c>
      <c r="H316" s="6" t="s">
        <v>1350</v>
      </c>
      <c r="I316" s="6" t="s">
        <v>14</v>
      </c>
      <c r="J316" s="6" t="s">
        <v>1346</v>
      </c>
      <c r="K316" s="6" t="s">
        <v>1336</v>
      </c>
      <c r="L316" s="6" t="s">
        <v>1336</v>
      </c>
      <c r="M316" s="14">
        <v>45854.632638888892</v>
      </c>
      <c r="N316" s="6">
        <v>17054303</v>
      </c>
      <c r="O316" s="6" t="s">
        <v>83</v>
      </c>
      <c r="P316" s="6" t="s">
        <v>272</v>
      </c>
      <c r="Q316" s="6" t="s">
        <v>243</v>
      </c>
      <c r="R316" s="6" t="s">
        <v>244</v>
      </c>
      <c r="S316" s="6" t="s">
        <v>3</v>
      </c>
      <c r="T316" s="6" t="s">
        <v>245</v>
      </c>
      <c r="U316" s="6" t="s">
        <v>117</v>
      </c>
      <c r="V316" s="6" t="s">
        <v>1337</v>
      </c>
      <c r="W316" s="6" t="s">
        <v>83</v>
      </c>
      <c r="X316" s="6" t="s">
        <v>83</v>
      </c>
      <c r="Y316" s="6" t="s">
        <v>83</v>
      </c>
      <c r="Z316" s="6" t="s">
        <v>52</v>
      </c>
      <c r="AA316" s="6" t="s">
        <v>83</v>
      </c>
      <c r="AB316" s="6">
        <v>1176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 t="s">
        <v>1351</v>
      </c>
      <c r="AJ316" s="6" t="s">
        <v>259</v>
      </c>
      <c r="AK316" s="6" t="s">
        <v>14</v>
      </c>
      <c r="AL316" s="6" t="s">
        <v>50</v>
      </c>
      <c r="AM316" s="6" t="s">
        <v>260</v>
      </c>
      <c r="AN316" s="6" t="s">
        <v>20</v>
      </c>
      <c r="AO316" s="6" t="s">
        <v>250</v>
      </c>
      <c r="AP316" s="6" t="s">
        <v>251</v>
      </c>
      <c r="AQ316" s="6" t="s">
        <v>18</v>
      </c>
    </row>
    <row r="317" spans="1:43" x14ac:dyDescent="0.25">
      <c r="A317" s="6">
        <v>22656879</v>
      </c>
      <c r="B317" s="6">
        <v>23465759</v>
      </c>
      <c r="C317" s="6" t="s">
        <v>237</v>
      </c>
      <c r="D317" s="14">
        <v>45869.417199074072</v>
      </c>
      <c r="E317" s="14">
        <v>45869.417256944442</v>
      </c>
      <c r="F317" s="6" t="s">
        <v>23</v>
      </c>
      <c r="G317" s="6" t="s">
        <v>23</v>
      </c>
      <c r="H317" s="6" t="s">
        <v>1352</v>
      </c>
      <c r="I317" s="6" t="s">
        <v>14</v>
      </c>
      <c r="J317" s="6" t="s">
        <v>1346</v>
      </c>
      <c r="K317" s="6" t="s">
        <v>1336</v>
      </c>
      <c r="L317" s="6" t="s">
        <v>1336</v>
      </c>
      <c r="M317" s="14">
        <v>45854.637499999997</v>
      </c>
      <c r="N317" s="6">
        <v>17054438</v>
      </c>
      <c r="O317" s="6" t="s">
        <v>83</v>
      </c>
      <c r="P317" s="6" t="s">
        <v>272</v>
      </c>
      <c r="Q317" s="6" t="s">
        <v>243</v>
      </c>
      <c r="R317" s="6" t="s">
        <v>244</v>
      </c>
      <c r="S317" s="6" t="s">
        <v>3</v>
      </c>
      <c r="T317" s="6" t="s">
        <v>245</v>
      </c>
      <c r="U317" s="6" t="s">
        <v>117</v>
      </c>
      <c r="V317" s="6" t="s">
        <v>1337</v>
      </c>
      <c r="W317" s="6" t="s">
        <v>83</v>
      </c>
      <c r="X317" s="6" t="s">
        <v>83</v>
      </c>
      <c r="Y317" s="6" t="s">
        <v>83</v>
      </c>
      <c r="Z317" s="6" t="s">
        <v>52</v>
      </c>
      <c r="AA317" s="6" t="s">
        <v>83</v>
      </c>
      <c r="AB317" s="6">
        <v>1176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 t="s">
        <v>1353</v>
      </c>
      <c r="AJ317" s="6" t="s">
        <v>259</v>
      </c>
      <c r="AK317" s="6" t="s">
        <v>14</v>
      </c>
      <c r="AL317" s="6" t="s">
        <v>50</v>
      </c>
      <c r="AM317" s="6" t="s">
        <v>260</v>
      </c>
      <c r="AN317" s="6" t="s">
        <v>20</v>
      </c>
      <c r="AO317" s="6" t="s">
        <v>250</v>
      </c>
      <c r="AP317" s="6" t="s">
        <v>251</v>
      </c>
      <c r="AQ317" s="6" t="s">
        <v>18</v>
      </c>
    </row>
    <row r="318" spans="1:43" x14ac:dyDescent="0.25">
      <c r="A318" s="6">
        <v>22656880</v>
      </c>
      <c r="B318" s="6">
        <v>23465760</v>
      </c>
      <c r="C318" s="6" t="s">
        <v>237</v>
      </c>
      <c r="D318" s="14">
        <v>45869.417210648149</v>
      </c>
      <c r="E318" s="14">
        <v>45869.417256944442</v>
      </c>
      <c r="F318" s="6" t="s">
        <v>23</v>
      </c>
      <c r="G318" s="6" t="s">
        <v>23</v>
      </c>
      <c r="H318" s="6" t="s">
        <v>1354</v>
      </c>
      <c r="I318" s="6" t="s">
        <v>14</v>
      </c>
      <c r="J318" s="6" t="s">
        <v>1335</v>
      </c>
      <c r="K318" s="6" t="s">
        <v>1336</v>
      </c>
      <c r="L318" s="6" t="s">
        <v>1336</v>
      </c>
      <c r="M318" s="14">
        <v>45854.643750000003</v>
      </c>
      <c r="N318" s="6">
        <v>17054452</v>
      </c>
      <c r="O318" s="6" t="s">
        <v>83</v>
      </c>
      <c r="P318" s="6" t="s">
        <v>272</v>
      </c>
      <c r="Q318" s="6" t="s">
        <v>243</v>
      </c>
      <c r="R318" s="6" t="s">
        <v>244</v>
      </c>
      <c r="S318" s="6" t="s">
        <v>3</v>
      </c>
      <c r="T318" s="6" t="s">
        <v>245</v>
      </c>
      <c r="U318" s="6" t="s">
        <v>117</v>
      </c>
      <c r="V318" s="6" t="s">
        <v>1337</v>
      </c>
      <c r="W318" s="6" t="s">
        <v>83</v>
      </c>
      <c r="X318" s="6" t="s">
        <v>83</v>
      </c>
      <c r="Y318" s="6" t="s">
        <v>83</v>
      </c>
      <c r="Z318" s="6" t="s">
        <v>52</v>
      </c>
      <c r="AA318" s="6" t="s">
        <v>83</v>
      </c>
      <c r="AB318" s="6">
        <v>836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1355</v>
      </c>
      <c r="AJ318" s="6" t="s">
        <v>259</v>
      </c>
      <c r="AK318" s="6" t="s">
        <v>14</v>
      </c>
      <c r="AL318" s="6" t="s">
        <v>50</v>
      </c>
      <c r="AM318" s="6" t="s">
        <v>260</v>
      </c>
      <c r="AN318" s="6" t="s">
        <v>20</v>
      </c>
      <c r="AO318" s="6" t="s">
        <v>250</v>
      </c>
      <c r="AP318" s="6" t="s">
        <v>251</v>
      </c>
      <c r="AQ318" s="6" t="s">
        <v>18</v>
      </c>
    </row>
    <row r="319" spans="1:43" x14ac:dyDescent="0.25">
      <c r="A319" s="6">
        <v>22656881</v>
      </c>
      <c r="B319" s="6">
        <v>23465761</v>
      </c>
      <c r="C319" s="6" t="s">
        <v>237</v>
      </c>
      <c r="D319" s="14">
        <v>45869.417210648149</v>
      </c>
      <c r="E319" s="14">
        <v>45869.417268518519</v>
      </c>
      <c r="F319" s="6" t="s">
        <v>23</v>
      </c>
      <c r="G319" s="6" t="s">
        <v>23</v>
      </c>
      <c r="H319" s="6" t="s">
        <v>1356</v>
      </c>
      <c r="I319" s="6" t="s">
        <v>14</v>
      </c>
      <c r="J319" s="6" t="s">
        <v>1346</v>
      </c>
      <c r="K319" s="6" t="s">
        <v>1336</v>
      </c>
      <c r="L319" s="6" t="s">
        <v>1336</v>
      </c>
      <c r="M319" s="14">
        <v>45854.631944444453</v>
      </c>
      <c r="N319" s="6">
        <v>17064048</v>
      </c>
      <c r="O319" s="6" t="s">
        <v>83</v>
      </c>
      <c r="P319" s="6" t="s">
        <v>272</v>
      </c>
      <c r="Q319" s="6" t="s">
        <v>243</v>
      </c>
      <c r="R319" s="6" t="s">
        <v>244</v>
      </c>
      <c r="S319" s="6" t="s">
        <v>3</v>
      </c>
      <c r="T319" s="6" t="s">
        <v>245</v>
      </c>
      <c r="U319" s="6" t="s">
        <v>117</v>
      </c>
      <c r="V319" s="6" t="s">
        <v>1337</v>
      </c>
      <c r="W319" s="6" t="s">
        <v>83</v>
      </c>
      <c r="X319" s="6" t="s">
        <v>83</v>
      </c>
      <c r="Y319" s="6" t="s">
        <v>83</v>
      </c>
      <c r="Z319" s="6" t="s">
        <v>52</v>
      </c>
      <c r="AA319" s="6" t="s">
        <v>83</v>
      </c>
      <c r="AB319" s="6">
        <v>1176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 t="s">
        <v>1357</v>
      </c>
      <c r="AJ319" s="6" t="s">
        <v>259</v>
      </c>
      <c r="AK319" s="6" t="s">
        <v>14</v>
      </c>
      <c r="AL319" s="6" t="s">
        <v>50</v>
      </c>
      <c r="AM319" s="6" t="s">
        <v>260</v>
      </c>
      <c r="AN319" s="6" t="s">
        <v>20</v>
      </c>
      <c r="AO319" s="6" t="s">
        <v>250</v>
      </c>
      <c r="AP319" s="6" t="s">
        <v>251</v>
      </c>
      <c r="AQ319" s="6" t="s">
        <v>18</v>
      </c>
    </row>
    <row r="320" spans="1:43" x14ac:dyDescent="0.25">
      <c r="A320" s="6">
        <v>22656882</v>
      </c>
      <c r="B320" s="6">
        <v>23465762</v>
      </c>
      <c r="C320" s="6" t="s">
        <v>237</v>
      </c>
      <c r="D320" s="14">
        <v>45869.417245370372</v>
      </c>
      <c r="E320" s="14">
        <v>45869.42087962963</v>
      </c>
      <c r="F320" s="6" t="s">
        <v>23</v>
      </c>
      <c r="G320" s="6" t="s">
        <v>23</v>
      </c>
      <c r="H320" s="6" t="s">
        <v>1358</v>
      </c>
      <c r="I320" s="6" t="s">
        <v>14</v>
      </c>
      <c r="J320" s="6" t="s">
        <v>1335</v>
      </c>
      <c r="K320" s="6" t="s">
        <v>1336</v>
      </c>
      <c r="L320" s="6" t="s">
        <v>1336</v>
      </c>
      <c r="M320" s="14">
        <v>45866.466666666667</v>
      </c>
      <c r="N320" s="6">
        <v>17075499</v>
      </c>
      <c r="O320" s="6" t="s">
        <v>83</v>
      </c>
      <c r="P320" s="6" t="s">
        <v>272</v>
      </c>
      <c r="Q320" s="6" t="s">
        <v>243</v>
      </c>
      <c r="R320" s="6" t="s">
        <v>244</v>
      </c>
      <c r="S320" s="6" t="s">
        <v>3</v>
      </c>
      <c r="T320" s="6" t="s">
        <v>245</v>
      </c>
      <c r="U320" s="6" t="s">
        <v>117</v>
      </c>
      <c r="V320" s="6" t="s">
        <v>1337</v>
      </c>
      <c r="W320" s="6" t="s">
        <v>83</v>
      </c>
      <c r="X320" s="6" t="s">
        <v>83</v>
      </c>
      <c r="Y320" s="6" t="s">
        <v>83</v>
      </c>
      <c r="Z320" s="6" t="s">
        <v>52</v>
      </c>
      <c r="AA320" s="6" t="s">
        <v>83</v>
      </c>
      <c r="AB320" s="6">
        <v>418</v>
      </c>
      <c r="AC320" s="6">
        <v>0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1359</v>
      </c>
      <c r="AJ320" s="6" t="s">
        <v>259</v>
      </c>
      <c r="AK320" s="6" t="s">
        <v>14</v>
      </c>
      <c r="AL320" s="6" t="s">
        <v>50</v>
      </c>
      <c r="AM320" s="6" t="s">
        <v>260</v>
      </c>
      <c r="AN320" s="6" t="s">
        <v>20</v>
      </c>
      <c r="AO320" s="6" t="s">
        <v>250</v>
      </c>
      <c r="AP320" s="6" t="s">
        <v>251</v>
      </c>
      <c r="AQ320" s="6" t="s">
        <v>18</v>
      </c>
    </row>
    <row r="321" spans="1:43" x14ac:dyDescent="0.25">
      <c r="A321" s="6">
        <v>22619685</v>
      </c>
      <c r="B321" s="6">
        <v>23435117</v>
      </c>
      <c r="C321" s="6" t="s">
        <v>237</v>
      </c>
      <c r="D321" s="14">
        <v>45862.625439814823</v>
      </c>
      <c r="E321" s="14">
        <v>45862.625520833331</v>
      </c>
      <c r="F321" s="46" t="s">
        <v>25</v>
      </c>
      <c r="G321" s="46" t="s">
        <v>25</v>
      </c>
      <c r="H321" s="6" t="s">
        <v>1360</v>
      </c>
      <c r="I321" s="6" t="s">
        <v>14</v>
      </c>
      <c r="J321" s="6" t="s">
        <v>1346</v>
      </c>
      <c r="K321" s="6" t="s">
        <v>1336</v>
      </c>
      <c r="L321" s="6" t="s">
        <v>1336</v>
      </c>
      <c r="M321" s="14">
        <v>45854.635416666657</v>
      </c>
      <c r="N321" s="6">
        <v>17054223</v>
      </c>
      <c r="O321" s="6" t="s">
        <v>83</v>
      </c>
      <c r="P321" s="6" t="s">
        <v>272</v>
      </c>
      <c r="Q321" s="6" t="s">
        <v>243</v>
      </c>
      <c r="R321" s="6" t="s">
        <v>244</v>
      </c>
      <c r="S321" s="6" t="s">
        <v>3</v>
      </c>
      <c r="T321" s="6" t="s">
        <v>245</v>
      </c>
      <c r="U321" s="6" t="s">
        <v>117</v>
      </c>
      <c r="V321" s="6" t="s">
        <v>1337</v>
      </c>
      <c r="W321" s="6" t="s">
        <v>83</v>
      </c>
      <c r="X321" s="6" t="s">
        <v>83</v>
      </c>
      <c r="Y321" s="6" t="s">
        <v>83</v>
      </c>
      <c r="Z321" s="6" t="s">
        <v>52</v>
      </c>
      <c r="AA321" s="6" t="s">
        <v>83</v>
      </c>
      <c r="AB321" s="6">
        <v>1176</v>
      </c>
      <c r="AC321" s="6">
        <v>0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1361</v>
      </c>
      <c r="AJ321" s="6" t="s">
        <v>259</v>
      </c>
      <c r="AK321" s="6" t="s">
        <v>14</v>
      </c>
      <c r="AL321" s="6" t="s">
        <v>50</v>
      </c>
      <c r="AM321" s="6" t="s">
        <v>260</v>
      </c>
      <c r="AN321" s="6" t="s">
        <v>20</v>
      </c>
      <c r="AO321" s="6" t="s">
        <v>250</v>
      </c>
      <c r="AP321" s="6" t="s">
        <v>251</v>
      </c>
      <c r="AQ321" s="6" t="s">
        <v>18</v>
      </c>
    </row>
    <row r="322" spans="1:43" x14ac:dyDescent="0.25">
      <c r="A322" s="6">
        <v>22638329</v>
      </c>
      <c r="B322" s="6">
        <v>23449380</v>
      </c>
      <c r="C322" s="6" t="s">
        <v>237</v>
      </c>
      <c r="D322" s="14">
        <v>45866.583738425928</v>
      </c>
      <c r="E322" s="14">
        <v>45866.584097222221</v>
      </c>
      <c r="F322" s="46" t="s">
        <v>25</v>
      </c>
      <c r="G322" s="46" t="s">
        <v>25</v>
      </c>
      <c r="H322" s="6" t="s">
        <v>1362</v>
      </c>
      <c r="I322" s="6" t="s">
        <v>14</v>
      </c>
      <c r="J322" s="6" t="s">
        <v>1335</v>
      </c>
      <c r="K322" s="6" t="s">
        <v>1336</v>
      </c>
      <c r="L322" s="6" t="s">
        <v>1336</v>
      </c>
      <c r="M322" s="14">
        <v>45854.640972222223</v>
      </c>
      <c r="N322" s="6">
        <v>17051581</v>
      </c>
      <c r="O322" s="6" t="s">
        <v>83</v>
      </c>
      <c r="P322" s="6" t="s">
        <v>272</v>
      </c>
      <c r="Q322" s="6" t="s">
        <v>243</v>
      </c>
      <c r="R322" s="6" t="s">
        <v>244</v>
      </c>
      <c r="S322" s="6" t="s">
        <v>3</v>
      </c>
      <c r="T322" s="6" t="s">
        <v>245</v>
      </c>
      <c r="U322" s="6" t="s">
        <v>117</v>
      </c>
      <c r="V322" s="6" t="s">
        <v>1337</v>
      </c>
      <c r="W322" s="6" t="s">
        <v>83</v>
      </c>
      <c r="X322" s="6" t="s">
        <v>83</v>
      </c>
      <c r="Y322" s="6" t="s">
        <v>83</v>
      </c>
      <c r="Z322" s="6" t="s">
        <v>52</v>
      </c>
      <c r="AA322" s="6" t="s">
        <v>83</v>
      </c>
      <c r="AB322" s="6">
        <v>418</v>
      </c>
      <c r="AC322" s="6">
        <v>0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1363</v>
      </c>
      <c r="AJ322" s="6" t="s">
        <v>259</v>
      </c>
      <c r="AK322" s="6" t="s">
        <v>14</v>
      </c>
      <c r="AL322" s="6" t="s">
        <v>50</v>
      </c>
      <c r="AM322" s="6" t="s">
        <v>260</v>
      </c>
      <c r="AN322" s="6" t="s">
        <v>20</v>
      </c>
      <c r="AO322" s="6" t="s">
        <v>250</v>
      </c>
      <c r="AP322" s="6" t="s">
        <v>251</v>
      </c>
      <c r="AQ322" s="6" t="s">
        <v>18</v>
      </c>
    </row>
    <row r="323" spans="1:43" x14ac:dyDescent="0.25">
      <c r="A323" s="6">
        <v>22638330</v>
      </c>
      <c r="B323" s="6">
        <v>23449381</v>
      </c>
      <c r="C323" s="6" t="s">
        <v>237</v>
      </c>
      <c r="D323" s="14">
        <v>45866.583749999998</v>
      </c>
      <c r="E323" s="14">
        <v>45866.584108796298</v>
      </c>
      <c r="F323" s="46" t="s">
        <v>25</v>
      </c>
      <c r="G323" s="46" t="s">
        <v>25</v>
      </c>
      <c r="H323" s="6" t="s">
        <v>1364</v>
      </c>
      <c r="I323" s="6" t="s">
        <v>14</v>
      </c>
      <c r="J323" s="6" t="s">
        <v>1335</v>
      </c>
      <c r="K323" s="6" t="s">
        <v>1336</v>
      </c>
      <c r="L323" s="6" t="s">
        <v>1336</v>
      </c>
      <c r="M323" s="14">
        <v>45854.64166666667</v>
      </c>
      <c r="N323" s="6">
        <v>17051581</v>
      </c>
      <c r="O323" s="6" t="s">
        <v>83</v>
      </c>
      <c r="P323" s="6" t="s">
        <v>272</v>
      </c>
      <c r="Q323" s="6" t="s">
        <v>243</v>
      </c>
      <c r="R323" s="6" t="s">
        <v>244</v>
      </c>
      <c r="S323" s="6" t="s">
        <v>3</v>
      </c>
      <c r="T323" s="6" t="s">
        <v>245</v>
      </c>
      <c r="U323" s="6" t="s">
        <v>117</v>
      </c>
      <c r="V323" s="6" t="s">
        <v>1337</v>
      </c>
      <c r="W323" s="6" t="s">
        <v>83</v>
      </c>
      <c r="X323" s="6" t="s">
        <v>83</v>
      </c>
      <c r="Y323" s="6" t="s">
        <v>83</v>
      </c>
      <c r="Z323" s="6" t="s">
        <v>52</v>
      </c>
      <c r="AA323" s="6" t="s">
        <v>83</v>
      </c>
      <c r="AB323" s="6">
        <v>418</v>
      </c>
      <c r="AC323" s="6">
        <v>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1363</v>
      </c>
      <c r="AJ323" s="6" t="s">
        <v>259</v>
      </c>
      <c r="AK323" s="6" t="s">
        <v>14</v>
      </c>
      <c r="AL323" s="6" t="s">
        <v>50</v>
      </c>
      <c r="AM323" s="6" t="s">
        <v>260</v>
      </c>
      <c r="AN323" s="6" t="s">
        <v>20</v>
      </c>
      <c r="AO323" s="6" t="s">
        <v>250</v>
      </c>
      <c r="AP323" s="6" t="s">
        <v>251</v>
      </c>
      <c r="AQ323" s="6" t="s">
        <v>18</v>
      </c>
    </row>
    <row r="324" spans="1:43" x14ac:dyDescent="0.25">
      <c r="A324" s="6">
        <v>22638331</v>
      </c>
      <c r="B324" s="6">
        <v>23449382</v>
      </c>
      <c r="C324" s="6" t="s">
        <v>237</v>
      </c>
      <c r="D324" s="14">
        <v>45866.583761574067</v>
      </c>
      <c r="E324" s="14">
        <v>45866.584120370368</v>
      </c>
      <c r="F324" s="46" t="s">
        <v>25</v>
      </c>
      <c r="G324" s="46" t="s">
        <v>25</v>
      </c>
      <c r="H324" s="6" t="s">
        <v>1365</v>
      </c>
      <c r="I324" s="6" t="s">
        <v>14</v>
      </c>
      <c r="J324" s="6" t="s">
        <v>1335</v>
      </c>
      <c r="K324" s="6" t="s">
        <v>1336</v>
      </c>
      <c r="L324" s="6" t="s">
        <v>1336</v>
      </c>
      <c r="M324" s="14">
        <v>45859.587500000001</v>
      </c>
      <c r="N324" s="6">
        <v>17075042</v>
      </c>
      <c r="O324" s="6" t="s">
        <v>83</v>
      </c>
      <c r="P324" s="6" t="s">
        <v>272</v>
      </c>
      <c r="Q324" s="6" t="s">
        <v>243</v>
      </c>
      <c r="R324" s="6" t="s">
        <v>244</v>
      </c>
      <c r="S324" s="6" t="s">
        <v>3</v>
      </c>
      <c r="T324" s="6" t="s">
        <v>245</v>
      </c>
      <c r="U324" s="6" t="s">
        <v>117</v>
      </c>
      <c r="V324" s="6" t="s">
        <v>1337</v>
      </c>
      <c r="W324" s="6" t="s">
        <v>83</v>
      </c>
      <c r="X324" s="6" t="s">
        <v>83</v>
      </c>
      <c r="Y324" s="6" t="s">
        <v>83</v>
      </c>
      <c r="Z324" s="6" t="s">
        <v>52</v>
      </c>
      <c r="AA324" s="6" t="s">
        <v>83</v>
      </c>
      <c r="AB324" s="6">
        <v>230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 t="s">
        <v>1366</v>
      </c>
      <c r="AJ324" s="6" t="s">
        <v>259</v>
      </c>
      <c r="AK324" s="6" t="s">
        <v>14</v>
      </c>
      <c r="AL324" s="6" t="s">
        <v>50</v>
      </c>
      <c r="AM324" s="6" t="s">
        <v>260</v>
      </c>
      <c r="AN324" s="6" t="s">
        <v>20</v>
      </c>
      <c r="AO324" s="6" t="s">
        <v>250</v>
      </c>
      <c r="AP324" s="6" t="s">
        <v>251</v>
      </c>
      <c r="AQ324" s="6" t="s">
        <v>18</v>
      </c>
    </row>
    <row r="325" spans="1:43" x14ac:dyDescent="0.25">
      <c r="A325" s="6">
        <v>22638332</v>
      </c>
      <c r="B325" s="6">
        <v>23449383</v>
      </c>
      <c r="C325" s="6" t="s">
        <v>237</v>
      </c>
      <c r="D325" s="14">
        <v>45866.583773148152</v>
      </c>
      <c r="E325" s="14">
        <v>45866.584120370368</v>
      </c>
      <c r="F325" s="46" t="s">
        <v>25</v>
      </c>
      <c r="G325" s="46" t="s">
        <v>25</v>
      </c>
      <c r="H325" s="6" t="s">
        <v>1367</v>
      </c>
      <c r="I325" s="6" t="s">
        <v>14</v>
      </c>
      <c r="J325" s="6" t="s">
        <v>1368</v>
      </c>
      <c r="K325" s="6" t="s">
        <v>1336</v>
      </c>
      <c r="L325" s="6" t="s">
        <v>1336</v>
      </c>
      <c r="M325" s="14">
        <v>45859.587500000001</v>
      </c>
      <c r="N325" s="6">
        <v>17075092</v>
      </c>
      <c r="O325" s="6" t="s">
        <v>83</v>
      </c>
      <c r="P325" s="6" t="s">
        <v>272</v>
      </c>
      <c r="Q325" s="6" t="s">
        <v>243</v>
      </c>
      <c r="R325" s="6" t="s">
        <v>244</v>
      </c>
      <c r="S325" s="6" t="s">
        <v>3</v>
      </c>
      <c r="T325" s="6" t="s">
        <v>245</v>
      </c>
      <c r="U325" s="6" t="s">
        <v>117</v>
      </c>
      <c r="V325" s="6" t="s">
        <v>1337</v>
      </c>
      <c r="W325" s="6" t="s">
        <v>83</v>
      </c>
      <c r="X325" s="6" t="s">
        <v>83</v>
      </c>
      <c r="Y325" s="6" t="s">
        <v>83</v>
      </c>
      <c r="Z325" s="6" t="s">
        <v>52</v>
      </c>
      <c r="AA325" s="6" t="s">
        <v>83</v>
      </c>
      <c r="AB325" s="6">
        <v>432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1369</v>
      </c>
      <c r="AJ325" s="6" t="s">
        <v>259</v>
      </c>
      <c r="AK325" s="6" t="s">
        <v>14</v>
      </c>
      <c r="AL325" s="6" t="s">
        <v>50</v>
      </c>
      <c r="AM325" s="6" t="s">
        <v>260</v>
      </c>
      <c r="AN325" s="6" t="s">
        <v>20</v>
      </c>
      <c r="AO325" s="6" t="s">
        <v>250</v>
      </c>
      <c r="AP325" s="6" t="s">
        <v>251</v>
      </c>
      <c r="AQ325" s="6" t="s">
        <v>18</v>
      </c>
    </row>
    <row r="326" spans="1:43" x14ac:dyDescent="0.25">
      <c r="A326" s="6">
        <v>22638333</v>
      </c>
      <c r="B326" s="6">
        <v>23449384</v>
      </c>
      <c r="C326" s="6" t="s">
        <v>237</v>
      </c>
      <c r="D326" s="14">
        <v>45866.583784722221</v>
      </c>
      <c r="E326" s="14">
        <v>45866.584120370368</v>
      </c>
      <c r="F326" s="46" t="s">
        <v>25</v>
      </c>
      <c r="G326" s="46" t="s">
        <v>25</v>
      </c>
      <c r="H326" s="6" t="s">
        <v>1370</v>
      </c>
      <c r="I326" s="6" t="s">
        <v>14</v>
      </c>
      <c r="J326" s="6" t="s">
        <v>1368</v>
      </c>
      <c r="K326" s="6" t="s">
        <v>1336</v>
      </c>
      <c r="L326" s="6" t="s">
        <v>1336</v>
      </c>
      <c r="M326" s="14">
        <v>45855.611111111109</v>
      </c>
      <c r="N326" s="6">
        <v>17075165</v>
      </c>
      <c r="O326" s="6" t="s">
        <v>83</v>
      </c>
      <c r="P326" s="6" t="s">
        <v>272</v>
      </c>
      <c r="Q326" s="6" t="s">
        <v>243</v>
      </c>
      <c r="R326" s="6" t="s">
        <v>244</v>
      </c>
      <c r="S326" s="6" t="s">
        <v>3</v>
      </c>
      <c r="T326" s="6" t="s">
        <v>245</v>
      </c>
      <c r="U326" s="6" t="s">
        <v>117</v>
      </c>
      <c r="V326" s="6" t="s">
        <v>1337</v>
      </c>
      <c r="W326" s="6" t="s">
        <v>83</v>
      </c>
      <c r="X326" s="6" t="s">
        <v>83</v>
      </c>
      <c r="Y326" s="6" t="s">
        <v>83</v>
      </c>
      <c r="Z326" s="6" t="s">
        <v>52</v>
      </c>
      <c r="AA326" s="6" t="s">
        <v>83</v>
      </c>
      <c r="AB326" s="6">
        <v>209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1371</v>
      </c>
      <c r="AJ326" s="6" t="s">
        <v>259</v>
      </c>
      <c r="AK326" s="6" t="s">
        <v>14</v>
      </c>
      <c r="AL326" s="6" t="s">
        <v>50</v>
      </c>
      <c r="AM326" s="6" t="s">
        <v>260</v>
      </c>
      <c r="AN326" s="6" t="s">
        <v>20</v>
      </c>
      <c r="AO326" s="6" t="s">
        <v>250</v>
      </c>
      <c r="AP326" s="6" t="s">
        <v>251</v>
      </c>
      <c r="AQ326" s="6" t="s">
        <v>18</v>
      </c>
    </row>
    <row r="327" spans="1:43" x14ac:dyDescent="0.25">
      <c r="A327" s="6">
        <v>22638334</v>
      </c>
      <c r="B327" s="6">
        <v>23449385</v>
      </c>
      <c r="C327" s="6" t="s">
        <v>237</v>
      </c>
      <c r="D327" s="14">
        <v>45866.583796296298</v>
      </c>
      <c r="E327" s="14">
        <v>45866.584131944437</v>
      </c>
      <c r="F327" s="46" t="s">
        <v>25</v>
      </c>
      <c r="G327" s="46" t="s">
        <v>25</v>
      </c>
      <c r="H327" s="6" t="s">
        <v>1372</v>
      </c>
      <c r="I327" s="6" t="s">
        <v>14</v>
      </c>
      <c r="J327" s="6" t="s">
        <v>1368</v>
      </c>
      <c r="K327" s="6" t="s">
        <v>1336</v>
      </c>
      <c r="L327" s="6" t="s">
        <v>1336</v>
      </c>
      <c r="M327" s="14">
        <v>45855.61041666667</v>
      </c>
      <c r="N327" s="6">
        <v>17075193</v>
      </c>
      <c r="O327" s="6" t="s">
        <v>83</v>
      </c>
      <c r="P327" s="6" t="s">
        <v>272</v>
      </c>
      <c r="Q327" s="6" t="s">
        <v>243</v>
      </c>
      <c r="R327" s="6" t="s">
        <v>244</v>
      </c>
      <c r="S327" s="6" t="s">
        <v>3</v>
      </c>
      <c r="T327" s="6" t="s">
        <v>245</v>
      </c>
      <c r="U327" s="6" t="s">
        <v>117</v>
      </c>
      <c r="V327" s="6" t="s">
        <v>1337</v>
      </c>
      <c r="W327" s="6" t="s">
        <v>83</v>
      </c>
      <c r="X327" s="6" t="s">
        <v>83</v>
      </c>
      <c r="Y327" s="6" t="s">
        <v>83</v>
      </c>
      <c r="Z327" s="6" t="s">
        <v>52</v>
      </c>
      <c r="AA327" s="6" t="s">
        <v>83</v>
      </c>
      <c r="AB327" s="6">
        <v>209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1373</v>
      </c>
      <c r="AJ327" s="6" t="s">
        <v>259</v>
      </c>
      <c r="AK327" s="6" t="s">
        <v>14</v>
      </c>
      <c r="AL327" s="6" t="s">
        <v>50</v>
      </c>
      <c r="AM327" s="6" t="s">
        <v>260</v>
      </c>
      <c r="AN327" s="6" t="s">
        <v>20</v>
      </c>
      <c r="AO327" s="6" t="s">
        <v>250</v>
      </c>
      <c r="AP327" s="6" t="s">
        <v>251</v>
      </c>
      <c r="AQ327" s="6" t="s">
        <v>18</v>
      </c>
    </row>
    <row r="328" spans="1:43" x14ac:dyDescent="0.25">
      <c r="A328" s="6">
        <v>22638335</v>
      </c>
      <c r="B328" s="6">
        <v>23449386</v>
      </c>
      <c r="C328" s="6" t="s">
        <v>237</v>
      </c>
      <c r="D328" s="14">
        <v>45866.583807870367</v>
      </c>
      <c r="E328" s="14">
        <v>45866.584131944437</v>
      </c>
      <c r="F328" s="46" t="s">
        <v>25</v>
      </c>
      <c r="G328" s="46" t="s">
        <v>25</v>
      </c>
      <c r="H328" s="6" t="s">
        <v>1374</v>
      </c>
      <c r="I328" s="6" t="s">
        <v>14</v>
      </c>
      <c r="J328" s="6" t="s">
        <v>1368</v>
      </c>
      <c r="K328" s="6" t="s">
        <v>1336</v>
      </c>
      <c r="L328" s="6" t="s">
        <v>1336</v>
      </c>
      <c r="M328" s="14">
        <v>45855.604166666657</v>
      </c>
      <c r="N328" s="6">
        <v>17075303</v>
      </c>
      <c r="O328" s="6" t="s">
        <v>83</v>
      </c>
      <c r="P328" s="6" t="s">
        <v>272</v>
      </c>
      <c r="Q328" s="6" t="s">
        <v>243</v>
      </c>
      <c r="R328" s="6" t="s">
        <v>244</v>
      </c>
      <c r="S328" s="6" t="s">
        <v>3</v>
      </c>
      <c r="T328" s="6" t="s">
        <v>245</v>
      </c>
      <c r="U328" s="6" t="s">
        <v>117</v>
      </c>
      <c r="V328" s="6" t="s">
        <v>1337</v>
      </c>
      <c r="W328" s="6" t="s">
        <v>83</v>
      </c>
      <c r="X328" s="6" t="s">
        <v>83</v>
      </c>
      <c r="Y328" s="6" t="s">
        <v>83</v>
      </c>
      <c r="Z328" s="6" t="s">
        <v>52</v>
      </c>
      <c r="AA328" s="6" t="s">
        <v>83</v>
      </c>
      <c r="AB328" s="6">
        <v>418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1375</v>
      </c>
      <c r="AJ328" s="6" t="s">
        <v>259</v>
      </c>
      <c r="AK328" s="6" t="s">
        <v>14</v>
      </c>
      <c r="AL328" s="6" t="s">
        <v>50</v>
      </c>
      <c r="AM328" s="6" t="s">
        <v>260</v>
      </c>
      <c r="AN328" s="6" t="s">
        <v>20</v>
      </c>
      <c r="AO328" s="6" t="s">
        <v>250</v>
      </c>
      <c r="AP328" s="6" t="s">
        <v>251</v>
      </c>
      <c r="AQ328" s="6" t="s">
        <v>18</v>
      </c>
    </row>
    <row r="329" spans="1:43" x14ac:dyDescent="0.25">
      <c r="A329" s="6">
        <v>22638336</v>
      </c>
      <c r="B329" s="6">
        <v>23449387</v>
      </c>
      <c r="C329" s="6" t="s">
        <v>237</v>
      </c>
      <c r="D329" s="14">
        <v>45866.583819444437</v>
      </c>
      <c r="E329" s="14">
        <v>45866.584131944437</v>
      </c>
      <c r="F329" s="46" t="s">
        <v>25</v>
      </c>
      <c r="G329" s="46" t="s">
        <v>25</v>
      </c>
      <c r="H329" s="6" t="s">
        <v>1376</v>
      </c>
      <c r="I329" s="6" t="s">
        <v>14</v>
      </c>
      <c r="J329" s="6" t="s">
        <v>1335</v>
      </c>
      <c r="K329" s="6" t="s">
        <v>1336</v>
      </c>
      <c r="L329" s="6" t="s">
        <v>1336</v>
      </c>
      <c r="M329" s="14">
        <v>45855.602083333331</v>
      </c>
      <c r="N329" s="6">
        <v>17075441</v>
      </c>
      <c r="O329" s="6" t="s">
        <v>83</v>
      </c>
      <c r="P329" s="6" t="s">
        <v>272</v>
      </c>
      <c r="Q329" s="6" t="s">
        <v>243</v>
      </c>
      <c r="R329" s="6" t="s">
        <v>244</v>
      </c>
      <c r="S329" s="6" t="s">
        <v>3</v>
      </c>
      <c r="T329" s="6" t="s">
        <v>245</v>
      </c>
      <c r="U329" s="6" t="s">
        <v>117</v>
      </c>
      <c r="V329" s="6" t="s">
        <v>1337</v>
      </c>
      <c r="W329" s="6" t="s">
        <v>83</v>
      </c>
      <c r="X329" s="6" t="s">
        <v>83</v>
      </c>
      <c r="Y329" s="6" t="s">
        <v>83</v>
      </c>
      <c r="Z329" s="6" t="s">
        <v>52</v>
      </c>
      <c r="AA329" s="6" t="s">
        <v>83</v>
      </c>
      <c r="AB329" s="6">
        <v>209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1377</v>
      </c>
      <c r="AJ329" s="6" t="s">
        <v>259</v>
      </c>
      <c r="AK329" s="6" t="s">
        <v>14</v>
      </c>
      <c r="AL329" s="6" t="s">
        <v>50</v>
      </c>
      <c r="AM329" s="6" t="s">
        <v>260</v>
      </c>
      <c r="AN329" s="6" t="s">
        <v>20</v>
      </c>
      <c r="AO329" s="6" t="s">
        <v>250</v>
      </c>
      <c r="AP329" s="6" t="s">
        <v>251</v>
      </c>
      <c r="AQ329" s="6" t="s">
        <v>18</v>
      </c>
    </row>
    <row r="330" spans="1:43" x14ac:dyDescent="0.25">
      <c r="A330" s="6">
        <v>22638988</v>
      </c>
      <c r="B330" s="6">
        <v>23450028</v>
      </c>
      <c r="C330" s="6" t="s">
        <v>237</v>
      </c>
      <c r="D330" s="14">
        <v>45866.667094907411</v>
      </c>
      <c r="E330" s="14">
        <v>45866.667291666658</v>
      </c>
      <c r="F330" s="46" t="s">
        <v>25</v>
      </c>
      <c r="G330" s="46" t="s">
        <v>25</v>
      </c>
      <c r="H330" s="6" t="s">
        <v>1378</v>
      </c>
      <c r="I330" s="6" t="s">
        <v>14</v>
      </c>
      <c r="J330" s="6" t="s">
        <v>1368</v>
      </c>
      <c r="K330" s="6" t="s">
        <v>1336</v>
      </c>
      <c r="L330" s="6" t="s">
        <v>1336</v>
      </c>
      <c r="M330" s="14">
        <v>45855.600694444453</v>
      </c>
      <c r="N330" s="6">
        <v>17075466</v>
      </c>
      <c r="O330" s="6" t="s">
        <v>83</v>
      </c>
      <c r="P330" s="6" t="s">
        <v>272</v>
      </c>
      <c r="Q330" s="6" t="s">
        <v>243</v>
      </c>
      <c r="R330" s="6" t="s">
        <v>244</v>
      </c>
      <c r="S330" s="6" t="s">
        <v>3</v>
      </c>
      <c r="T330" s="6" t="s">
        <v>245</v>
      </c>
      <c r="U330" s="6" t="s">
        <v>117</v>
      </c>
      <c r="V330" s="6" t="s">
        <v>1337</v>
      </c>
      <c r="W330" s="6" t="s">
        <v>83</v>
      </c>
      <c r="X330" s="6" t="s">
        <v>83</v>
      </c>
      <c r="Y330" s="6" t="s">
        <v>83</v>
      </c>
      <c r="Z330" s="6" t="s">
        <v>52</v>
      </c>
      <c r="AA330" s="6" t="s">
        <v>83</v>
      </c>
      <c r="AB330" s="6">
        <v>209</v>
      </c>
      <c r="AC330" s="6">
        <v>0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1379</v>
      </c>
      <c r="AJ330" s="6" t="s">
        <v>259</v>
      </c>
      <c r="AK330" s="6" t="s">
        <v>14</v>
      </c>
      <c r="AL330" s="6" t="s">
        <v>50</v>
      </c>
      <c r="AM330" s="6" t="s">
        <v>260</v>
      </c>
      <c r="AN330" s="6" t="s">
        <v>20</v>
      </c>
      <c r="AO330" s="6" t="s">
        <v>250</v>
      </c>
      <c r="AP330" s="6" t="s">
        <v>251</v>
      </c>
      <c r="AQ330" s="6" t="s">
        <v>18</v>
      </c>
    </row>
    <row r="331" spans="1:43" x14ac:dyDescent="0.25">
      <c r="A331" s="6">
        <v>22491919</v>
      </c>
      <c r="B331" s="6">
        <v>23326323</v>
      </c>
      <c r="C331" s="6" t="s">
        <v>237</v>
      </c>
      <c r="D331" s="14">
        <v>45839.709976851853</v>
      </c>
      <c r="E331" s="14">
        <v>45841.487719907411</v>
      </c>
      <c r="F331" s="46" t="s">
        <v>29</v>
      </c>
      <c r="G331" s="46" t="s">
        <v>29</v>
      </c>
      <c r="H331" s="6" t="s">
        <v>1380</v>
      </c>
      <c r="I331" s="6" t="s">
        <v>14</v>
      </c>
      <c r="J331" s="6" t="s">
        <v>1381</v>
      </c>
      <c r="K331" s="6" t="s">
        <v>1336</v>
      </c>
      <c r="L331" s="6" t="s">
        <v>1336</v>
      </c>
      <c r="M331" s="14">
        <v>45839.426388888889</v>
      </c>
      <c r="N331" s="6">
        <v>16949647</v>
      </c>
      <c r="O331" s="6" t="s">
        <v>83</v>
      </c>
      <c r="P331" s="6" t="s">
        <v>272</v>
      </c>
      <c r="Q331" s="6" t="s">
        <v>243</v>
      </c>
      <c r="R331" s="6" t="s">
        <v>244</v>
      </c>
      <c r="S331" s="6" t="s">
        <v>3</v>
      </c>
      <c r="T331" s="6" t="s">
        <v>449</v>
      </c>
      <c r="U331" s="6" t="s">
        <v>117</v>
      </c>
      <c r="V331" s="6" t="s">
        <v>1337</v>
      </c>
      <c r="W331" s="6" t="s">
        <v>83</v>
      </c>
      <c r="X331" s="6" t="s">
        <v>83</v>
      </c>
      <c r="Y331" s="6" t="s">
        <v>83</v>
      </c>
      <c r="Z331" s="6" t="s">
        <v>52</v>
      </c>
      <c r="AA331" s="6" t="s">
        <v>83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1382</v>
      </c>
      <c r="AJ331" s="6" t="s">
        <v>259</v>
      </c>
      <c r="AK331" s="6" t="s">
        <v>14</v>
      </c>
      <c r="AL331" s="6" t="s">
        <v>50</v>
      </c>
      <c r="AM331" s="6" t="s">
        <v>260</v>
      </c>
      <c r="AN331" s="6" t="s">
        <v>20</v>
      </c>
      <c r="AO331" s="6" t="s">
        <v>250</v>
      </c>
      <c r="AP331" s="6" t="s">
        <v>251</v>
      </c>
      <c r="AQ331" s="6" t="s">
        <v>18</v>
      </c>
    </row>
    <row r="332" spans="1:43" x14ac:dyDescent="0.25">
      <c r="A332" s="6">
        <v>22573547</v>
      </c>
      <c r="B332" s="6">
        <v>23397190</v>
      </c>
      <c r="C332" s="6" t="s">
        <v>237</v>
      </c>
      <c r="D332" s="14">
        <v>45854.752858796302</v>
      </c>
      <c r="E332" s="14">
        <v>45854.754953703698</v>
      </c>
      <c r="F332" s="46" t="s">
        <v>27</v>
      </c>
      <c r="G332" s="46" t="s">
        <v>27</v>
      </c>
      <c r="H332" s="6" t="s">
        <v>1383</v>
      </c>
      <c r="I332" s="6" t="s">
        <v>14</v>
      </c>
      <c r="J332" s="6" t="s">
        <v>1384</v>
      </c>
      <c r="K332" s="6" t="s">
        <v>1336</v>
      </c>
      <c r="L332" s="6" t="s">
        <v>1336</v>
      </c>
      <c r="M332" s="14">
        <v>45854.599305555559</v>
      </c>
      <c r="N332" s="6">
        <v>17068265</v>
      </c>
      <c r="O332" s="6" t="s">
        <v>83</v>
      </c>
      <c r="P332" s="6" t="s">
        <v>272</v>
      </c>
      <c r="Q332" s="6" t="s">
        <v>243</v>
      </c>
      <c r="R332" s="6" t="s">
        <v>244</v>
      </c>
      <c r="S332" s="6" t="s">
        <v>3</v>
      </c>
      <c r="T332" s="6" t="s">
        <v>245</v>
      </c>
      <c r="U332" s="6" t="s">
        <v>117</v>
      </c>
      <c r="V332" s="6" t="s">
        <v>1337</v>
      </c>
      <c r="W332" s="6" t="s">
        <v>83</v>
      </c>
      <c r="X332" s="6" t="s">
        <v>83</v>
      </c>
      <c r="Y332" s="6" t="s">
        <v>83</v>
      </c>
      <c r="Z332" s="6" t="s">
        <v>52</v>
      </c>
      <c r="AA332" s="6" t="s">
        <v>83</v>
      </c>
      <c r="AB332" s="6">
        <v>3391.92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1385</v>
      </c>
      <c r="AJ332" s="6" t="s">
        <v>259</v>
      </c>
      <c r="AK332" s="6" t="s">
        <v>14</v>
      </c>
      <c r="AL332" s="6" t="s">
        <v>50</v>
      </c>
      <c r="AM332" s="6" t="s">
        <v>260</v>
      </c>
      <c r="AN332" s="6" t="s">
        <v>20</v>
      </c>
      <c r="AO332" s="6" t="s">
        <v>250</v>
      </c>
      <c r="AP332" s="6" t="s">
        <v>251</v>
      </c>
      <c r="AQ332" s="6" t="s">
        <v>18</v>
      </c>
    </row>
    <row r="333" spans="1:43" x14ac:dyDescent="0.25">
      <c r="A333" s="6">
        <v>22585625</v>
      </c>
      <c r="B333" s="6">
        <v>23407310</v>
      </c>
      <c r="C333" s="6" t="s">
        <v>237</v>
      </c>
      <c r="D333" s="14">
        <v>45856.626516203702</v>
      </c>
      <c r="E333" s="14">
        <v>45856.629525462973</v>
      </c>
      <c r="F333" s="46" t="s">
        <v>27</v>
      </c>
      <c r="G333" s="46" t="s">
        <v>27</v>
      </c>
      <c r="H333" s="6" t="s">
        <v>1386</v>
      </c>
      <c r="I333" s="6" t="s">
        <v>14</v>
      </c>
      <c r="J333" s="6" t="s">
        <v>1387</v>
      </c>
      <c r="K333" s="6" t="s">
        <v>1336</v>
      </c>
      <c r="L333" s="6" t="s">
        <v>1336</v>
      </c>
      <c r="M333" s="14">
        <v>45855.674305555563</v>
      </c>
      <c r="N333" s="6">
        <v>17075997</v>
      </c>
      <c r="O333" s="6" t="s">
        <v>83</v>
      </c>
      <c r="P333" s="6" t="s">
        <v>272</v>
      </c>
      <c r="Q333" s="6" t="s">
        <v>243</v>
      </c>
      <c r="R333" s="6" t="s">
        <v>244</v>
      </c>
      <c r="S333" s="6" t="s">
        <v>3</v>
      </c>
      <c r="T333" s="6" t="s">
        <v>245</v>
      </c>
      <c r="U333" s="6" t="s">
        <v>117</v>
      </c>
      <c r="V333" s="6" t="s">
        <v>1337</v>
      </c>
      <c r="W333" s="6" t="s">
        <v>83</v>
      </c>
      <c r="X333" s="6" t="s">
        <v>83</v>
      </c>
      <c r="Y333" s="6" t="s">
        <v>83</v>
      </c>
      <c r="Z333" s="6" t="s">
        <v>52</v>
      </c>
      <c r="AA333" s="6" t="s">
        <v>83</v>
      </c>
      <c r="AB333" s="6">
        <v>3975.72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1388</v>
      </c>
      <c r="AJ333" s="6" t="s">
        <v>259</v>
      </c>
      <c r="AK333" s="6" t="s">
        <v>14</v>
      </c>
      <c r="AL333" s="6" t="s">
        <v>50</v>
      </c>
      <c r="AM333" s="6" t="s">
        <v>260</v>
      </c>
      <c r="AN333" s="6" t="s">
        <v>20</v>
      </c>
      <c r="AO333" s="6" t="s">
        <v>250</v>
      </c>
      <c r="AP333" s="6" t="s">
        <v>251</v>
      </c>
      <c r="AQ333" s="6" t="s">
        <v>18</v>
      </c>
    </row>
    <row r="334" spans="1:43" x14ac:dyDescent="0.25">
      <c r="A334" s="6">
        <v>22585626</v>
      </c>
      <c r="B334" s="6">
        <v>23407311</v>
      </c>
      <c r="C334" s="6" t="s">
        <v>237</v>
      </c>
      <c r="D334" s="14">
        <v>45856.626527777778</v>
      </c>
      <c r="E334" s="14">
        <v>45856.629525462973</v>
      </c>
      <c r="F334" s="46" t="s">
        <v>27</v>
      </c>
      <c r="G334" s="46" t="s">
        <v>27</v>
      </c>
      <c r="H334" s="6" t="s">
        <v>1389</v>
      </c>
      <c r="I334" s="6" t="s">
        <v>14</v>
      </c>
      <c r="J334" s="6" t="s">
        <v>1390</v>
      </c>
      <c r="K334" s="6" t="s">
        <v>1336</v>
      </c>
      <c r="L334" s="6" t="s">
        <v>1336</v>
      </c>
      <c r="M334" s="14">
        <v>45855.673611111109</v>
      </c>
      <c r="N334" s="6">
        <v>17075998</v>
      </c>
      <c r="O334" s="6" t="s">
        <v>83</v>
      </c>
      <c r="P334" s="6" t="s">
        <v>272</v>
      </c>
      <c r="Q334" s="6" t="s">
        <v>243</v>
      </c>
      <c r="R334" s="6" t="s">
        <v>244</v>
      </c>
      <c r="S334" s="6" t="s">
        <v>3</v>
      </c>
      <c r="T334" s="6" t="s">
        <v>245</v>
      </c>
      <c r="U334" s="6" t="s">
        <v>117</v>
      </c>
      <c r="V334" s="6" t="s">
        <v>1337</v>
      </c>
      <c r="W334" s="6" t="s">
        <v>83</v>
      </c>
      <c r="X334" s="6" t="s">
        <v>83</v>
      </c>
      <c r="Y334" s="6" t="s">
        <v>83</v>
      </c>
      <c r="Z334" s="6" t="s">
        <v>52</v>
      </c>
      <c r="AA334" s="6" t="s">
        <v>83</v>
      </c>
      <c r="AB334" s="6">
        <v>3973.41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1391</v>
      </c>
      <c r="AJ334" s="6" t="s">
        <v>259</v>
      </c>
      <c r="AK334" s="6" t="s">
        <v>14</v>
      </c>
      <c r="AL334" s="6" t="s">
        <v>50</v>
      </c>
      <c r="AM334" s="6" t="s">
        <v>260</v>
      </c>
      <c r="AN334" s="6" t="s">
        <v>20</v>
      </c>
      <c r="AO334" s="6" t="s">
        <v>250</v>
      </c>
      <c r="AP334" s="6" t="s">
        <v>251</v>
      </c>
      <c r="AQ334" s="6" t="s">
        <v>18</v>
      </c>
    </row>
    <row r="335" spans="1:43" x14ac:dyDescent="0.25">
      <c r="A335" s="6">
        <v>22585627</v>
      </c>
      <c r="B335" s="6">
        <v>23407312</v>
      </c>
      <c r="C335" s="6" t="s">
        <v>237</v>
      </c>
      <c r="D335" s="14">
        <v>45856.626539351862</v>
      </c>
      <c r="E335" s="14">
        <v>45856.629525462973</v>
      </c>
      <c r="F335" s="46" t="s">
        <v>27</v>
      </c>
      <c r="G335" s="46" t="s">
        <v>27</v>
      </c>
      <c r="H335" s="6" t="s">
        <v>1392</v>
      </c>
      <c r="I335" s="6" t="s">
        <v>14</v>
      </c>
      <c r="J335" s="6" t="s">
        <v>1393</v>
      </c>
      <c r="K335" s="6" t="s">
        <v>1336</v>
      </c>
      <c r="L335" s="6" t="s">
        <v>1336</v>
      </c>
      <c r="M335" s="14">
        <v>45855.619444444441</v>
      </c>
      <c r="N335" s="6">
        <v>17075999</v>
      </c>
      <c r="O335" s="6" t="s">
        <v>83</v>
      </c>
      <c r="P335" s="6" t="s">
        <v>272</v>
      </c>
      <c r="Q335" s="6" t="s">
        <v>243</v>
      </c>
      <c r="R335" s="6" t="s">
        <v>244</v>
      </c>
      <c r="S335" s="6" t="s">
        <v>3</v>
      </c>
      <c r="T335" s="6" t="s">
        <v>245</v>
      </c>
      <c r="U335" s="6" t="s">
        <v>117</v>
      </c>
      <c r="V335" s="6" t="s">
        <v>1337</v>
      </c>
      <c r="W335" s="6" t="s">
        <v>83</v>
      </c>
      <c r="X335" s="6" t="s">
        <v>83</v>
      </c>
      <c r="Y335" s="6" t="s">
        <v>83</v>
      </c>
      <c r="Z335" s="6" t="s">
        <v>52</v>
      </c>
      <c r="AA335" s="6" t="s">
        <v>83</v>
      </c>
      <c r="AB335" s="6">
        <v>3975.72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1394</v>
      </c>
      <c r="AJ335" s="6" t="s">
        <v>259</v>
      </c>
      <c r="AK335" s="6" t="s">
        <v>14</v>
      </c>
      <c r="AL335" s="6" t="s">
        <v>50</v>
      </c>
      <c r="AM335" s="6" t="s">
        <v>260</v>
      </c>
      <c r="AN335" s="6" t="s">
        <v>20</v>
      </c>
      <c r="AO335" s="6" t="s">
        <v>250</v>
      </c>
      <c r="AP335" s="6" t="s">
        <v>251</v>
      </c>
      <c r="AQ335" s="6" t="s">
        <v>18</v>
      </c>
    </row>
    <row r="336" spans="1:43" x14ac:dyDescent="0.25">
      <c r="A336" s="6">
        <v>22585628</v>
      </c>
      <c r="B336" s="6">
        <v>23407313</v>
      </c>
      <c r="C336" s="6" t="s">
        <v>237</v>
      </c>
      <c r="D336" s="14">
        <v>45856.626539351862</v>
      </c>
      <c r="E336" s="14">
        <v>45856.629525462973</v>
      </c>
      <c r="F336" s="46" t="s">
        <v>27</v>
      </c>
      <c r="G336" s="46" t="s">
        <v>27</v>
      </c>
      <c r="H336" s="6" t="s">
        <v>1395</v>
      </c>
      <c r="I336" s="6" t="s">
        <v>14</v>
      </c>
      <c r="J336" s="6" t="s">
        <v>1396</v>
      </c>
      <c r="K336" s="6" t="s">
        <v>1336</v>
      </c>
      <c r="L336" s="6" t="s">
        <v>1336</v>
      </c>
      <c r="M336" s="14">
        <v>45855.620138888888</v>
      </c>
      <c r="N336" s="6">
        <v>17076001</v>
      </c>
      <c r="O336" s="6" t="s">
        <v>83</v>
      </c>
      <c r="P336" s="6" t="s">
        <v>272</v>
      </c>
      <c r="Q336" s="6" t="s">
        <v>243</v>
      </c>
      <c r="R336" s="6" t="s">
        <v>244</v>
      </c>
      <c r="S336" s="6" t="s">
        <v>3</v>
      </c>
      <c r="T336" s="6" t="s">
        <v>245</v>
      </c>
      <c r="U336" s="6" t="s">
        <v>117</v>
      </c>
      <c r="V336" s="6" t="s">
        <v>1337</v>
      </c>
      <c r="W336" s="6" t="s">
        <v>83</v>
      </c>
      <c r="X336" s="6" t="s">
        <v>83</v>
      </c>
      <c r="Y336" s="6" t="s">
        <v>83</v>
      </c>
      <c r="Z336" s="6" t="s">
        <v>52</v>
      </c>
      <c r="AA336" s="6" t="s">
        <v>83</v>
      </c>
      <c r="AB336" s="6">
        <v>3975.72</v>
      </c>
      <c r="AC336" s="6">
        <v>0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1397</v>
      </c>
      <c r="AJ336" s="6" t="s">
        <v>259</v>
      </c>
      <c r="AK336" s="6" t="s">
        <v>14</v>
      </c>
      <c r="AL336" s="6" t="s">
        <v>50</v>
      </c>
      <c r="AM336" s="6" t="s">
        <v>260</v>
      </c>
      <c r="AN336" s="6" t="s">
        <v>20</v>
      </c>
      <c r="AO336" s="6" t="s">
        <v>250</v>
      </c>
      <c r="AP336" s="6" t="s">
        <v>251</v>
      </c>
      <c r="AQ336" s="6" t="s">
        <v>18</v>
      </c>
    </row>
    <row r="337" spans="1:43" x14ac:dyDescent="0.25">
      <c r="A337" s="6">
        <v>22585629</v>
      </c>
      <c r="B337" s="6">
        <v>23407314</v>
      </c>
      <c r="C337" s="6" t="s">
        <v>237</v>
      </c>
      <c r="D337" s="14">
        <v>45856.626597222217</v>
      </c>
      <c r="E337" s="14">
        <v>45856.629525462973</v>
      </c>
      <c r="F337" s="46" t="s">
        <v>27</v>
      </c>
      <c r="G337" s="46" t="s">
        <v>27</v>
      </c>
      <c r="H337" s="6" t="s">
        <v>1398</v>
      </c>
      <c r="I337" s="6" t="s">
        <v>14</v>
      </c>
      <c r="J337" s="6" t="s">
        <v>1399</v>
      </c>
      <c r="K337" s="6" t="s">
        <v>1336</v>
      </c>
      <c r="L337" s="6" t="s">
        <v>1336</v>
      </c>
      <c r="M337" s="14">
        <v>45855.59097222222</v>
      </c>
      <c r="N337" s="6">
        <v>17077287</v>
      </c>
      <c r="O337" s="6" t="s">
        <v>83</v>
      </c>
      <c r="P337" s="6" t="s">
        <v>272</v>
      </c>
      <c r="Q337" s="6" t="s">
        <v>243</v>
      </c>
      <c r="R337" s="6" t="s">
        <v>244</v>
      </c>
      <c r="S337" s="6" t="s">
        <v>3</v>
      </c>
      <c r="T337" s="6" t="s">
        <v>245</v>
      </c>
      <c r="U337" s="6" t="s">
        <v>117</v>
      </c>
      <c r="V337" s="6" t="s">
        <v>1337</v>
      </c>
      <c r="W337" s="6" t="s">
        <v>83</v>
      </c>
      <c r="X337" s="6" t="s">
        <v>83</v>
      </c>
      <c r="Y337" s="6" t="s">
        <v>83</v>
      </c>
      <c r="Z337" s="6" t="s">
        <v>52</v>
      </c>
      <c r="AA337" s="6" t="s">
        <v>83</v>
      </c>
      <c r="AB337" s="6">
        <v>4655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1400</v>
      </c>
      <c r="AJ337" s="6" t="s">
        <v>259</v>
      </c>
      <c r="AK337" s="6" t="s">
        <v>14</v>
      </c>
      <c r="AL337" s="6" t="s">
        <v>50</v>
      </c>
      <c r="AM337" s="6" t="s">
        <v>260</v>
      </c>
      <c r="AN337" s="6" t="s">
        <v>20</v>
      </c>
      <c r="AO337" s="6" t="s">
        <v>250</v>
      </c>
      <c r="AP337" s="6" t="s">
        <v>251</v>
      </c>
      <c r="AQ337" s="6" t="s">
        <v>18</v>
      </c>
    </row>
    <row r="338" spans="1:43" x14ac:dyDescent="0.25">
      <c r="A338" s="6">
        <v>22586517</v>
      </c>
      <c r="B338" s="6">
        <v>23408193</v>
      </c>
      <c r="C338" s="6" t="s">
        <v>237</v>
      </c>
      <c r="D338" s="14">
        <v>45856.668263888889</v>
      </c>
      <c r="E338" s="14">
        <v>45856.671736111108</v>
      </c>
      <c r="F338" s="46" t="s">
        <v>27</v>
      </c>
      <c r="G338" s="46" t="s">
        <v>27</v>
      </c>
      <c r="H338" s="6" t="s">
        <v>1401</v>
      </c>
      <c r="I338" s="6" t="s">
        <v>14</v>
      </c>
      <c r="J338" s="6" t="s">
        <v>1402</v>
      </c>
      <c r="K338" s="6" t="s">
        <v>1336</v>
      </c>
      <c r="L338" s="6" t="s">
        <v>1336</v>
      </c>
      <c r="M338" s="14">
        <v>45855.617361111108</v>
      </c>
      <c r="N338" s="6">
        <v>17070514</v>
      </c>
      <c r="O338" s="6" t="s">
        <v>83</v>
      </c>
      <c r="P338" s="6" t="s">
        <v>272</v>
      </c>
      <c r="Q338" s="6" t="s">
        <v>243</v>
      </c>
      <c r="R338" s="6" t="s">
        <v>244</v>
      </c>
      <c r="S338" s="6" t="s">
        <v>3</v>
      </c>
      <c r="T338" s="6" t="s">
        <v>245</v>
      </c>
      <c r="U338" s="6" t="s">
        <v>117</v>
      </c>
      <c r="V338" s="6" t="s">
        <v>1337</v>
      </c>
      <c r="W338" s="6" t="s">
        <v>83</v>
      </c>
      <c r="X338" s="6" t="s">
        <v>83</v>
      </c>
      <c r="Y338" s="6" t="s">
        <v>83</v>
      </c>
      <c r="Z338" s="6" t="s">
        <v>52</v>
      </c>
      <c r="AA338" s="6" t="s">
        <v>83</v>
      </c>
      <c r="AB338" s="6">
        <v>2665.18</v>
      </c>
      <c r="AC338" s="6">
        <v>0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1403</v>
      </c>
      <c r="AJ338" s="6" t="s">
        <v>259</v>
      </c>
      <c r="AK338" s="6" t="s">
        <v>14</v>
      </c>
      <c r="AL338" s="6" t="s">
        <v>50</v>
      </c>
      <c r="AM338" s="6" t="s">
        <v>260</v>
      </c>
      <c r="AN338" s="6" t="s">
        <v>20</v>
      </c>
      <c r="AO338" s="6" t="s">
        <v>250</v>
      </c>
      <c r="AP338" s="6" t="s">
        <v>251</v>
      </c>
      <c r="AQ338" s="6" t="s">
        <v>18</v>
      </c>
    </row>
    <row r="339" spans="1:43" x14ac:dyDescent="0.25">
      <c r="A339" s="6">
        <v>22586518</v>
      </c>
      <c r="B339" s="6">
        <v>23408194</v>
      </c>
      <c r="C339" s="6" t="s">
        <v>237</v>
      </c>
      <c r="D339" s="14">
        <v>45856.668275462973</v>
      </c>
      <c r="E339" s="14">
        <v>45856.671747685177</v>
      </c>
      <c r="F339" s="46" t="s">
        <v>27</v>
      </c>
      <c r="G339" s="46" t="s">
        <v>27</v>
      </c>
      <c r="H339" s="6" t="s">
        <v>1404</v>
      </c>
      <c r="I339" s="6" t="s">
        <v>14</v>
      </c>
      <c r="J339" s="6" t="s">
        <v>1405</v>
      </c>
      <c r="K339" s="6" t="s">
        <v>1336</v>
      </c>
      <c r="L339" s="6" t="s">
        <v>1336</v>
      </c>
      <c r="M339" s="14">
        <v>45855.618750000001</v>
      </c>
      <c r="N339" s="6">
        <v>17070561</v>
      </c>
      <c r="O339" s="6" t="s">
        <v>83</v>
      </c>
      <c r="P339" s="6" t="s">
        <v>272</v>
      </c>
      <c r="Q339" s="6" t="s">
        <v>243</v>
      </c>
      <c r="R339" s="6" t="s">
        <v>244</v>
      </c>
      <c r="S339" s="6" t="s">
        <v>3</v>
      </c>
      <c r="T339" s="6" t="s">
        <v>245</v>
      </c>
      <c r="U339" s="6" t="s">
        <v>117</v>
      </c>
      <c r="V339" s="6" t="s">
        <v>1337</v>
      </c>
      <c r="W339" s="6" t="s">
        <v>83</v>
      </c>
      <c r="X339" s="6" t="s">
        <v>83</v>
      </c>
      <c r="Y339" s="6" t="s">
        <v>83</v>
      </c>
      <c r="Z339" s="6" t="s">
        <v>52</v>
      </c>
      <c r="AA339" s="6" t="s">
        <v>83</v>
      </c>
      <c r="AB339" s="6">
        <v>2665.18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1406</v>
      </c>
      <c r="AJ339" s="6" t="s">
        <v>259</v>
      </c>
      <c r="AK339" s="6" t="s">
        <v>14</v>
      </c>
      <c r="AL339" s="6" t="s">
        <v>50</v>
      </c>
      <c r="AM339" s="6" t="s">
        <v>260</v>
      </c>
      <c r="AN339" s="6" t="s">
        <v>20</v>
      </c>
      <c r="AO339" s="6" t="s">
        <v>250</v>
      </c>
      <c r="AP339" s="6" t="s">
        <v>251</v>
      </c>
      <c r="AQ339" s="6" t="s">
        <v>18</v>
      </c>
    </row>
    <row r="340" spans="1:43" x14ac:dyDescent="0.25">
      <c r="A340" s="6">
        <v>22607201</v>
      </c>
      <c r="B340" s="6">
        <v>23424504</v>
      </c>
      <c r="C340" s="6" t="s">
        <v>237</v>
      </c>
      <c r="D340" s="14">
        <v>45860.709074074082</v>
      </c>
      <c r="E340" s="14">
        <v>45860.712534722217</v>
      </c>
      <c r="F340" s="46" t="s">
        <v>25</v>
      </c>
      <c r="G340" s="46" t="s">
        <v>25</v>
      </c>
      <c r="H340" s="6" t="s">
        <v>1407</v>
      </c>
      <c r="I340" s="6" t="s">
        <v>14</v>
      </c>
      <c r="J340" s="6" t="s">
        <v>1346</v>
      </c>
      <c r="K340" s="6" t="s">
        <v>1336</v>
      </c>
      <c r="L340" s="6" t="s">
        <v>1336</v>
      </c>
      <c r="M340" s="14">
        <v>45853.465277777781</v>
      </c>
      <c r="N340" s="6">
        <v>17050995</v>
      </c>
      <c r="O340" s="6" t="s">
        <v>83</v>
      </c>
      <c r="P340" s="6" t="s">
        <v>272</v>
      </c>
      <c r="Q340" s="6" t="s">
        <v>243</v>
      </c>
      <c r="R340" s="6" t="s">
        <v>244</v>
      </c>
      <c r="S340" s="6" t="s">
        <v>3</v>
      </c>
      <c r="T340" s="6" t="s">
        <v>245</v>
      </c>
      <c r="U340" s="6" t="s">
        <v>117</v>
      </c>
      <c r="V340" s="6" t="s">
        <v>1337</v>
      </c>
      <c r="W340" s="6" t="s">
        <v>83</v>
      </c>
      <c r="X340" s="6" t="s">
        <v>83</v>
      </c>
      <c r="Y340" s="6" t="s">
        <v>83</v>
      </c>
      <c r="Z340" s="6" t="s">
        <v>52</v>
      </c>
      <c r="AA340" s="6" t="s">
        <v>83</v>
      </c>
      <c r="AB340" s="6">
        <v>1176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1408</v>
      </c>
      <c r="AJ340" s="6" t="s">
        <v>259</v>
      </c>
      <c r="AK340" s="6" t="s">
        <v>14</v>
      </c>
      <c r="AL340" s="6" t="s">
        <v>50</v>
      </c>
      <c r="AM340" s="6" t="s">
        <v>260</v>
      </c>
      <c r="AN340" s="6" t="s">
        <v>20</v>
      </c>
      <c r="AO340" s="6" t="s">
        <v>250</v>
      </c>
      <c r="AP340" s="6" t="s">
        <v>251</v>
      </c>
      <c r="AQ340" s="6" t="s">
        <v>18</v>
      </c>
    </row>
    <row r="341" spans="1:43" x14ac:dyDescent="0.25">
      <c r="A341" s="6">
        <v>22607620</v>
      </c>
      <c r="B341" s="6">
        <v>23424885</v>
      </c>
      <c r="C341" s="6" t="s">
        <v>237</v>
      </c>
      <c r="D341" s="14">
        <v>45860.750474537039</v>
      </c>
      <c r="E341" s="14">
        <v>45860.750775462962</v>
      </c>
      <c r="F341" s="46" t="s">
        <v>25</v>
      </c>
      <c r="G341" s="46" t="s">
        <v>25</v>
      </c>
      <c r="H341" s="6" t="s">
        <v>1409</v>
      </c>
      <c r="I341" s="6" t="s">
        <v>14</v>
      </c>
      <c r="J341" s="6" t="s">
        <v>1346</v>
      </c>
      <c r="K341" s="6" t="s">
        <v>1336</v>
      </c>
      <c r="L341" s="6" t="s">
        <v>1336</v>
      </c>
      <c r="M341" s="14">
        <v>45854.638888888891</v>
      </c>
      <c r="N341" s="6">
        <v>17051665</v>
      </c>
      <c r="O341" s="6" t="s">
        <v>83</v>
      </c>
      <c r="P341" s="6" t="s">
        <v>272</v>
      </c>
      <c r="Q341" s="6" t="s">
        <v>243</v>
      </c>
      <c r="R341" s="6" t="s">
        <v>244</v>
      </c>
      <c r="S341" s="6" t="s">
        <v>3</v>
      </c>
      <c r="T341" s="6" t="s">
        <v>245</v>
      </c>
      <c r="U341" s="6" t="s">
        <v>117</v>
      </c>
      <c r="V341" s="6" t="s">
        <v>1337</v>
      </c>
      <c r="W341" s="6" t="s">
        <v>83</v>
      </c>
      <c r="X341" s="6" t="s">
        <v>83</v>
      </c>
      <c r="Y341" s="6" t="s">
        <v>83</v>
      </c>
      <c r="Z341" s="6" t="s">
        <v>52</v>
      </c>
      <c r="AA341" s="6" t="s">
        <v>83</v>
      </c>
      <c r="AB341" s="6">
        <v>588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1410</v>
      </c>
      <c r="AJ341" s="6" t="s">
        <v>259</v>
      </c>
      <c r="AK341" s="6" t="s">
        <v>14</v>
      </c>
      <c r="AL341" s="6" t="s">
        <v>50</v>
      </c>
      <c r="AM341" s="6" t="s">
        <v>260</v>
      </c>
      <c r="AN341" s="6" t="s">
        <v>20</v>
      </c>
      <c r="AO341" s="6" t="s">
        <v>250</v>
      </c>
      <c r="AP341" s="6" t="s">
        <v>251</v>
      </c>
      <c r="AQ341" s="6" t="s">
        <v>18</v>
      </c>
    </row>
    <row r="342" spans="1:43" x14ac:dyDescent="0.25">
      <c r="A342" s="6">
        <v>22607621</v>
      </c>
      <c r="B342" s="6">
        <v>23424886</v>
      </c>
      <c r="C342" s="6" t="s">
        <v>237</v>
      </c>
      <c r="D342" s="14">
        <v>45860.750497685192</v>
      </c>
      <c r="E342" s="14">
        <v>45860.750798611109</v>
      </c>
      <c r="F342" s="46" t="s">
        <v>25</v>
      </c>
      <c r="G342" s="46" t="s">
        <v>25</v>
      </c>
      <c r="H342" s="6" t="s">
        <v>1411</v>
      </c>
      <c r="I342" s="6" t="s">
        <v>14</v>
      </c>
      <c r="J342" s="6" t="s">
        <v>1346</v>
      </c>
      <c r="K342" s="6" t="s">
        <v>1336</v>
      </c>
      <c r="L342" s="6" t="s">
        <v>1336</v>
      </c>
      <c r="M342" s="14">
        <v>45854.63958333333</v>
      </c>
      <c r="N342" s="6">
        <v>17051665</v>
      </c>
      <c r="O342" s="6" t="s">
        <v>83</v>
      </c>
      <c r="P342" s="6" t="s">
        <v>272</v>
      </c>
      <c r="Q342" s="6" t="s">
        <v>243</v>
      </c>
      <c r="R342" s="6" t="s">
        <v>244</v>
      </c>
      <c r="S342" s="6" t="s">
        <v>3</v>
      </c>
      <c r="T342" s="6" t="s">
        <v>245</v>
      </c>
      <c r="U342" s="6" t="s">
        <v>117</v>
      </c>
      <c r="V342" s="6" t="s">
        <v>1337</v>
      </c>
      <c r="W342" s="6" t="s">
        <v>83</v>
      </c>
      <c r="X342" s="6" t="s">
        <v>83</v>
      </c>
      <c r="Y342" s="6" t="s">
        <v>83</v>
      </c>
      <c r="Z342" s="6" t="s">
        <v>52</v>
      </c>
      <c r="AA342" s="6" t="s">
        <v>83</v>
      </c>
      <c r="AB342" s="6">
        <v>588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1410</v>
      </c>
      <c r="AJ342" s="6" t="s">
        <v>259</v>
      </c>
      <c r="AK342" s="6" t="s">
        <v>14</v>
      </c>
      <c r="AL342" s="6" t="s">
        <v>50</v>
      </c>
      <c r="AM342" s="6" t="s">
        <v>260</v>
      </c>
      <c r="AN342" s="6" t="s">
        <v>20</v>
      </c>
      <c r="AO342" s="6" t="s">
        <v>250</v>
      </c>
      <c r="AP342" s="6" t="s">
        <v>251</v>
      </c>
      <c r="AQ342" s="6" t="s">
        <v>18</v>
      </c>
    </row>
    <row r="343" spans="1:43" x14ac:dyDescent="0.25">
      <c r="A343" s="6">
        <v>22611407</v>
      </c>
      <c r="B343" s="6">
        <v>23427981</v>
      </c>
      <c r="C343" s="6" t="s">
        <v>237</v>
      </c>
      <c r="D343" s="14">
        <v>45861.417048611111</v>
      </c>
      <c r="E343" s="14">
        <v>45861.417199074072</v>
      </c>
      <c r="F343" s="46" t="s">
        <v>25</v>
      </c>
      <c r="G343" s="46" t="s">
        <v>25</v>
      </c>
      <c r="H343" s="6" t="s">
        <v>1412</v>
      </c>
      <c r="I343" s="6" t="s">
        <v>14</v>
      </c>
      <c r="J343" s="6" t="s">
        <v>1346</v>
      </c>
      <c r="K343" s="6" t="s">
        <v>1336</v>
      </c>
      <c r="L343" s="6" t="s">
        <v>1336</v>
      </c>
      <c r="M343" s="14">
        <v>45853.463194444441</v>
      </c>
      <c r="N343" s="6">
        <v>17054472</v>
      </c>
      <c r="O343" s="6" t="s">
        <v>83</v>
      </c>
      <c r="P343" s="6" t="s">
        <v>272</v>
      </c>
      <c r="Q343" s="6" t="s">
        <v>243</v>
      </c>
      <c r="R343" s="6" t="s">
        <v>244</v>
      </c>
      <c r="S343" s="6" t="s">
        <v>3</v>
      </c>
      <c r="T343" s="6" t="s">
        <v>245</v>
      </c>
      <c r="U343" s="6" t="s">
        <v>117</v>
      </c>
      <c r="V343" s="6" t="s">
        <v>1337</v>
      </c>
      <c r="W343" s="6" t="s">
        <v>83</v>
      </c>
      <c r="X343" s="6" t="s">
        <v>83</v>
      </c>
      <c r="Y343" s="6" t="s">
        <v>83</v>
      </c>
      <c r="Z343" s="6" t="s">
        <v>52</v>
      </c>
      <c r="AA343" s="6" t="s">
        <v>83</v>
      </c>
      <c r="AB343" s="6">
        <v>1176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 t="s">
        <v>1413</v>
      </c>
      <c r="AJ343" s="6" t="s">
        <v>259</v>
      </c>
      <c r="AK343" s="6" t="s">
        <v>14</v>
      </c>
      <c r="AL343" s="6" t="s">
        <v>50</v>
      </c>
      <c r="AM343" s="6" t="s">
        <v>260</v>
      </c>
      <c r="AN343" s="6" t="s">
        <v>20</v>
      </c>
      <c r="AO343" s="6" t="s">
        <v>250</v>
      </c>
      <c r="AP343" s="6" t="s">
        <v>251</v>
      </c>
      <c r="AQ343" s="6" t="s">
        <v>18</v>
      </c>
    </row>
    <row r="344" spans="1:43" x14ac:dyDescent="0.25">
      <c r="A344" s="6">
        <v>22720859</v>
      </c>
      <c r="B344" s="6">
        <v>23519278</v>
      </c>
      <c r="C344" s="6" t="s">
        <v>237</v>
      </c>
      <c r="D344" s="14">
        <v>45880.375671296293</v>
      </c>
      <c r="E344" s="14">
        <v>45880.375902777778</v>
      </c>
      <c r="F344" s="6" t="s">
        <v>17</v>
      </c>
      <c r="G344" s="6" t="s">
        <v>17</v>
      </c>
      <c r="H344" s="6" t="s">
        <v>1414</v>
      </c>
      <c r="I344" s="6" t="s">
        <v>14</v>
      </c>
      <c r="J344" s="6" t="s">
        <v>1402</v>
      </c>
      <c r="K344" s="6" t="s">
        <v>1336</v>
      </c>
      <c r="L344" s="6" t="s">
        <v>1336</v>
      </c>
      <c r="M344" s="14">
        <v>45876.737500000003</v>
      </c>
      <c r="N344" s="6">
        <v>17203729</v>
      </c>
      <c r="O344" s="6" t="s">
        <v>83</v>
      </c>
      <c r="P344" s="6" t="s">
        <v>272</v>
      </c>
      <c r="Q344" s="6" t="s">
        <v>256</v>
      </c>
      <c r="R344" s="6" t="s">
        <v>256</v>
      </c>
      <c r="S344" s="6" t="s">
        <v>3</v>
      </c>
      <c r="T344" s="6" t="s">
        <v>245</v>
      </c>
      <c r="U344" s="6" t="s">
        <v>117</v>
      </c>
      <c r="V344" s="6" t="s">
        <v>1337</v>
      </c>
      <c r="W344" s="6" t="s">
        <v>83</v>
      </c>
      <c r="X344" s="6" t="s">
        <v>83</v>
      </c>
      <c r="Y344" s="6" t="s">
        <v>83</v>
      </c>
      <c r="Z344" s="6" t="s">
        <v>52</v>
      </c>
      <c r="AA344" s="6" t="s">
        <v>83</v>
      </c>
      <c r="AB344" s="6">
        <v>6687.66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1415</v>
      </c>
      <c r="AJ344" s="6" t="s">
        <v>259</v>
      </c>
      <c r="AK344" s="6" t="s">
        <v>14</v>
      </c>
      <c r="AL344" s="6" t="s">
        <v>50</v>
      </c>
      <c r="AM344" s="6" t="s">
        <v>260</v>
      </c>
      <c r="AN344" s="6" t="s">
        <v>20</v>
      </c>
      <c r="AO344" s="6" t="s">
        <v>250</v>
      </c>
      <c r="AP344" s="6" t="s">
        <v>251</v>
      </c>
      <c r="AQ344" s="6" t="s">
        <v>18</v>
      </c>
    </row>
    <row r="345" spans="1:43" x14ac:dyDescent="0.25">
      <c r="A345" s="6">
        <v>22720860</v>
      </c>
      <c r="B345" s="6">
        <v>23519279</v>
      </c>
      <c r="C345" s="6" t="s">
        <v>237</v>
      </c>
      <c r="D345" s="14">
        <v>45880.37572916667</v>
      </c>
      <c r="E345" s="14">
        <v>45880.375914351847</v>
      </c>
      <c r="F345" s="6" t="s">
        <v>17</v>
      </c>
      <c r="G345" s="6" t="s">
        <v>17</v>
      </c>
      <c r="H345" s="6" t="s">
        <v>1416</v>
      </c>
      <c r="I345" s="6" t="s">
        <v>14</v>
      </c>
      <c r="J345" s="6" t="s">
        <v>1405</v>
      </c>
      <c r="K345" s="6" t="s">
        <v>1336</v>
      </c>
      <c r="L345" s="6" t="s">
        <v>1336</v>
      </c>
      <c r="M345" s="14">
        <v>45876.718055555553</v>
      </c>
      <c r="N345" s="6">
        <v>17211366</v>
      </c>
      <c r="O345" s="6" t="s">
        <v>83</v>
      </c>
      <c r="P345" s="6" t="s">
        <v>272</v>
      </c>
      <c r="Q345" s="6" t="s">
        <v>256</v>
      </c>
      <c r="R345" s="6" t="s">
        <v>256</v>
      </c>
      <c r="S345" s="6" t="s">
        <v>3</v>
      </c>
      <c r="T345" s="6" t="s">
        <v>245</v>
      </c>
      <c r="U345" s="6" t="s">
        <v>117</v>
      </c>
      <c r="V345" s="6" t="s">
        <v>1337</v>
      </c>
      <c r="W345" s="6" t="s">
        <v>83</v>
      </c>
      <c r="X345" s="6" t="s">
        <v>83</v>
      </c>
      <c r="Y345" s="6" t="s">
        <v>83</v>
      </c>
      <c r="Z345" s="6" t="s">
        <v>52</v>
      </c>
      <c r="AA345" s="6" t="s">
        <v>83</v>
      </c>
      <c r="AB345" s="6">
        <v>6458.16</v>
      </c>
      <c r="AC345" s="6">
        <v>0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 t="s">
        <v>1417</v>
      </c>
      <c r="AJ345" s="6" t="s">
        <v>259</v>
      </c>
      <c r="AK345" s="6" t="s">
        <v>14</v>
      </c>
      <c r="AL345" s="6" t="s">
        <v>50</v>
      </c>
      <c r="AM345" s="6" t="s">
        <v>260</v>
      </c>
      <c r="AN345" s="6" t="s">
        <v>20</v>
      </c>
      <c r="AO345" s="6" t="s">
        <v>250</v>
      </c>
      <c r="AP345" s="6" t="s">
        <v>251</v>
      </c>
      <c r="AQ345" s="6" t="s">
        <v>18</v>
      </c>
    </row>
    <row r="346" spans="1:43" x14ac:dyDescent="0.25">
      <c r="A346" s="6">
        <v>22677109</v>
      </c>
      <c r="B346" s="6">
        <v>23481789</v>
      </c>
      <c r="C346" s="6" t="s">
        <v>237</v>
      </c>
      <c r="D346" s="14">
        <v>45873.376550925917</v>
      </c>
      <c r="E346" s="14">
        <v>45873.380011574067</v>
      </c>
      <c r="F346" s="6" t="s">
        <v>23</v>
      </c>
      <c r="G346" s="6" t="s">
        <v>23</v>
      </c>
      <c r="H346" s="6" t="s">
        <v>1418</v>
      </c>
      <c r="I346" s="6" t="s">
        <v>14</v>
      </c>
      <c r="J346" s="6" t="s">
        <v>1419</v>
      </c>
      <c r="K346" s="6" t="s">
        <v>1251</v>
      </c>
      <c r="L346" s="6" t="s">
        <v>1251</v>
      </c>
      <c r="M346" s="14">
        <v>45873</v>
      </c>
      <c r="N346" s="6">
        <v>17187934</v>
      </c>
      <c r="O346" s="6" t="s">
        <v>83</v>
      </c>
      <c r="P346" s="6" t="s">
        <v>272</v>
      </c>
      <c r="Q346" s="6" t="s">
        <v>256</v>
      </c>
      <c r="R346" s="6" t="s">
        <v>256</v>
      </c>
      <c r="S346" s="6" t="s">
        <v>9</v>
      </c>
      <c r="T346" s="6" t="s">
        <v>245</v>
      </c>
      <c r="U346" s="6" t="s">
        <v>117</v>
      </c>
      <c r="V346" s="6" t="s">
        <v>1337</v>
      </c>
      <c r="W346" s="6" t="s">
        <v>83</v>
      </c>
      <c r="X346" s="6" t="s">
        <v>83</v>
      </c>
      <c r="Y346" s="6" t="s">
        <v>83</v>
      </c>
      <c r="Z346" s="6" t="s">
        <v>52</v>
      </c>
      <c r="AA346" s="6" t="s">
        <v>83</v>
      </c>
      <c r="AB346" s="6">
        <v>290</v>
      </c>
      <c r="AC346" s="6">
        <v>0</v>
      </c>
      <c r="AD346" s="6">
        <v>0</v>
      </c>
      <c r="AE346" s="6">
        <v>0</v>
      </c>
      <c r="AF346" s="6">
        <v>0</v>
      </c>
      <c r="AG346" s="6">
        <v>7.25</v>
      </c>
      <c r="AH346" s="6">
        <v>0</v>
      </c>
      <c r="AI346" s="6" t="s">
        <v>1420</v>
      </c>
      <c r="AJ346" s="6" t="s">
        <v>259</v>
      </c>
      <c r="AK346" s="6" t="s">
        <v>14</v>
      </c>
      <c r="AL346" s="6" t="s">
        <v>50</v>
      </c>
      <c r="AM346" s="6" t="s">
        <v>260</v>
      </c>
      <c r="AN346" s="6" t="s">
        <v>20</v>
      </c>
      <c r="AO346" s="6" t="s">
        <v>250</v>
      </c>
      <c r="AP346" s="6" t="s">
        <v>251</v>
      </c>
      <c r="AQ346" s="6" t="s">
        <v>18</v>
      </c>
    </row>
    <row r="347" spans="1:43" x14ac:dyDescent="0.25">
      <c r="A347" s="6">
        <v>22677968</v>
      </c>
      <c r="B347" s="6">
        <v>23482559</v>
      </c>
      <c r="C347" s="6" t="s">
        <v>237</v>
      </c>
      <c r="D347" s="14">
        <v>45873.500763888893</v>
      </c>
      <c r="E347" s="14">
        <v>45873.504560185182</v>
      </c>
      <c r="F347" s="6" t="s">
        <v>23</v>
      </c>
      <c r="G347" s="6" t="s">
        <v>23</v>
      </c>
      <c r="H347" s="6" t="s">
        <v>1421</v>
      </c>
      <c r="I347" s="6" t="s">
        <v>14</v>
      </c>
      <c r="J347" s="6" t="s">
        <v>1422</v>
      </c>
      <c r="K347" s="6" t="s">
        <v>1251</v>
      </c>
      <c r="L347" s="6" t="s">
        <v>1251</v>
      </c>
      <c r="M347" s="14">
        <v>45873</v>
      </c>
      <c r="N347" s="6">
        <v>17158893</v>
      </c>
      <c r="O347" s="6" t="s">
        <v>83</v>
      </c>
      <c r="P347" s="6" t="s">
        <v>272</v>
      </c>
      <c r="Q347" s="6" t="s">
        <v>256</v>
      </c>
      <c r="R347" s="6" t="s">
        <v>256</v>
      </c>
      <c r="S347" s="6" t="s">
        <v>9</v>
      </c>
      <c r="T347" s="6" t="s">
        <v>245</v>
      </c>
      <c r="U347" s="6" t="s">
        <v>117</v>
      </c>
      <c r="V347" s="6" t="s">
        <v>1337</v>
      </c>
      <c r="W347" s="6" t="s">
        <v>83</v>
      </c>
      <c r="X347" s="6" t="s">
        <v>83</v>
      </c>
      <c r="Y347" s="6" t="s">
        <v>83</v>
      </c>
      <c r="Z347" s="6" t="s">
        <v>52</v>
      </c>
      <c r="AA347" s="6" t="s">
        <v>83</v>
      </c>
      <c r="AB347" s="6">
        <v>251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1423</v>
      </c>
      <c r="AJ347" s="6" t="s">
        <v>259</v>
      </c>
      <c r="AK347" s="6" t="s">
        <v>14</v>
      </c>
      <c r="AL347" s="6" t="s">
        <v>50</v>
      </c>
      <c r="AM347" s="6" t="s">
        <v>260</v>
      </c>
      <c r="AN347" s="6" t="s">
        <v>20</v>
      </c>
      <c r="AO347" s="6" t="s">
        <v>250</v>
      </c>
      <c r="AP347" s="6" t="s">
        <v>251</v>
      </c>
      <c r="AQ347" s="6" t="s">
        <v>18</v>
      </c>
    </row>
    <row r="348" spans="1:43" x14ac:dyDescent="0.25">
      <c r="A348" s="6">
        <v>22687453</v>
      </c>
      <c r="B348" s="6">
        <v>23491112</v>
      </c>
      <c r="C348" s="6" t="s">
        <v>237</v>
      </c>
      <c r="D348" s="14">
        <v>45874.708715277768</v>
      </c>
      <c r="E348" s="14">
        <v>45874.709398148138</v>
      </c>
      <c r="F348" s="6" t="s">
        <v>21</v>
      </c>
      <c r="G348" s="6" t="s">
        <v>21</v>
      </c>
      <c r="H348" s="6" t="s">
        <v>1424</v>
      </c>
      <c r="I348" s="6" t="s">
        <v>14</v>
      </c>
      <c r="J348" s="6" t="s">
        <v>1425</v>
      </c>
      <c r="K348" s="6" t="s">
        <v>1251</v>
      </c>
      <c r="L348" s="6" t="s">
        <v>1251</v>
      </c>
      <c r="M348" s="14">
        <v>45874</v>
      </c>
      <c r="N348" s="6">
        <v>17141693</v>
      </c>
      <c r="O348" s="6" t="s">
        <v>83</v>
      </c>
      <c r="P348" s="6" t="s">
        <v>242</v>
      </c>
      <c r="Q348" s="6" t="s">
        <v>256</v>
      </c>
      <c r="R348" s="6" t="s">
        <v>256</v>
      </c>
      <c r="S348" s="6" t="s">
        <v>9</v>
      </c>
      <c r="T348" s="6" t="s">
        <v>245</v>
      </c>
      <c r="U348" s="6" t="s">
        <v>117</v>
      </c>
      <c r="V348" s="6" t="s">
        <v>1337</v>
      </c>
      <c r="W348" s="6" t="s">
        <v>83</v>
      </c>
      <c r="X348" s="6" t="s">
        <v>83</v>
      </c>
      <c r="Y348" s="6" t="s">
        <v>83</v>
      </c>
      <c r="Z348" s="6" t="s">
        <v>52</v>
      </c>
      <c r="AA348" s="6" t="s">
        <v>83</v>
      </c>
      <c r="AB348" s="6">
        <v>220</v>
      </c>
      <c r="AC348" s="6">
        <v>0</v>
      </c>
      <c r="AD348" s="6">
        <v>0</v>
      </c>
      <c r="AE348" s="6">
        <v>0</v>
      </c>
      <c r="AF348" s="6">
        <v>0</v>
      </c>
      <c r="AG348" s="6">
        <v>0</v>
      </c>
      <c r="AH348" s="6">
        <v>0</v>
      </c>
      <c r="AI348" s="6" t="s">
        <v>1426</v>
      </c>
      <c r="AJ348" s="6" t="s">
        <v>259</v>
      </c>
      <c r="AK348" s="6" t="s">
        <v>14</v>
      </c>
      <c r="AL348" s="6" t="s">
        <v>50</v>
      </c>
      <c r="AM348" s="6" t="s">
        <v>260</v>
      </c>
      <c r="AN348" s="6" t="s">
        <v>20</v>
      </c>
      <c r="AO348" s="6" t="s">
        <v>250</v>
      </c>
      <c r="AP348" s="6" t="s">
        <v>251</v>
      </c>
      <c r="AQ348" s="6" t="s">
        <v>18</v>
      </c>
    </row>
    <row r="349" spans="1:43" x14ac:dyDescent="0.25">
      <c r="A349" s="6">
        <v>22709528</v>
      </c>
      <c r="B349" s="6">
        <v>23510920</v>
      </c>
      <c r="C349" s="6" t="s">
        <v>237</v>
      </c>
      <c r="D349" s="14">
        <v>45877.710717592592</v>
      </c>
      <c r="E349" s="14">
        <v>45877.713206018518</v>
      </c>
      <c r="F349" s="6" t="s">
        <v>19</v>
      </c>
      <c r="G349" s="6" t="s">
        <v>19</v>
      </c>
      <c r="H349" s="6" t="s">
        <v>1427</v>
      </c>
      <c r="I349" s="6" t="s">
        <v>14</v>
      </c>
      <c r="J349" s="6" t="s">
        <v>1428</v>
      </c>
      <c r="K349" s="6" t="s">
        <v>1251</v>
      </c>
      <c r="L349" s="6" t="s">
        <v>1251</v>
      </c>
      <c r="M349" s="14">
        <v>45877</v>
      </c>
      <c r="N349" s="6">
        <v>17243717</v>
      </c>
      <c r="O349" s="6" t="s">
        <v>83</v>
      </c>
      <c r="P349" s="6" t="s">
        <v>272</v>
      </c>
      <c r="Q349" s="6" t="s">
        <v>256</v>
      </c>
      <c r="R349" s="6" t="s">
        <v>256</v>
      </c>
      <c r="S349" s="6" t="s">
        <v>9</v>
      </c>
      <c r="T349" s="6" t="s">
        <v>245</v>
      </c>
      <c r="U349" s="6" t="s">
        <v>117</v>
      </c>
      <c r="V349" s="6" t="s">
        <v>1337</v>
      </c>
      <c r="W349" s="6" t="s">
        <v>83</v>
      </c>
      <c r="X349" s="6" t="s">
        <v>83</v>
      </c>
      <c r="Y349" s="6" t="s">
        <v>83</v>
      </c>
      <c r="Z349" s="6" t="s">
        <v>52</v>
      </c>
      <c r="AA349" s="6" t="s">
        <v>83</v>
      </c>
      <c r="AB349" s="6">
        <v>715</v>
      </c>
      <c r="AC349" s="6">
        <v>0</v>
      </c>
      <c r="AD349" s="6">
        <v>0</v>
      </c>
      <c r="AE349" s="6">
        <v>0</v>
      </c>
      <c r="AF349" s="6">
        <v>0</v>
      </c>
      <c r="AG349" s="6">
        <v>15.2</v>
      </c>
      <c r="AH349" s="6">
        <v>0</v>
      </c>
      <c r="AI349" s="6" t="s">
        <v>1429</v>
      </c>
      <c r="AJ349" s="6" t="s">
        <v>259</v>
      </c>
      <c r="AK349" s="6" t="s">
        <v>14</v>
      </c>
      <c r="AL349" s="6" t="s">
        <v>50</v>
      </c>
      <c r="AM349" s="6" t="s">
        <v>260</v>
      </c>
      <c r="AN349" s="6" t="s">
        <v>20</v>
      </c>
      <c r="AO349" s="6" t="s">
        <v>250</v>
      </c>
      <c r="AP349" s="6" t="s">
        <v>251</v>
      </c>
      <c r="AQ349" s="6" t="s">
        <v>18</v>
      </c>
    </row>
    <row r="350" spans="1:43" x14ac:dyDescent="0.25">
      <c r="A350" s="6">
        <v>22721840</v>
      </c>
      <c r="B350" s="6">
        <v>23520202</v>
      </c>
      <c r="C350" s="6" t="s">
        <v>237</v>
      </c>
      <c r="D350" s="14">
        <v>45880.501967592587</v>
      </c>
      <c r="E350" s="14">
        <v>45880.505231481482</v>
      </c>
      <c r="F350" s="6" t="s">
        <v>17</v>
      </c>
      <c r="G350" s="6" t="s">
        <v>17</v>
      </c>
      <c r="H350" s="6" t="s">
        <v>1430</v>
      </c>
      <c r="I350" s="6" t="s">
        <v>14</v>
      </c>
      <c r="J350" s="6" t="s">
        <v>1431</v>
      </c>
      <c r="K350" s="6" t="s">
        <v>1432</v>
      </c>
      <c r="L350" s="6" t="s">
        <v>1432</v>
      </c>
      <c r="M350" s="14">
        <v>45880</v>
      </c>
      <c r="N350" s="6">
        <v>17255925</v>
      </c>
      <c r="O350" s="6" t="s">
        <v>83</v>
      </c>
      <c r="P350" s="6" t="s">
        <v>242</v>
      </c>
      <c r="Q350" s="6" t="s">
        <v>256</v>
      </c>
      <c r="R350" s="6" t="s">
        <v>256</v>
      </c>
      <c r="S350" s="6" t="s">
        <v>9</v>
      </c>
      <c r="T350" s="6" t="s">
        <v>245</v>
      </c>
      <c r="U350" s="6" t="s">
        <v>117</v>
      </c>
      <c r="V350" s="6" t="s">
        <v>1337</v>
      </c>
      <c r="W350" s="6" t="s">
        <v>83</v>
      </c>
      <c r="X350" s="6" t="s">
        <v>83</v>
      </c>
      <c r="Y350" s="6" t="s">
        <v>83</v>
      </c>
      <c r="Z350" s="6" t="s">
        <v>52</v>
      </c>
      <c r="AA350" s="6" t="s">
        <v>83</v>
      </c>
      <c r="AB350" s="6">
        <v>1200</v>
      </c>
      <c r="AC350" s="6">
        <v>0</v>
      </c>
      <c r="AD350" s="6">
        <v>0</v>
      </c>
      <c r="AE350" s="6">
        <v>0</v>
      </c>
      <c r="AF350" s="6">
        <v>0</v>
      </c>
      <c r="AG350" s="6">
        <v>150</v>
      </c>
      <c r="AH350" s="6">
        <v>0</v>
      </c>
      <c r="AI350" s="6" t="s">
        <v>1433</v>
      </c>
      <c r="AJ350" s="6" t="s">
        <v>259</v>
      </c>
      <c r="AK350" s="6" t="s">
        <v>14</v>
      </c>
      <c r="AL350" s="6" t="s">
        <v>50</v>
      </c>
      <c r="AM350" s="6" t="s">
        <v>260</v>
      </c>
      <c r="AN350" s="6" t="s">
        <v>20</v>
      </c>
      <c r="AO350" s="6" t="s">
        <v>250</v>
      </c>
      <c r="AP350" s="6" t="s">
        <v>251</v>
      </c>
      <c r="AQ350" s="6" t="s">
        <v>18</v>
      </c>
    </row>
    <row r="351" spans="1:43" x14ac:dyDescent="0.25">
      <c r="A351" s="6">
        <v>22692862</v>
      </c>
      <c r="B351" s="6">
        <v>23495811</v>
      </c>
      <c r="C351" s="6" t="s">
        <v>237</v>
      </c>
      <c r="D351" s="14">
        <v>45875.504201388889</v>
      </c>
      <c r="E351" s="14">
        <v>45875.509456018517</v>
      </c>
      <c r="F351" s="6" t="s">
        <v>21</v>
      </c>
      <c r="G351" s="6" t="s">
        <v>21</v>
      </c>
      <c r="H351" s="6" t="s">
        <v>1434</v>
      </c>
      <c r="I351" s="6" t="s">
        <v>14</v>
      </c>
      <c r="J351" s="6" t="s">
        <v>1435</v>
      </c>
      <c r="K351" s="6" t="s">
        <v>1432</v>
      </c>
      <c r="L351" s="6" t="s">
        <v>1432</v>
      </c>
      <c r="M351" s="14">
        <v>45875</v>
      </c>
      <c r="N351" s="6">
        <v>17223345</v>
      </c>
      <c r="O351" s="6" t="s">
        <v>83</v>
      </c>
      <c r="P351" s="6" t="s">
        <v>242</v>
      </c>
      <c r="Q351" s="6" t="s">
        <v>256</v>
      </c>
      <c r="R351" s="6" t="s">
        <v>256</v>
      </c>
      <c r="S351" s="6" t="s">
        <v>9</v>
      </c>
      <c r="T351" s="6" t="s">
        <v>245</v>
      </c>
      <c r="U351" s="6" t="s">
        <v>117</v>
      </c>
      <c r="V351" s="6" t="s">
        <v>1337</v>
      </c>
      <c r="W351" s="6" t="s">
        <v>83</v>
      </c>
      <c r="X351" s="6" t="s">
        <v>83</v>
      </c>
      <c r="Y351" s="6" t="s">
        <v>83</v>
      </c>
      <c r="Z351" s="6" t="s">
        <v>52</v>
      </c>
      <c r="AA351" s="6" t="s">
        <v>83</v>
      </c>
      <c r="AB351" s="6">
        <v>1013.32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1436</v>
      </c>
      <c r="AJ351" s="6" t="s">
        <v>259</v>
      </c>
      <c r="AK351" s="6" t="s">
        <v>14</v>
      </c>
      <c r="AL351" s="6" t="s">
        <v>50</v>
      </c>
      <c r="AM351" s="6" t="s">
        <v>260</v>
      </c>
      <c r="AN351" s="6" t="s">
        <v>20</v>
      </c>
      <c r="AO351" s="6" t="s">
        <v>250</v>
      </c>
      <c r="AP351" s="6" t="s">
        <v>251</v>
      </c>
      <c r="AQ351" s="6" t="s">
        <v>18</v>
      </c>
    </row>
    <row r="352" spans="1:43" x14ac:dyDescent="0.25">
      <c r="A352" s="6">
        <v>22679625</v>
      </c>
      <c r="B352" s="6">
        <v>23484082</v>
      </c>
      <c r="C352" s="6" t="s">
        <v>237</v>
      </c>
      <c r="D352" s="14">
        <v>45873.668321759258</v>
      </c>
      <c r="E352" s="14">
        <v>45873.671423611107</v>
      </c>
      <c r="F352" s="6" t="s">
        <v>23</v>
      </c>
      <c r="G352" s="6" t="s">
        <v>23</v>
      </c>
      <c r="H352" s="6" t="s">
        <v>1437</v>
      </c>
      <c r="I352" s="6" t="s">
        <v>14</v>
      </c>
      <c r="J352" s="6" t="s">
        <v>1438</v>
      </c>
      <c r="K352" s="6" t="s">
        <v>1432</v>
      </c>
      <c r="L352" s="6" t="s">
        <v>1432</v>
      </c>
      <c r="M352" s="14">
        <v>45873</v>
      </c>
      <c r="N352" s="6">
        <v>17202443</v>
      </c>
      <c r="O352" s="6" t="s">
        <v>83</v>
      </c>
      <c r="P352" s="6" t="s">
        <v>242</v>
      </c>
      <c r="Q352" s="6" t="s">
        <v>256</v>
      </c>
      <c r="R352" s="6" t="s">
        <v>256</v>
      </c>
      <c r="S352" s="6" t="s">
        <v>9</v>
      </c>
      <c r="T352" s="6" t="s">
        <v>245</v>
      </c>
      <c r="U352" s="6" t="s">
        <v>117</v>
      </c>
      <c r="V352" s="6" t="s">
        <v>1337</v>
      </c>
      <c r="W352" s="6" t="s">
        <v>83</v>
      </c>
      <c r="X352" s="6" t="s">
        <v>83</v>
      </c>
      <c r="Y352" s="6" t="s">
        <v>83</v>
      </c>
      <c r="Z352" s="6" t="s">
        <v>52</v>
      </c>
      <c r="AA352" s="6" t="s">
        <v>83</v>
      </c>
      <c r="AB352" s="6">
        <v>580</v>
      </c>
      <c r="AC352" s="6">
        <v>0</v>
      </c>
      <c r="AD352" s="6">
        <v>0</v>
      </c>
      <c r="AE352" s="6">
        <v>0</v>
      </c>
      <c r="AF352" s="6">
        <v>0</v>
      </c>
      <c r="AG352" s="6">
        <v>180</v>
      </c>
      <c r="AH352" s="6">
        <v>0</v>
      </c>
      <c r="AI352" s="6" t="s">
        <v>1439</v>
      </c>
      <c r="AJ352" s="6" t="s">
        <v>259</v>
      </c>
      <c r="AK352" s="6" t="s">
        <v>14</v>
      </c>
      <c r="AL352" s="6" t="s">
        <v>50</v>
      </c>
      <c r="AM352" s="6" t="s">
        <v>260</v>
      </c>
      <c r="AN352" s="6" t="s">
        <v>20</v>
      </c>
      <c r="AO352" s="6" t="s">
        <v>250</v>
      </c>
      <c r="AP352" s="6" t="s">
        <v>251</v>
      </c>
      <c r="AQ352" s="6" t="s">
        <v>18</v>
      </c>
    </row>
    <row r="353" spans="1:43" x14ac:dyDescent="0.25">
      <c r="A353" s="6">
        <v>22677103</v>
      </c>
      <c r="B353" s="6">
        <v>23481783</v>
      </c>
      <c r="C353" s="6" t="s">
        <v>237</v>
      </c>
      <c r="D353" s="14">
        <v>45873.376087962963</v>
      </c>
      <c r="E353" s="14">
        <v>45873.379791666674</v>
      </c>
      <c r="F353" s="6" t="s">
        <v>23</v>
      </c>
      <c r="G353" s="6" t="s">
        <v>23</v>
      </c>
      <c r="H353" s="6" t="s">
        <v>1440</v>
      </c>
      <c r="I353" s="6" t="s">
        <v>14</v>
      </c>
      <c r="J353" s="6" t="s">
        <v>1441</v>
      </c>
      <c r="K353" s="6" t="s">
        <v>1432</v>
      </c>
      <c r="L353" s="6" t="s">
        <v>1432</v>
      </c>
      <c r="M353" s="14">
        <v>45868</v>
      </c>
      <c r="N353" s="6">
        <v>17169221</v>
      </c>
      <c r="O353" s="6" t="s">
        <v>83</v>
      </c>
      <c r="P353" s="6" t="s">
        <v>242</v>
      </c>
      <c r="Q353" s="6" t="s">
        <v>256</v>
      </c>
      <c r="R353" s="6" t="s">
        <v>256</v>
      </c>
      <c r="S353" s="6" t="s">
        <v>9</v>
      </c>
      <c r="T353" s="6" t="s">
        <v>245</v>
      </c>
      <c r="U353" s="6" t="s">
        <v>117</v>
      </c>
      <c r="V353" s="6" t="s">
        <v>1337</v>
      </c>
      <c r="W353" s="6" t="s">
        <v>83</v>
      </c>
      <c r="X353" s="6" t="s">
        <v>83</v>
      </c>
      <c r="Y353" s="6" t="s">
        <v>83</v>
      </c>
      <c r="Z353" s="6" t="s">
        <v>52</v>
      </c>
      <c r="AA353" s="6" t="s">
        <v>83</v>
      </c>
      <c r="AB353" s="6">
        <v>270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 t="s">
        <v>1442</v>
      </c>
      <c r="AJ353" s="6" t="s">
        <v>259</v>
      </c>
      <c r="AK353" s="6" t="s">
        <v>14</v>
      </c>
      <c r="AL353" s="6" t="s">
        <v>50</v>
      </c>
      <c r="AM353" s="6" t="s">
        <v>260</v>
      </c>
      <c r="AN353" s="6" t="s">
        <v>20</v>
      </c>
      <c r="AO353" s="6" t="s">
        <v>250</v>
      </c>
      <c r="AP353" s="6" t="s">
        <v>251</v>
      </c>
      <c r="AQ353" s="6" t="s">
        <v>18</v>
      </c>
    </row>
    <row r="354" spans="1:43" x14ac:dyDescent="0.25">
      <c r="A354" s="6">
        <v>22649682</v>
      </c>
      <c r="B354" s="6">
        <v>23459220</v>
      </c>
      <c r="C354" s="6" t="s">
        <v>237</v>
      </c>
      <c r="D354" s="14">
        <v>45868.377569444441</v>
      </c>
      <c r="E354" s="14">
        <v>45868.380208333343</v>
      </c>
      <c r="F354" s="6" t="s">
        <v>23</v>
      </c>
      <c r="G354" s="6" t="s">
        <v>23</v>
      </c>
      <c r="H354" s="6" t="s">
        <v>1443</v>
      </c>
      <c r="I354" s="6" t="s">
        <v>14</v>
      </c>
      <c r="J354" s="6" t="s">
        <v>1444</v>
      </c>
      <c r="K354" s="6" t="s">
        <v>1432</v>
      </c>
      <c r="L354" s="6" t="s">
        <v>1432</v>
      </c>
      <c r="M354" s="14">
        <v>45868</v>
      </c>
      <c r="N354" s="6">
        <v>17165445</v>
      </c>
      <c r="O354" s="6" t="s">
        <v>83</v>
      </c>
      <c r="P354" s="6" t="s">
        <v>242</v>
      </c>
      <c r="Q354" s="6" t="s">
        <v>256</v>
      </c>
      <c r="R354" s="6" t="s">
        <v>256</v>
      </c>
      <c r="S354" s="6" t="s">
        <v>9</v>
      </c>
      <c r="T354" s="6" t="s">
        <v>245</v>
      </c>
      <c r="U354" s="6" t="s">
        <v>117</v>
      </c>
      <c r="V354" s="6" t="s">
        <v>1337</v>
      </c>
      <c r="W354" s="6" t="s">
        <v>83</v>
      </c>
      <c r="X354" s="6" t="s">
        <v>83</v>
      </c>
      <c r="Y354" s="6" t="s">
        <v>83</v>
      </c>
      <c r="Z354" s="6" t="s">
        <v>52</v>
      </c>
      <c r="AA354" s="6" t="s">
        <v>83</v>
      </c>
      <c r="AB354" s="6">
        <v>1080</v>
      </c>
      <c r="AC354" s="6">
        <v>0</v>
      </c>
      <c r="AD354" s="6">
        <v>0</v>
      </c>
      <c r="AE354" s="6">
        <v>0</v>
      </c>
      <c r="AF354" s="6">
        <v>0</v>
      </c>
      <c r="AG354" s="6">
        <v>180</v>
      </c>
      <c r="AH354" s="6">
        <v>0</v>
      </c>
      <c r="AI354" s="6" t="s">
        <v>1445</v>
      </c>
      <c r="AJ354" s="6" t="s">
        <v>259</v>
      </c>
      <c r="AK354" s="6" t="s">
        <v>14</v>
      </c>
      <c r="AL354" s="6" t="s">
        <v>50</v>
      </c>
      <c r="AM354" s="6" t="s">
        <v>260</v>
      </c>
      <c r="AN354" s="6" t="s">
        <v>20</v>
      </c>
      <c r="AO354" s="6" t="s">
        <v>250</v>
      </c>
      <c r="AP354" s="6" t="s">
        <v>251</v>
      </c>
      <c r="AQ354" s="6" t="s">
        <v>18</v>
      </c>
    </row>
    <row r="355" spans="1:43" x14ac:dyDescent="0.25">
      <c r="A355" s="6">
        <v>22659143</v>
      </c>
      <c r="B355" s="6">
        <v>23467925</v>
      </c>
      <c r="C355" s="6" t="s">
        <v>237</v>
      </c>
      <c r="D355" s="14">
        <v>45869.671030092592</v>
      </c>
      <c r="E355" s="14">
        <v>45869.675833333327</v>
      </c>
      <c r="F355" s="6" t="s">
        <v>23</v>
      </c>
      <c r="G355" s="6" t="s">
        <v>23</v>
      </c>
      <c r="H355" s="6" t="s">
        <v>1446</v>
      </c>
      <c r="I355" s="6" t="s">
        <v>14</v>
      </c>
      <c r="J355" s="6" t="s">
        <v>1447</v>
      </c>
      <c r="K355" s="6" t="s">
        <v>1432</v>
      </c>
      <c r="L355" s="6" t="s">
        <v>1432</v>
      </c>
      <c r="M355" s="14">
        <v>45869</v>
      </c>
      <c r="N355" s="6">
        <v>17180402</v>
      </c>
      <c r="O355" s="6" t="s">
        <v>83</v>
      </c>
      <c r="P355" s="6" t="s">
        <v>242</v>
      </c>
      <c r="Q355" s="6" t="s">
        <v>256</v>
      </c>
      <c r="R355" s="6" t="s">
        <v>256</v>
      </c>
      <c r="S355" s="6" t="s">
        <v>9</v>
      </c>
      <c r="T355" s="6" t="s">
        <v>245</v>
      </c>
      <c r="U355" s="6" t="s">
        <v>117</v>
      </c>
      <c r="V355" s="6" t="s">
        <v>1337</v>
      </c>
      <c r="W355" s="6" t="s">
        <v>83</v>
      </c>
      <c r="X355" s="6" t="s">
        <v>83</v>
      </c>
      <c r="Y355" s="6" t="s">
        <v>83</v>
      </c>
      <c r="Z355" s="6" t="s">
        <v>52</v>
      </c>
      <c r="AA355" s="6" t="s">
        <v>83</v>
      </c>
      <c r="AB355" s="6">
        <v>1160</v>
      </c>
      <c r="AC355" s="6">
        <v>0</v>
      </c>
      <c r="AD355" s="6">
        <v>0</v>
      </c>
      <c r="AE355" s="6">
        <v>0</v>
      </c>
      <c r="AF355" s="6">
        <v>0</v>
      </c>
      <c r="AG355" s="6">
        <v>180</v>
      </c>
      <c r="AH355" s="6">
        <v>0</v>
      </c>
      <c r="AI355" s="6" t="s">
        <v>1448</v>
      </c>
      <c r="AJ355" s="6" t="s">
        <v>259</v>
      </c>
      <c r="AK355" s="6" t="s">
        <v>14</v>
      </c>
      <c r="AL355" s="6" t="s">
        <v>50</v>
      </c>
      <c r="AM355" s="6" t="s">
        <v>260</v>
      </c>
      <c r="AN355" s="6" t="s">
        <v>20</v>
      </c>
      <c r="AO355" s="6" t="s">
        <v>250</v>
      </c>
      <c r="AP355" s="6" t="s">
        <v>251</v>
      </c>
      <c r="AQ355" s="6" t="s">
        <v>18</v>
      </c>
    </row>
    <row r="356" spans="1:43" x14ac:dyDescent="0.25">
      <c r="A356" s="6">
        <v>22659144</v>
      </c>
      <c r="B356" s="6">
        <v>23467926</v>
      </c>
      <c r="C356" s="6" t="s">
        <v>237</v>
      </c>
      <c r="D356" s="14">
        <v>45869.671041666668</v>
      </c>
      <c r="E356" s="14">
        <v>45869.675844907397</v>
      </c>
      <c r="F356" s="6" t="s">
        <v>23</v>
      </c>
      <c r="G356" s="6" t="s">
        <v>23</v>
      </c>
      <c r="H356" s="6" t="s">
        <v>1449</v>
      </c>
      <c r="I356" s="6" t="s">
        <v>14</v>
      </c>
      <c r="J356" s="6" t="s">
        <v>1438</v>
      </c>
      <c r="K356" s="6" t="s">
        <v>1432</v>
      </c>
      <c r="L356" s="6" t="s">
        <v>1432</v>
      </c>
      <c r="M356" s="14">
        <v>45869</v>
      </c>
      <c r="N356" s="6">
        <v>17180492</v>
      </c>
      <c r="O356" s="6" t="s">
        <v>83</v>
      </c>
      <c r="P356" s="6" t="s">
        <v>242</v>
      </c>
      <c r="Q356" s="6" t="s">
        <v>256</v>
      </c>
      <c r="R356" s="6" t="s">
        <v>256</v>
      </c>
      <c r="S356" s="6" t="s">
        <v>9</v>
      </c>
      <c r="T356" s="6" t="s">
        <v>245</v>
      </c>
      <c r="U356" s="6" t="s">
        <v>117</v>
      </c>
      <c r="V356" s="6" t="s">
        <v>1337</v>
      </c>
      <c r="W356" s="6" t="s">
        <v>83</v>
      </c>
      <c r="X356" s="6" t="s">
        <v>83</v>
      </c>
      <c r="Y356" s="6" t="s">
        <v>83</v>
      </c>
      <c r="Z356" s="6" t="s">
        <v>52</v>
      </c>
      <c r="AA356" s="6" t="s">
        <v>83</v>
      </c>
      <c r="AB356" s="6">
        <v>1160</v>
      </c>
      <c r="AC356" s="6">
        <v>0</v>
      </c>
      <c r="AD356" s="6">
        <v>0</v>
      </c>
      <c r="AE356" s="6">
        <v>0</v>
      </c>
      <c r="AF356" s="6">
        <v>0</v>
      </c>
      <c r="AG356" s="6">
        <v>180</v>
      </c>
      <c r="AH356" s="6">
        <v>0</v>
      </c>
      <c r="AI356" s="6" t="s">
        <v>1450</v>
      </c>
      <c r="AJ356" s="6" t="s">
        <v>259</v>
      </c>
      <c r="AK356" s="6" t="s">
        <v>14</v>
      </c>
      <c r="AL356" s="6" t="s">
        <v>50</v>
      </c>
      <c r="AM356" s="6" t="s">
        <v>260</v>
      </c>
      <c r="AN356" s="6" t="s">
        <v>20</v>
      </c>
      <c r="AO356" s="6" t="s">
        <v>250</v>
      </c>
      <c r="AP356" s="6" t="s">
        <v>251</v>
      </c>
      <c r="AQ356" s="6" t="s">
        <v>18</v>
      </c>
    </row>
    <row r="357" spans="1:43" x14ac:dyDescent="0.25">
      <c r="A357" s="6">
        <v>22529814</v>
      </c>
      <c r="B357" s="6">
        <v>23357744</v>
      </c>
      <c r="C357" s="6" t="s">
        <v>237</v>
      </c>
      <c r="D357" s="14">
        <v>45846.459120370368</v>
      </c>
      <c r="E357" s="14">
        <v>45846.462800925918</v>
      </c>
      <c r="F357" s="46" t="s">
        <v>29</v>
      </c>
      <c r="G357" s="46" t="s">
        <v>29</v>
      </c>
      <c r="H357" s="6" t="s">
        <v>1451</v>
      </c>
      <c r="I357" s="6" t="s">
        <v>14</v>
      </c>
      <c r="J357" s="6" t="s">
        <v>1452</v>
      </c>
      <c r="K357" s="6" t="s">
        <v>1432</v>
      </c>
      <c r="L357" s="6" t="s">
        <v>1432</v>
      </c>
      <c r="M357" s="14">
        <v>45845</v>
      </c>
      <c r="N357" s="6">
        <v>16994702</v>
      </c>
      <c r="O357" s="6" t="s">
        <v>83</v>
      </c>
      <c r="P357" s="6" t="s">
        <v>242</v>
      </c>
      <c r="Q357" s="6" t="s">
        <v>256</v>
      </c>
      <c r="R357" s="6" t="s">
        <v>256</v>
      </c>
      <c r="S357" s="6" t="s">
        <v>9</v>
      </c>
      <c r="T357" s="6" t="s">
        <v>245</v>
      </c>
      <c r="U357" s="6" t="s">
        <v>117</v>
      </c>
      <c r="V357" s="6" t="s">
        <v>1337</v>
      </c>
      <c r="W357" s="6" t="s">
        <v>83</v>
      </c>
      <c r="X357" s="6" t="s">
        <v>1453</v>
      </c>
      <c r="Y357" s="6" t="s">
        <v>83</v>
      </c>
      <c r="Z357" s="6" t="s">
        <v>52</v>
      </c>
      <c r="AA357" s="6" t="s">
        <v>83</v>
      </c>
      <c r="AB357" s="6">
        <v>371.8</v>
      </c>
      <c r="AC357" s="6">
        <v>0</v>
      </c>
      <c r="AD357" s="6">
        <v>0</v>
      </c>
      <c r="AE357" s="6">
        <v>0</v>
      </c>
      <c r="AF357" s="6">
        <v>0</v>
      </c>
      <c r="AG357" s="6">
        <v>18.59</v>
      </c>
      <c r="AH357" s="6">
        <v>0</v>
      </c>
      <c r="AI357" s="6" t="s">
        <v>1454</v>
      </c>
      <c r="AJ357" s="6" t="s">
        <v>259</v>
      </c>
      <c r="AK357" s="6" t="s">
        <v>14</v>
      </c>
      <c r="AL357" s="6" t="s">
        <v>50</v>
      </c>
      <c r="AM357" s="6" t="s">
        <v>260</v>
      </c>
      <c r="AN357" s="6" t="s">
        <v>20</v>
      </c>
      <c r="AO357" s="6" t="s">
        <v>250</v>
      </c>
      <c r="AP357" s="6" t="s">
        <v>251</v>
      </c>
      <c r="AQ357" s="6" t="s">
        <v>18</v>
      </c>
    </row>
    <row r="358" spans="1:43" x14ac:dyDescent="0.25">
      <c r="A358" s="6">
        <v>22531721</v>
      </c>
      <c r="B358" s="6">
        <v>23359539</v>
      </c>
      <c r="C358" s="6" t="s">
        <v>237</v>
      </c>
      <c r="D358" s="14">
        <v>45846.668703703697</v>
      </c>
      <c r="E358" s="14">
        <v>45846.672731481478</v>
      </c>
      <c r="F358" s="46" t="s">
        <v>29</v>
      </c>
      <c r="G358" s="46" t="s">
        <v>29</v>
      </c>
      <c r="H358" s="6" t="s">
        <v>1455</v>
      </c>
      <c r="I358" s="6" t="s">
        <v>14</v>
      </c>
      <c r="J358" s="6" t="s">
        <v>1456</v>
      </c>
      <c r="K358" s="6" t="s">
        <v>1432</v>
      </c>
      <c r="L358" s="6" t="s">
        <v>1432</v>
      </c>
      <c r="M358" s="14">
        <v>45846</v>
      </c>
      <c r="N358" s="6">
        <v>17009338</v>
      </c>
      <c r="O358" s="6" t="s">
        <v>83</v>
      </c>
      <c r="P358" s="6" t="s">
        <v>242</v>
      </c>
      <c r="Q358" s="6" t="s">
        <v>256</v>
      </c>
      <c r="R358" s="6" t="s">
        <v>256</v>
      </c>
      <c r="S358" s="6" t="s">
        <v>9</v>
      </c>
      <c r="T358" s="6" t="s">
        <v>245</v>
      </c>
      <c r="U358" s="6" t="s">
        <v>117</v>
      </c>
      <c r="V358" s="6" t="s">
        <v>1337</v>
      </c>
      <c r="W358" s="6" t="s">
        <v>83</v>
      </c>
      <c r="X358" s="6" t="s">
        <v>83</v>
      </c>
      <c r="Y358" s="6" t="s">
        <v>83</v>
      </c>
      <c r="Z358" s="6" t="s">
        <v>52</v>
      </c>
      <c r="AA358" s="6" t="s">
        <v>83</v>
      </c>
      <c r="AB358" s="6">
        <v>231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1457</v>
      </c>
      <c r="AJ358" s="6" t="s">
        <v>259</v>
      </c>
      <c r="AK358" s="6" t="s">
        <v>14</v>
      </c>
      <c r="AL358" s="6" t="s">
        <v>50</v>
      </c>
      <c r="AM358" s="6" t="s">
        <v>260</v>
      </c>
      <c r="AN358" s="6" t="s">
        <v>20</v>
      </c>
      <c r="AO358" s="6" t="s">
        <v>250</v>
      </c>
      <c r="AP358" s="6" t="s">
        <v>251</v>
      </c>
      <c r="AQ358" s="6" t="s">
        <v>18</v>
      </c>
    </row>
    <row r="359" spans="1:43" x14ac:dyDescent="0.25">
      <c r="A359" s="6">
        <v>22730748</v>
      </c>
      <c r="B359" s="6">
        <v>23528241</v>
      </c>
      <c r="C359" s="6" t="s">
        <v>237</v>
      </c>
      <c r="D359" s="14">
        <v>45881.668240740742</v>
      </c>
      <c r="E359" s="14">
        <v>45881.67114583333</v>
      </c>
      <c r="F359" s="6" t="s">
        <v>17</v>
      </c>
      <c r="G359" s="6" t="s">
        <v>17</v>
      </c>
      <c r="H359" s="6" t="s">
        <v>1458</v>
      </c>
      <c r="I359" s="6" t="s">
        <v>14</v>
      </c>
      <c r="J359" s="6" t="s">
        <v>1459</v>
      </c>
      <c r="K359" s="6" t="s">
        <v>1432</v>
      </c>
      <c r="L359" s="6" t="s">
        <v>1432</v>
      </c>
      <c r="M359" s="14">
        <v>45880</v>
      </c>
      <c r="N359" s="6">
        <v>17261957</v>
      </c>
      <c r="O359" s="6" t="s">
        <v>83</v>
      </c>
      <c r="P359" s="6" t="s">
        <v>242</v>
      </c>
      <c r="Q359" s="6" t="s">
        <v>256</v>
      </c>
      <c r="R359" s="6" t="s">
        <v>256</v>
      </c>
      <c r="S359" s="6" t="s">
        <v>9</v>
      </c>
      <c r="T359" s="6" t="s">
        <v>245</v>
      </c>
      <c r="U359" s="6" t="s">
        <v>117</v>
      </c>
      <c r="V359" s="6" t="s">
        <v>1337</v>
      </c>
      <c r="W359" s="6" t="s">
        <v>83</v>
      </c>
      <c r="X359" s="6" t="s">
        <v>83</v>
      </c>
      <c r="Y359" s="6" t="s">
        <v>83</v>
      </c>
      <c r="Z359" s="6" t="s">
        <v>52</v>
      </c>
      <c r="AA359" s="6" t="s">
        <v>83</v>
      </c>
      <c r="AB359" s="6">
        <v>712.41</v>
      </c>
      <c r="AC359" s="6">
        <v>0</v>
      </c>
      <c r="AD359" s="6">
        <v>0</v>
      </c>
      <c r="AE359" s="6">
        <v>0</v>
      </c>
      <c r="AF359" s="6">
        <v>0</v>
      </c>
      <c r="AG359" s="6">
        <v>71.239999999999995</v>
      </c>
      <c r="AH359" s="6">
        <v>0</v>
      </c>
      <c r="AI359" s="6" t="s">
        <v>1460</v>
      </c>
      <c r="AJ359" s="6" t="s">
        <v>259</v>
      </c>
      <c r="AK359" s="6" t="s">
        <v>14</v>
      </c>
      <c r="AL359" s="6" t="s">
        <v>50</v>
      </c>
      <c r="AM359" s="6" t="s">
        <v>260</v>
      </c>
      <c r="AN359" s="6" t="s">
        <v>20</v>
      </c>
      <c r="AO359" s="6" t="s">
        <v>250</v>
      </c>
      <c r="AP359" s="6" t="s">
        <v>251</v>
      </c>
      <c r="AQ359" s="6" t="s">
        <v>18</v>
      </c>
    </row>
    <row r="360" spans="1:43" x14ac:dyDescent="0.25">
      <c r="A360" s="6">
        <v>22726010</v>
      </c>
      <c r="B360" s="6">
        <v>23524191</v>
      </c>
      <c r="C360" s="6" t="s">
        <v>237</v>
      </c>
      <c r="D360" s="14">
        <v>45880.875752314823</v>
      </c>
      <c r="E360" s="14">
        <v>45880.87940972222</v>
      </c>
      <c r="F360" s="6" t="s">
        <v>17</v>
      </c>
      <c r="G360" s="6" t="s">
        <v>17</v>
      </c>
      <c r="H360" s="6" t="s">
        <v>1461</v>
      </c>
      <c r="I360" s="6" t="s">
        <v>14</v>
      </c>
      <c r="J360" s="6" t="s">
        <v>1462</v>
      </c>
      <c r="K360" s="6" t="s">
        <v>1432</v>
      </c>
      <c r="L360" s="6" t="s">
        <v>1432</v>
      </c>
      <c r="M360" s="14">
        <v>45880</v>
      </c>
      <c r="N360" s="6">
        <v>17253199</v>
      </c>
      <c r="O360" s="6" t="s">
        <v>83</v>
      </c>
      <c r="P360" s="6" t="s">
        <v>242</v>
      </c>
      <c r="Q360" s="6" t="s">
        <v>256</v>
      </c>
      <c r="R360" s="6" t="s">
        <v>256</v>
      </c>
      <c r="S360" s="6" t="s">
        <v>9</v>
      </c>
      <c r="T360" s="6" t="s">
        <v>245</v>
      </c>
      <c r="U360" s="6" t="s">
        <v>117</v>
      </c>
      <c r="V360" s="6" t="s">
        <v>1337</v>
      </c>
      <c r="W360" s="6" t="s">
        <v>83</v>
      </c>
      <c r="X360" s="6" t="s">
        <v>83</v>
      </c>
      <c r="Y360" s="6" t="s">
        <v>83</v>
      </c>
      <c r="Z360" s="6" t="s">
        <v>52</v>
      </c>
      <c r="AA360" s="6" t="s">
        <v>83</v>
      </c>
      <c r="AB360" s="6">
        <v>440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1463</v>
      </c>
      <c r="AJ360" s="6" t="s">
        <v>259</v>
      </c>
      <c r="AK360" s="6" t="s">
        <v>14</v>
      </c>
      <c r="AL360" s="6" t="s">
        <v>50</v>
      </c>
      <c r="AM360" s="6" t="s">
        <v>260</v>
      </c>
      <c r="AN360" s="6" t="s">
        <v>20</v>
      </c>
      <c r="AO360" s="6" t="s">
        <v>250</v>
      </c>
      <c r="AP360" s="6" t="s">
        <v>251</v>
      </c>
      <c r="AQ360" s="6" t="s">
        <v>18</v>
      </c>
    </row>
    <row r="361" spans="1:43" x14ac:dyDescent="0.25">
      <c r="A361" s="6">
        <v>22732626</v>
      </c>
      <c r="B361" s="6">
        <v>23530054</v>
      </c>
      <c r="C361" s="6" t="s">
        <v>237</v>
      </c>
      <c r="D361" s="14">
        <v>45881.792361111111</v>
      </c>
      <c r="E361" s="14">
        <v>45881.796099537038</v>
      </c>
      <c r="F361" s="6" t="s">
        <v>17</v>
      </c>
      <c r="G361" s="6" t="s">
        <v>17</v>
      </c>
      <c r="H361" s="6" t="s">
        <v>1464</v>
      </c>
      <c r="I361" s="6" t="s">
        <v>14</v>
      </c>
      <c r="J361" s="6" t="s">
        <v>1465</v>
      </c>
      <c r="K361" s="6" t="s">
        <v>816</v>
      </c>
      <c r="L361" s="6" t="s">
        <v>816</v>
      </c>
      <c r="M361" s="14">
        <v>45881</v>
      </c>
      <c r="N361" s="6">
        <v>17209500</v>
      </c>
      <c r="O361" s="6" t="s">
        <v>83</v>
      </c>
      <c r="P361" s="6" t="s">
        <v>272</v>
      </c>
      <c r="Q361" s="6" t="s">
        <v>256</v>
      </c>
      <c r="R361" s="6" t="s">
        <v>256</v>
      </c>
      <c r="S361" s="6" t="s">
        <v>9</v>
      </c>
      <c r="T361" s="6" t="s">
        <v>245</v>
      </c>
      <c r="U361" s="6" t="s">
        <v>117</v>
      </c>
      <c r="V361" s="6" t="s">
        <v>1337</v>
      </c>
      <c r="W361" s="6" t="s">
        <v>83</v>
      </c>
      <c r="X361" s="6" t="s">
        <v>83</v>
      </c>
      <c r="Y361" s="6" t="s">
        <v>83</v>
      </c>
      <c r="Z361" s="6" t="s">
        <v>52</v>
      </c>
      <c r="AA361" s="6" t="s">
        <v>83</v>
      </c>
      <c r="AB361" s="6">
        <v>1377</v>
      </c>
      <c r="AC361" s="6">
        <v>0</v>
      </c>
      <c r="AD361" s="6">
        <v>0</v>
      </c>
      <c r="AE361" s="6">
        <v>0</v>
      </c>
      <c r="AF361" s="6">
        <v>0</v>
      </c>
      <c r="AG361" s="6">
        <v>68.849999999999994</v>
      </c>
      <c r="AH361" s="6">
        <v>0</v>
      </c>
      <c r="AI361" s="6" t="s">
        <v>1466</v>
      </c>
      <c r="AJ361" s="6" t="s">
        <v>259</v>
      </c>
      <c r="AK361" s="6" t="s">
        <v>14</v>
      </c>
      <c r="AL361" s="6" t="s">
        <v>50</v>
      </c>
      <c r="AM361" s="6" t="s">
        <v>260</v>
      </c>
      <c r="AN361" s="6" t="s">
        <v>20</v>
      </c>
      <c r="AO361" s="6" t="s">
        <v>250</v>
      </c>
      <c r="AP361" s="6" t="s">
        <v>251</v>
      </c>
      <c r="AQ361" s="6" t="s">
        <v>18</v>
      </c>
    </row>
    <row r="362" spans="1:43" x14ac:dyDescent="0.25">
      <c r="A362" s="6">
        <v>22701252</v>
      </c>
      <c r="B362" s="6">
        <v>23503438</v>
      </c>
      <c r="C362" s="6" t="s">
        <v>237</v>
      </c>
      <c r="D362" s="14">
        <v>45876.585266203707</v>
      </c>
      <c r="E362" s="14">
        <v>45876.588310185187</v>
      </c>
      <c r="F362" s="6" t="s">
        <v>21</v>
      </c>
      <c r="G362" s="6" t="s">
        <v>21</v>
      </c>
      <c r="H362" s="6" t="s">
        <v>1467</v>
      </c>
      <c r="I362" s="6" t="s">
        <v>14</v>
      </c>
      <c r="J362" s="6" t="s">
        <v>1468</v>
      </c>
      <c r="K362" s="6" t="s">
        <v>1251</v>
      </c>
      <c r="L362" s="6" t="s">
        <v>1251</v>
      </c>
      <c r="M362" s="14">
        <v>45876</v>
      </c>
      <c r="N362" s="6">
        <v>17218296</v>
      </c>
      <c r="O362" s="6" t="s">
        <v>83</v>
      </c>
      <c r="P362" s="6" t="s">
        <v>272</v>
      </c>
      <c r="Q362" s="6" t="s">
        <v>256</v>
      </c>
      <c r="R362" s="6" t="s">
        <v>256</v>
      </c>
      <c r="S362" s="6" t="s">
        <v>9</v>
      </c>
      <c r="T362" s="6" t="s">
        <v>245</v>
      </c>
      <c r="U362" s="6" t="s">
        <v>117</v>
      </c>
      <c r="V362" s="6" t="s">
        <v>1337</v>
      </c>
      <c r="W362" s="6" t="s">
        <v>83</v>
      </c>
      <c r="X362" s="6" t="s">
        <v>83</v>
      </c>
      <c r="Y362" s="6" t="s">
        <v>83</v>
      </c>
      <c r="Z362" s="6" t="s">
        <v>52</v>
      </c>
      <c r="AA362" s="6" t="s">
        <v>83</v>
      </c>
      <c r="AB362" s="6">
        <v>315</v>
      </c>
      <c r="AC362" s="6">
        <v>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 t="s">
        <v>1469</v>
      </c>
      <c r="AJ362" s="6" t="s">
        <v>259</v>
      </c>
      <c r="AK362" s="6" t="s">
        <v>14</v>
      </c>
      <c r="AL362" s="6" t="s">
        <v>50</v>
      </c>
      <c r="AM362" s="6" t="s">
        <v>260</v>
      </c>
      <c r="AN362" s="6" t="s">
        <v>20</v>
      </c>
      <c r="AO362" s="6" t="s">
        <v>250</v>
      </c>
      <c r="AP362" s="6" t="s">
        <v>251</v>
      </c>
      <c r="AQ362" s="6" t="s">
        <v>18</v>
      </c>
    </row>
    <row r="363" spans="1:43" x14ac:dyDescent="0.25">
      <c r="A363" s="6">
        <v>22701270</v>
      </c>
      <c r="B363" s="6">
        <v>23503451</v>
      </c>
      <c r="C363" s="6" t="s">
        <v>237</v>
      </c>
      <c r="D363" s="14">
        <v>45876.586018518523</v>
      </c>
      <c r="E363" s="14">
        <v>45876.589016203703</v>
      </c>
      <c r="F363" s="6" t="s">
        <v>21</v>
      </c>
      <c r="G363" s="6" t="s">
        <v>21</v>
      </c>
      <c r="H363" s="6" t="s">
        <v>1470</v>
      </c>
      <c r="I363" s="6" t="s">
        <v>14</v>
      </c>
      <c r="J363" s="6" t="s">
        <v>1471</v>
      </c>
      <c r="K363" s="6" t="s">
        <v>1251</v>
      </c>
      <c r="L363" s="6" t="s">
        <v>1251</v>
      </c>
      <c r="M363" s="14">
        <v>45876</v>
      </c>
      <c r="N363" s="6">
        <v>17231543</v>
      </c>
      <c r="O363" s="6" t="s">
        <v>83</v>
      </c>
      <c r="P363" s="6" t="s">
        <v>272</v>
      </c>
      <c r="Q363" s="6" t="s">
        <v>256</v>
      </c>
      <c r="R363" s="6" t="s">
        <v>256</v>
      </c>
      <c r="S363" s="6" t="s">
        <v>9</v>
      </c>
      <c r="T363" s="6" t="s">
        <v>245</v>
      </c>
      <c r="U363" s="6" t="s">
        <v>117</v>
      </c>
      <c r="V363" s="6" t="s">
        <v>1337</v>
      </c>
      <c r="W363" s="6" t="s">
        <v>83</v>
      </c>
      <c r="X363" s="6" t="s">
        <v>83</v>
      </c>
      <c r="Y363" s="6" t="s">
        <v>83</v>
      </c>
      <c r="Z363" s="6" t="s">
        <v>52</v>
      </c>
      <c r="AA363" s="6" t="s">
        <v>83</v>
      </c>
      <c r="AB363" s="6">
        <v>855</v>
      </c>
      <c r="AC363" s="6">
        <v>0</v>
      </c>
      <c r="AD363" s="6">
        <v>0</v>
      </c>
      <c r="AE363" s="6">
        <v>0</v>
      </c>
      <c r="AF363" s="6">
        <v>0</v>
      </c>
      <c r="AG363" s="6">
        <v>42.75</v>
      </c>
      <c r="AH363" s="6">
        <v>0</v>
      </c>
      <c r="AI363" s="6" t="s">
        <v>1472</v>
      </c>
      <c r="AJ363" s="6" t="s">
        <v>259</v>
      </c>
      <c r="AK363" s="6" t="s">
        <v>14</v>
      </c>
      <c r="AL363" s="6" t="s">
        <v>50</v>
      </c>
      <c r="AM363" s="6" t="s">
        <v>260</v>
      </c>
      <c r="AN363" s="6" t="s">
        <v>20</v>
      </c>
      <c r="AO363" s="6" t="s">
        <v>250</v>
      </c>
      <c r="AP363" s="6" t="s">
        <v>251</v>
      </c>
      <c r="AQ363" s="6" t="s">
        <v>18</v>
      </c>
    </row>
    <row r="364" spans="1:43" x14ac:dyDescent="0.25">
      <c r="A364" s="6">
        <v>22730190</v>
      </c>
      <c r="B364" s="6">
        <v>23527709</v>
      </c>
      <c r="C364" s="6" t="s">
        <v>237</v>
      </c>
      <c r="D364" s="14">
        <v>45881.584293981483</v>
      </c>
      <c r="E364" s="14">
        <v>45881.587962962964</v>
      </c>
      <c r="F364" s="6" t="s">
        <v>17</v>
      </c>
      <c r="G364" s="6" t="s">
        <v>17</v>
      </c>
      <c r="H364" s="6" t="s">
        <v>1473</v>
      </c>
      <c r="I364" s="6" t="s">
        <v>14</v>
      </c>
      <c r="J364" s="6" t="s">
        <v>1474</v>
      </c>
      <c r="K364" s="6" t="s">
        <v>1251</v>
      </c>
      <c r="L364" s="6" t="s">
        <v>1251</v>
      </c>
      <c r="M364" s="14">
        <v>45880.713888888888</v>
      </c>
      <c r="N364" s="6">
        <v>17258268</v>
      </c>
      <c r="O364" s="6" t="s">
        <v>1475</v>
      </c>
      <c r="P364" s="6" t="s">
        <v>272</v>
      </c>
      <c r="Q364" s="6" t="s">
        <v>243</v>
      </c>
      <c r="R364" s="6" t="s">
        <v>244</v>
      </c>
      <c r="S364" s="6" t="s">
        <v>8</v>
      </c>
      <c r="T364" s="6" t="s">
        <v>245</v>
      </c>
      <c r="U364" s="6" t="s">
        <v>117</v>
      </c>
      <c r="V364" s="6" t="s">
        <v>1337</v>
      </c>
      <c r="W364" s="6" t="s">
        <v>83</v>
      </c>
      <c r="X364" s="6" t="s">
        <v>83</v>
      </c>
      <c r="Y364" s="6" t="s">
        <v>83</v>
      </c>
      <c r="Z364" s="6" t="s">
        <v>52</v>
      </c>
      <c r="AA364" s="6" t="s">
        <v>83</v>
      </c>
      <c r="AB364" s="6">
        <v>812.24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 t="s">
        <v>1476</v>
      </c>
      <c r="AJ364" s="6" t="s">
        <v>259</v>
      </c>
      <c r="AK364" s="6" t="s">
        <v>14</v>
      </c>
      <c r="AL364" s="6" t="s">
        <v>50</v>
      </c>
      <c r="AM364" s="6" t="s">
        <v>260</v>
      </c>
      <c r="AN364" s="6" t="s">
        <v>20</v>
      </c>
      <c r="AO364" s="6" t="s">
        <v>250</v>
      </c>
      <c r="AP364" s="6" t="s">
        <v>251</v>
      </c>
      <c r="AQ364" s="6" t="s">
        <v>18</v>
      </c>
    </row>
    <row r="365" spans="1:43" x14ac:dyDescent="0.25">
      <c r="A365" s="6">
        <v>22730749</v>
      </c>
      <c r="B365" s="6">
        <v>23528242</v>
      </c>
      <c r="C365" s="6" t="s">
        <v>237</v>
      </c>
      <c r="D365" s="14">
        <v>45881.668263888889</v>
      </c>
      <c r="E365" s="14">
        <v>45881.671157407407</v>
      </c>
      <c r="F365" s="6" t="s">
        <v>17</v>
      </c>
      <c r="G365" s="6" t="s">
        <v>17</v>
      </c>
      <c r="H365" s="6" t="s">
        <v>1477</v>
      </c>
      <c r="I365" s="6" t="s">
        <v>14</v>
      </c>
      <c r="J365" s="6" t="s">
        <v>1478</v>
      </c>
      <c r="K365" s="6" t="s">
        <v>1251</v>
      </c>
      <c r="L365" s="6" t="s">
        <v>1251</v>
      </c>
      <c r="M365" s="14">
        <v>45881.481944444437</v>
      </c>
      <c r="N365" s="6">
        <v>17262161</v>
      </c>
      <c r="O365" s="6" t="s">
        <v>1479</v>
      </c>
      <c r="P365" s="6" t="s">
        <v>272</v>
      </c>
      <c r="Q365" s="6" t="s">
        <v>243</v>
      </c>
      <c r="R365" s="6" t="s">
        <v>244</v>
      </c>
      <c r="S365" s="6" t="s">
        <v>8</v>
      </c>
      <c r="T365" s="6" t="s">
        <v>245</v>
      </c>
      <c r="U365" s="6" t="s">
        <v>117</v>
      </c>
      <c r="V365" s="6" t="s">
        <v>1337</v>
      </c>
      <c r="W365" s="6" t="s">
        <v>83</v>
      </c>
      <c r="X365" s="6" t="s">
        <v>83</v>
      </c>
      <c r="Y365" s="6" t="s">
        <v>83</v>
      </c>
      <c r="Z365" s="6" t="s">
        <v>52</v>
      </c>
      <c r="AA365" s="6" t="s">
        <v>83</v>
      </c>
      <c r="AB365" s="6">
        <v>627.51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1480</v>
      </c>
      <c r="AJ365" s="6" t="s">
        <v>259</v>
      </c>
      <c r="AK365" s="6" t="s">
        <v>14</v>
      </c>
      <c r="AL365" s="6" t="s">
        <v>50</v>
      </c>
      <c r="AM365" s="6" t="s">
        <v>260</v>
      </c>
      <c r="AN365" s="6" t="s">
        <v>20</v>
      </c>
      <c r="AO365" s="6" t="s">
        <v>250</v>
      </c>
      <c r="AP365" s="6" t="s">
        <v>251</v>
      </c>
      <c r="AQ365" s="6" t="s">
        <v>18</v>
      </c>
    </row>
    <row r="366" spans="1:43" x14ac:dyDescent="0.25">
      <c r="A366" s="6">
        <v>22730743</v>
      </c>
      <c r="B366" s="6">
        <v>23528236</v>
      </c>
      <c r="C366" s="6" t="s">
        <v>237</v>
      </c>
      <c r="D366" s="14">
        <v>45881.667719907397</v>
      </c>
      <c r="E366" s="14">
        <v>45881.671041666668</v>
      </c>
      <c r="F366" s="6" t="s">
        <v>17</v>
      </c>
      <c r="G366" s="6" t="s">
        <v>17</v>
      </c>
      <c r="H366" s="6" t="s">
        <v>1481</v>
      </c>
      <c r="I366" s="6" t="s">
        <v>14</v>
      </c>
      <c r="J366" s="6" t="s">
        <v>1482</v>
      </c>
      <c r="K366" s="6" t="s">
        <v>1251</v>
      </c>
      <c r="L366" s="6" t="s">
        <v>1251</v>
      </c>
      <c r="M366" s="14">
        <v>45880.438888888893</v>
      </c>
      <c r="N366" s="6">
        <v>17253797</v>
      </c>
      <c r="O366" s="6" t="s">
        <v>1483</v>
      </c>
      <c r="P366" s="6" t="s">
        <v>272</v>
      </c>
      <c r="Q366" s="6" t="s">
        <v>243</v>
      </c>
      <c r="R366" s="6" t="s">
        <v>244</v>
      </c>
      <c r="S366" s="6" t="s">
        <v>8</v>
      </c>
      <c r="T366" s="6" t="s">
        <v>245</v>
      </c>
      <c r="U366" s="6" t="s">
        <v>117</v>
      </c>
      <c r="V366" s="6" t="s">
        <v>1337</v>
      </c>
      <c r="W366" s="6" t="s">
        <v>83</v>
      </c>
      <c r="X366" s="6" t="s">
        <v>83</v>
      </c>
      <c r="Y366" s="6" t="s">
        <v>83</v>
      </c>
      <c r="Z366" s="6" t="s">
        <v>52</v>
      </c>
      <c r="AA366" s="6" t="s">
        <v>83</v>
      </c>
      <c r="AB366" s="6">
        <v>609.15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 t="s">
        <v>1484</v>
      </c>
      <c r="AJ366" s="6" t="s">
        <v>259</v>
      </c>
      <c r="AK366" s="6" t="s">
        <v>14</v>
      </c>
      <c r="AL366" s="6" t="s">
        <v>50</v>
      </c>
      <c r="AM366" s="6" t="s">
        <v>260</v>
      </c>
      <c r="AN366" s="6" t="s">
        <v>20</v>
      </c>
      <c r="AO366" s="6" t="s">
        <v>250</v>
      </c>
      <c r="AP366" s="6" t="s">
        <v>251</v>
      </c>
      <c r="AQ366" s="6" t="s">
        <v>18</v>
      </c>
    </row>
    <row r="367" spans="1:43" x14ac:dyDescent="0.25">
      <c r="A367" s="6">
        <v>22686476</v>
      </c>
      <c r="B367" s="6">
        <v>23490201</v>
      </c>
      <c r="C367" s="6" t="s">
        <v>237</v>
      </c>
      <c r="D367" s="14">
        <v>45874.595648148148</v>
      </c>
      <c r="E367" s="14">
        <v>45874.59778935185</v>
      </c>
      <c r="F367" s="6" t="s">
        <v>21</v>
      </c>
      <c r="G367" s="6" t="s">
        <v>21</v>
      </c>
      <c r="H367" s="6" t="s">
        <v>1485</v>
      </c>
      <c r="I367" s="6" t="s">
        <v>13</v>
      </c>
      <c r="J367" s="6" t="s">
        <v>1486</v>
      </c>
      <c r="K367" s="6" t="s">
        <v>985</v>
      </c>
      <c r="L367" s="6" t="s">
        <v>985</v>
      </c>
      <c r="M367" s="14">
        <v>45874.530555555553</v>
      </c>
      <c r="N367" s="6">
        <v>4576769</v>
      </c>
      <c r="O367" s="6" t="s">
        <v>83</v>
      </c>
      <c r="P367" s="6" t="s">
        <v>272</v>
      </c>
      <c r="Q367" s="6" t="s">
        <v>243</v>
      </c>
      <c r="R367" s="6" t="s">
        <v>244</v>
      </c>
      <c r="S367" s="6" t="s">
        <v>7</v>
      </c>
      <c r="T367" s="6" t="s">
        <v>245</v>
      </c>
      <c r="U367" s="6" t="s">
        <v>170</v>
      </c>
      <c r="V367" s="6" t="s">
        <v>1487</v>
      </c>
      <c r="W367" s="6" t="s">
        <v>83</v>
      </c>
      <c r="X367" s="6" t="s">
        <v>247</v>
      </c>
      <c r="Y367" s="6">
        <v>2971589631</v>
      </c>
      <c r="Z367" s="6" t="s">
        <v>97</v>
      </c>
      <c r="AA367" s="6" t="s">
        <v>83</v>
      </c>
      <c r="AB367" s="6">
        <v>1472.04</v>
      </c>
      <c r="AC367" s="6">
        <v>450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 t="s">
        <v>1488</v>
      </c>
      <c r="AJ367" s="6" t="s">
        <v>307</v>
      </c>
      <c r="AK367" s="6" t="s">
        <v>13</v>
      </c>
      <c r="AL367" s="6" t="s">
        <v>60</v>
      </c>
      <c r="AM367" s="6" t="s">
        <v>308</v>
      </c>
      <c r="AN367" s="6" t="s">
        <v>26</v>
      </c>
      <c r="AO367" s="6" t="s">
        <v>250</v>
      </c>
      <c r="AP367" s="6" t="s">
        <v>262</v>
      </c>
      <c r="AQ367" s="6" t="s">
        <v>24</v>
      </c>
    </row>
    <row r="368" spans="1:43" x14ac:dyDescent="0.25">
      <c r="A368" s="6">
        <v>22686477</v>
      </c>
      <c r="B368" s="6">
        <v>23490202</v>
      </c>
      <c r="C368" s="6" t="s">
        <v>237</v>
      </c>
      <c r="D368" s="14">
        <v>45874.595659722218</v>
      </c>
      <c r="E368" s="14">
        <v>45874.597800925927</v>
      </c>
      <c r="F368" s="6" t="s">
        <v>21</v>
      </c>
      <c r="G368" s="6" t="s">
        <v>21</v>
      </c>
      <c r="H368" s="6" t="s">
        <v>1489</v>
      </c>
      <c r="I368" s="6" t="s">
        <v>13</v>
      </c>
      <c r="J368" s="6" t="s">
        <v>1486</v>
      </c>
      <c r="K368" s="6" t="s">
        <v>985</v>
      </c>
      <c r="L368" s="6" t="s">
        <v>985</v>
      </c>
      <c r="M368" s="14">
        <v>45874.584722222222</v>
      </c>
      <c r="N368" s="6">
        <v>4576769</v>
      </c>
      <c r="O368" s="6" t="s">
        <v>83</v>
      </c>
      <c r="P368" s="6" t="s">
        <v>272</v>
      </c>
      <c r="Q368" s="6" t="s">
        <v>243</v>
      </c>
      <c r="R368" s="6" t="s">
        <v>244</v>
      </c>
      <c r="S368" s="6" t="s">
        <v>7</v>
      </c>
      <c r="T368" s="6" t="s">
        <v>245</v>
      </c>
      <c r="U368" s="6" t="s">
        <v>170</v>
      </c>
      <c r="V368" s="6" t="s">
        <v>1487</v>
      </c>
      <c r="W368" s="6" t="s">
        <v>83</v>
      </c>
      <c r="X368" s="6" t="s">
        <v>247</v>
      </c>
      <c r="Y368" s="6">
        <v>2971589633</v>
      </c>
      <c r="Z368" s="6" t="s">
        <v>97</v>
      </c>
      <c r="AA368" s="6" t="s">
        <v>83</v>
      </c>
      <c r="AB368" s="6">
        <v>2131.75</v>
      </c>
      <c r="AC368" s="6">
        <v>450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 t="s">
        <v>1488</v>
      </c>
      <c r="AJ368" s="6" t="s">
        <v>307</v>
      </c>
      <c r="AK368" s="6" t="s">
        <v>13</v>
      </c>
      <c r="AL368" s="6" t="s">
        <v>60</v>
      </c>
      <c r="AM368" s="6" t="s">
        <v>308</v>
      </c>
      <c r="AN368" s="6" t="s">
        <v>26</v>
      </c>
      <c r="AO368" s="6" t="s">
        <v>250</v>
      </c>
      <c r="AP368" s="6" t="s">
        <v>262</v>
      </c>
      <c r="AQ368" s="6" t="s">
        <v>24</v>
      </c>
    </row>
    <row r="369" spans="1:43" x14ac:dyDescent="0.25">
      <c r="A369" s="6">
        <v>22695720</v>
      </c>
      <c r="B369" s="6">
        <v>23498571</v>
      </c>
      <c r="C369" s="6" t="s">
        <v>237</v>
      </c>
      <c r="D369" s="14">
        <v>45875.766840277778</v>
      </c>
      <c r="E369" s="14">
        <v>45875.778993055559</v>
      </c>
      <c r="F369" s="6" t="s">
        <v>21</v>
      </c>
      <c r="G369" s="6" t="s">
        <v>21</v>
      </c>
      <c r="H369" s="6" t="s">
        <v>1490</v>
      </c>
      <c r="I369" s="6" t="s">
        <v>13</v>
      </c>
      <c r="J369" s="6" t="s">
        <v>1491</v>
      </c>
      <c r="K369" s="6" t="s">
        <v>1492</v>
      </c>
      <c r="L369" s="6" t="s">
        <v>1492</v>
      </c>
      <c r="M369" s="14">
        <v>45869.81527777778</v>
      </c>
      <c r="N369" s="6">
        <v>4575390</v>
      </c>
      <c r="O369" s="6" t="s">
        <v>83</v>
      </c>
      <c r="P369" s="6" t="s">
        <v>242</v>
      </c>
      <c r="Q369" s="6" t="s">
        <v>256</v>
      </c>
      <c r="R369" s="6" t="s">
        <v>424</v>
      </c>
      <c r="S369" s="6" t="s">
        <v>7</v>
      </c>
      <c r="T369" s="6" t="s">
        <v>245</v>
      </c>
      <c r="U369" s="6" t="s">
        <v>182</v>
      </c>
      <c r="V369" s="6" t="s">
        <v>1493</v>
      </c>
      <c r="W369" s="6" t="s">
        <v>83</v>
      </c>
      <c r="X369" s="6" t="s">
        <v>247</v>
      </c>
      <c r="Y369" s="6">
        <v>2971575248</v>
      </c>
      <c r="Z369" s="6" t="s">
        <v>97</v>
      </c>
      <c r="AA369" s="6" t="s">
        <v>83</v>
      </c>
      <c r="AB369" s="6">
        <v>4802.1138000000001</v>
      </c>
      <c r="AC369" s="6">
        <v>414.37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 t="s">
        <v>1494</v>
      </c>
      <c r="AJ369" s="6" t="s">
        <v>1495</v>
      </c>
      <c r="AK369" s="6" t="s">
        <v>13</v>
      </c>
      <c r="AL369" s="6" t="s">
        <v>51</v>
      </c>
      <c r="AM369" s="6" t="s">
        <v>342</v>
      </c>
      <c r="AN369" s="6" t="s">
        <v>26</v>
      </c>
      <c r="AO369" s="6" t="s">
        <v>250</v>
      </c>
      <c r="AP369" s="6" t="s">
        <v>262</v>
      </c>
      <c r="AQ369" s="6" t="s">
        <v>24</v>
      </c>
    </row>
    <row r="370" spans="1:43" x14ac:dyDescent="0.25">
      <c r="A370" s="6">
        <v>22734788</v>
      </c>
      <c r="B370" s="6">
        <v>23531749</v>
      </c>
      <c r="C370" s="6" t="s">
        <v>237</v>
      </c>
      <c r="D370" s="14">
        <v>45882.253344907411</v>
      </c>
      <c r="E370" s="14">
        <v>45882.260717592602</v>
      </c>
      <c r="F370" s="6" t="s">
        <v>17</v>
      </c>
      <c r="G370" s="6" t="s">
        <v>17</v>
      </c>
      <c r="H370" s="6" t="s">
        <v>1496</v>
      </c>
      <c r="I370" s="6" t="s">
        <v>253</v>
      </c>
      <c r="J370" s="6" t="s">
        <v>1497</v>
      </c>
      <c r="K370" s="6" t="s">
        <v>255</v>
      </c>
      <c r="L370" s="6" t="s">
        <v>255</v>
      </c>
      <c r="M370" s="14">
        <v>45881.806944444441</v>
      </c>
      <c r="N370" s="6">
        <v>76060</v>
      </c>
      <c r="O370" s="6" t="s">
        <v>1498</v>
      </c>
      <c r="P370" s="6" t="s">
        <v>242</v>
      </c>
      <c r="Q370" s="6" t="s">
        <v>243</v>
      </c>
      <c r="R370" s="6" t="s">
        <v>244</v>
      </c>
      <c r="S370" s="6" t="s">
        <v>8</v>
      </c>
      <c r="T370" s="6" t="s">
        <v>245</v>
      </c>
      <c r="U370" s="6" t="s">
        <v>130</v>
      </c>
      <c r="V370" s="6" t="s">
        <v>1499</v>
      </c>
      <c r="W370" s="6" t="s">
        <v>83</v>
      </c>
      <c r="X370" s="6" t="s">
        <v>83</v>
      </c>
      <c r="Y370" s="6" t="s">
        <v>83</v>
      </c>
      <c r="Z370" s="6" t="s">
        <v>67</v>
      </c>
      <c r="AA370" s="6" t="s">
        <v>83</v>
      </c>
      <c r="AB370" s="6">
        <v>2146.84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 t="s">
        <v>842</v>
      </c>
      <c r="AJ370" s="6" t="s">
        <v>259</v>
      </c>
      <c r="AK370" s="6" t="s">
        <v>12</v>
      </c>
      <c r="AL370" s="6" t="s">
        <v>50</v>
      </c>
      <c r="AM370" s="6" t="s">
        <v>260</v>
      </c>
      <c r="AN370" s="6" t="s">
        <v>20</v>
      </c>
      <c r="AO370" s="6" t="s">
        <v>250</v>
      </c>
      <c r="AP370" s="6" t="s">
        <v>251</v>
      </c>
      <c r="AQ370" s="6" t="s">
        <v>18</v>
      </c>
    </row>
    <row r="371" spans="1:43" x14ac:dyDescent="0.25">
      <c r="A371" s="6">
        <v>22734789</v>
      </c>
      <c r="B371" s="6">
        <v>23531750</v>
      </c>
      <c r="C371" s="6" t="s">
        <v>237</v>
      </c>
      <c r="D371" s="14">
        <v>45882.253379629627</v>
      </c>
      <c r="E371" s="14">
        <v>45882.260729166657</v>
      </c>
      <c r="F371" s="6" t="s">
        <v>17</v>
      </c>
      <c r="G371" s="6" t="s">
        <v>17</v>
      </c>
      <c r="H371" s="6" t="s">
        <v>1500</v>
      </c>
      <c r="I371" s="6" t="s">
        <v>253</v>
      </c>
      <c r="J371" s="6" t="s">
        <v>1501</v>
      </c>
      <c r="K371" s="6" t="s">
        <v>255</v>
      </c>
      <c r="L371" s="6" t="s">
        <v>255</v>
      </c>
      <c r="M371" s="14">
        <v>45881.807638888888</v>
      </c>
      <c r="N371" s="6">
        <v>76059</v>
      </c>
      <c r="O371" s="6" t="s">
        <v>1498</v>
      </c>
      <c r="P371" s="6" t="s">
        <v>242</v>
      </c>
      <c r="Q371" s="6" t="s">
        <v>243</v>
      </c>
      <c r="R371" s="6" t="s">
        <v>244</v>
      </c>
      <c r="S371" s="6" t="s">
        <v>8</v>
      </c>
      <c r="T371" s="6" t="s">
        <v>245</v>
      </c>
      <c r="U371" s="6" t="s">
        <v>130</v>
      </c>
      <c r="V371" s="6" t="s">
        <v>1499</v>
      </c>
      <c r="W371" s="6" t="s">
        <v>83</v>
      </c>
      <c r="X371" s="6" t="s">
        <v>83</v>
      </c>
      <c r="Y371" s="6" t="s">
        <v>83</v>
      </c>
      <c r="Z371" s="6" t="s">
        <v>67</v>
      </c>
      <c r="AA371" s="6" t="s">
        <v>83</v>
      </c>
      <c r="AB371" s="6">
        <v>2572.8000000000002</v>
      </c>
      <c r="AC371" s="6">
        <v>0</v>
      </c>
      <c r="AD371" s="6">
        <v>0</v>
      </c>
      <c r="AE371" s="6">
        <v>0</v>
      </c>
      <c r="AF371" s="6">
        <v>0</v>
      </c>
      <c r="AG371" s="6">
        <v>0</v>
      </c>
      <c r="AH371" s="6">
        <v>0</v>
      </c>
      <c r="AI371" s="6" t="s">
        <v>1502</v>
      </c>
      <c r="AJ371" s="6" t="s">
        <v>259</v>
      </c>
      <c r="AK371" s="6" t="s">
        <v>12</v>
      </c>
      <c r="AL371" s="6" t="s">
        <v>50</v>
      </c>
      <c r="AM371" s="6" t="s">
        <v>260</v>
      </c>
      <c r="AN371" s="6" t="s">
        <v>20</v>
      </c>
      <c r="AO371" s="6" t="s">
        <v>250</v>
      </c>
      <c r="AP371" s="6" t="s">
        <v>251</v>
      </c>
      <c r="AQ371" s="6" t="s">
        <v>18</v>
      </c>
    </row>
    <row r="372" spans="1:43" x14ac:dyDescent="0.25">
      <c r="A372" s="6">
        <v>22724888</v>
      </c>
      <c r="B372" s="6">
        <v>23523121</v>
      </c>
      <c r="C372" s="6" t="s">
        <v>237</v>
      </c>
      <c r="D372" s="14">
        <v>45880.777141203696</v>
      </c>
      <c r="E372" s="14">
        <v>45880.809432870366</v>
      </c>
      <c r="F372" s="6" t="s">
        <v>17</v>
      </c>
      <c r="G372" s="6" t="s">
        <v>17</v>
      </c>
      <c r="H372" s="6" t="s">
        <v>1503</v>
      </c>
      <c r="I372" s="6" t="s">
        <v>253</v>
      </c>
      <c r="J372" s="6" t="s">
        <v>1504</v>
      </c>
      <c r="K372" s="6" t="s">
        <v>1505</v>
      </c>
      <c r="L372" s="6" t="s">
        <v>1505</v>
      </c>
      <c r="M372" s="14">
        <v>45880.665972222218</v>
      </c>
      <c r="N372" s="6">
        <v>75767</v>
      </c>
      <c r="O372" s="6" t="s">
        <v>83</v>
      </c>
      <c r="P372" s="6" t="s">
        <v>272</v>
      </c>
      <c r="Q372" s="6" t="s">
        <v>243</v>
      </c>
      <c r="R372" s="6" t="s">
        <v>244</v>
      </c>
      <c r="S372" s="6" t="s">
        <v>3</v>
      </c>
      <c r="T372" s="6" t="s">
        <v>245</v>
      </c>
      <c r="U372" s="6" t="s">
        <v>130</v>
      </c>
      <c r="V372" s="6" t="s">
        <v>1506</v>
      </c>
      <c r="W372" s="6" t="s">
        <v>83</v>
      </c>
      <c r="X372" s="6" t="s">
        <v>83</v>
      </c>
      <c r="Y372" s="6" t="s">
        <v>83</v>
      </c>
      <c r="Z372" s="6" t="s">
        <v>67</v>
      </c>
      <c r="AA372" s="6" t="s">
        <v>83</v>
      </c>
      <c r="AB372" s="6">
        <v>3194</v>
      </c>
      <c r="AC372" s="6">
        <v>0</v>
      </c>
      <c r="AD372" s="6">
        <v>0</v>
      </c>
      <c r="AE372" s="6">
        <v>0</v>
      </c>
      <c r="AF372" s="6">
        <v>0</v>
      </c>
      <c r="AG372" s="6">
        <v>0</v>
      </c>
      <c r="AH372" s="6">
        <v>0</v>
      </c>
      <c r="AI372" s="6" t="s">
        <v>1507</v>
      </c>
      <c r="AJ372" s="6" t="s">
        <v>259</v>
      </c>
      <c r="AK372" s="6" t="s">
        <v>12</v>
      </c>
      <c r="AL372" s="6" t="s">
        <v>50</v>
      </c>
      <c r="AM372" s="6" t="s">
        <v>260</v>
      </c>
      <c r="AN372" s="6" t="s">
        <v>20</v>
      </c>
      <c r="AO372" s="6" t="s">
        <v>250</v>
      </c>
      <c r="AP372" s="6" t="s">
        <v>251</v>
      </c>
      <c r="AQ372" s="6" t="s">
        <v>18</v>
      </c>
    </row>
    <row r="373" spans="1:43" x14ac:dyDescent="0.25">
      <c r="A373" s="6">
        <v>22732285</v>
      </c>
      <c r="B373" s="6">
        <v>23529724</v>
      </c>
      <c r="C373" s="6" t="s">
        <v>237</v>
      </c>
      <c r="D373" s="14">
        <v>45881.775833333333</v>
      </c>
      <c r="E373" s="14">
        <v>45881.803078703713</v>
      </c>
      <c r="F373" s="6" t="s">
        <v>17</v>
      </c>
      <c r="G373" s="6" t="s">
        <v>17</v>
      </c>
      <c r="H373" s="6" t="s">
        <v>1508</v>
      </c>
      <c r="I373" s="6" t="s">
        <v>253</v>
      </c>
      <c r="J373" s="6" t="s">
        <v>1509</v>
      </c>
      <c r="K373" s="6" t="s">
        <v>255</v>
      </c>
      <c r="L373" s="6" t="s">
        <v>255</v>
      </c>
      <c r="M373" s="14">
        <v>45881.668055555558</v>
      </c>
      <c r="N373" s="6">
        <v>75986</v>
      </c>
      <c r="O373" s="6" t="s">
        <v>1498</v>
      </c>
      <c r="P373" s="6" t="s">
        <v>242</v>
      </c>
      <c r="Q373" s="6" t="s">
        <v>243</v>
      </c>
      <c r="R373" s="6" t="s">
        <v>244</v>
      </c>
      <c r="S373" s="6" t="s">
        <v>8</v>
      </c>
      <c r="T373" s="6" t="s">
        <v>245</v>
      </c>
      <c r="U373" s="6" t="s">
        <v>130</v>
      </c>
      <c r="V373" s="6" t="s">
        <v>1506</v>
      </c>
      <c r="W373" s="6" t="s">
        <v>83</v>
      </c>
      <c r="X373" s="6" t="s">
        <v>83</v>
      </c>
      <c r="Y373" s="6" t="s">
        <v>83</v>
      </c>
      <c r="Z373" s="6" t="s">
        <v>67</v>
      </c>
      <c r="AA373" s="6" t="s">
        <v>83</v>
      </c>
      <c r="AB373" s="6">
        <v>3743.712</v>
      </c>
      <c r="AC373" s="6">
        <v>0</v>
      </c>
      <c r="AD373" s="6">
        <v>0</v>
      </c>
      <c r="AE373" s="6">
        <v>0</v>
      </c>
      <c r="AF373" s="6">
        <v>0</v>
      </c>
      <c r="AG373" s="6">
        <v>0</v>
      </c>
      <c r="AH373" s="6">
        <v>0</v>
      </c>
      <c r="AI373" s="6" t="s">
        <v>1510</v>
      </c>
      <c r="AJ373" s="6" t="s">
        <v>259</v>
      </c>
      <c r="AK373" s="6" t="s">
        <v>12</v>
      </c>
      <c r="AL373" s="6" t="s">
        <v>50</v>
      </c>
      <c r="AM373" s="6" t="s">
        <v>260</v>
      </c>
      <c r="AN373" s="6" t="s">
        <v>20</v>
      </c>
      <c r="AO373" s="6" t="s">
        <v>250</v>
      </c>
      <c r="AP373" s="6" t="s">
        <v>251</v>
      </c>
      <c r="AQ373" s="6" t="s">
        <v>18</v>
      </c>
    </row>
    <row r="374" spans="1:43" x14ac:dyDescent="0.25">
      <c r="A374" s="6">
        <v>22732310</v>
      </c>
      <c r="B374" s="6">
        <v>23529752</v>
      </c>
      <c r="C374" s="6" t="s">
        <v>237</v>
      </c>
      <c r="D374" s="14">
        <v>45881.776909722219</v>
      </c>
      <c r="E374" s="14">
        <v>45881.805937500001</v>
      </c>
      <c r="F374" s="6" t="s">
        <v>17</v>
      </c>
      <c r="G374" s="6" t="s">
        <v>17</v>
      </c>
      <c r="H374" s="6" t="s">
        <v>1511</v>
      </c>
      <c r="I374" s="6" t="s">
        <v>253</v>
      </c>
      <c r="J374" s="6" t="s">
        <v>1512</v>
      </c>
      <c r="K374" s="6" t="s">
        <v>255</v>
      </c>
      <c r="L374" s="6" t="s">
        <v>255</v>
      </c>
      <c r="M374" s="14">
        <v>45881.54791666667</v>
      </c>
      <c r="N374" s="6">
        <v>75957</v>
      </c>
      <c r="O374" s="6" t="s">
        <v>1513</v>
      </c>
      <c r="P374" s="6" t="s">
        <v>242</v>
      </c>
      <c r="Q374" s="6" t="s">
        <v>243</v>
      </c>
      <c r="R374" s="6" t="s">
        <v>244</v>
      </c>
      <c r="S374" s="6" t="s">
        <v>8</v>
      </c>
      <c r="T374" s="6" t="s">
        <v>245</v>
      </c>
      <c r="U374" s="6" t="s">
        <v>130</v>
      </c>
      <c r="V374" s="6" t="s">
        <v>1506</v>
      </c>
      <c r="W374" s="6" t="s">
        <v>83</v>
      </c>
      <c r="X374" s="6" t="s">
        <v>83</v>
      </c>
      <c r="Y374" s="6" t="s">
        <v>83</v>
      </c>
      <c r="Z374" s="6" t="s">
        <v>67</v>
      </c>
      <c r="AA374" s="6" t="s">
        <v>83</v>
      </c>
      <c r="AB374" s="6">
        <v>487.33440000000002</v>
      </c>
      <c r="AC374" s="6">
        <v>0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 t="s">
        <v>1514</v>
      </c>
      <c r="AJ374" s="6" t="s">
        <v>259</v>
      </c>
      <c r="AK374" s="6" t="s">
        <v>12</v>
      </c>
      <c r="AL374" s="6" t="s">
        <v>50</v>
      </c>
      <c r="AM374" s="6" t="s">
        <v>260</v>
      </c>
      <c r="AN374" s="6" t="s">
        <v>20</v>
      </c>
      <c r="AO374" s="6" t="s">
        <v>250</v>
      </c>
      <c r="AP374" s="6" t="s">
        <v>251</v>
      </c>
      <c r="AQ374" s="6" t="s">
        <v>18</v>
      </c>
    </row>
    <row r="375" spans="1:43" x14ac:dyDescent="0.25">
      <c r="A375" s="6">
        <v>22567713</v>
      </c>
      <c r="B375" s="6">
        <v>23392097</v>
      </c>
      <c r="C375" s="6" t="s">
        <v>237</v>
      </c>
      <c r="D375" s="14">
        <v>45853.780347222222</v>
      </c>
      <c r="E375" s="14">
        <v>45853.820162037038</v>
      </c>
      <c r="F375" s="46" t="s">
        <v>27</v>
      </c>
      <c r="G375" s="46" t="s">
        <v>27</v>
      </c>
      <c r="H375" s="6" t="s">
        <v>1515</v>
      </c>
      <c r="I375" s="6" t="s">
        <v>253</v>
      </c>
      <c r="J375" s="6" t="s">
        <v>1516</v>
      </c>
      <c r="K375" s="6" t="s">
        <v>255</v>
      </c>
      <c r="L375" s="6" t="s">
        <v>255</v>
      </c>
      <c r="M375" s="14">
        <v>45853.56527777778</v>
      </c>
      <c r="N375" s="6">
        <v>71529</v>
      </c>
      <c r="O375" s="6" t="s">
        <v>83</v>
      </c>
      <c r="P375" s="6" t="s">
        <v>272</v>
      </c>
      <c r="Q375" s="6" t="s">
        <v>243</v>
      </c>
      <c r="R375" s="6" t="s">
        <v>244</v>
      </c>
      <c r="S375" s="6" t="s">
        <v>3</v>
      </c>
      <c r="T375" s="6" t="s">
        <v>245</v>
      </c>
      <c r="U375" s="6" t="s">
        <v>130</v>
      </c>
      <c r="V375" s="6" t="s">
        <v>1506</v>
      </c>
      <c r="W375" s="6" t="s">
        <v>83</v>
      </c>
      <c r="X375" s="6" t="s">
        <v>83</v>
      </c>
      <c r="Y375" s="6" t="s">
        <v>83</v>
      </c>
      <c r="Z375" s="6" t="s">
        <v>67</v>
      </c>
      <c r="AA375" s="6" t="s">
        <v>83</v>
      </c>
      <c r="AB375" s="6">
        <v>1175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 t="s">
        <v>1517</v>
      </c>
      <c r="AJ375" s="6" t="s">
        <v>259</v>
      </c>
      <c r="AK375" s="6" t="s">
        <v>12</v>
      </c>
      <c r="AL375" s="6" t="s">
        <v>50</v>
      </c>
      <c r="AM375" s="6" t="s">
        <v>260</v>
      </c>
      <c r="AN375" s="6" t="s">
        <v>20</v>
      </c>
      <c r="AO375" s="6" t="s">
        <v>250</v>
      </c>
      <c r="AP375" s="6" t="s">
        <v>251</v>
      </c>
      <c r="AQ375" s="6" t="s">
        <v>18</v>
      </c>
    </row>
    <row r="376" spans="1:43" x14ac:dyDescent="0.25">
      <c r="A376" s="6">
        <v>22678463</v>
      </c>
      <c r="B376" s="6">
        <v>23483036</v>
      </c>
      <c r="C376" s="6" t="s">
        <v>237</v>
      </c>
      <c r="D376" s="14">
        <v>45873.518078703702</v>
      </c>
      <c r="E376" s="14">
        <v>45873.540613425917</v>
      </c>
      <c r="F376" s="6" t="s">
        <v>23</v>
      </c>
      <c r="G376" s="6" t="s">
        <v>23</v>
      </c>
      <c r="H376" s="6" t="s">
        <v>1518</v>
      </c>
      <c r="I376" s="6" t="s">
        <v>253</v>
      </c>
      <c r="J376" s="6" t="s">
        <v>1519</v>
      </c>
      <c r="K376" s="6" t="s">
        <v>1520</v>
      </c>
      <c r="L376" s="6" t="s">
        <v>1520</v>
      </c>
      <c r="M376" s="14">
        <v>45873.479166666657</v>
      </c>
      <c r="N376" s="6">
        <v>74380</v>
      </c>
      <c r="O376" s="6" t="s">
        <v>83</v>
      </c>
      <c r="P376" s="6" t="s">
        <v>272</v>
      </c>
      <c r="Q376" s="6" t="s">
        <v>243</v>
      </c>
      <c r="R376" s="6" t="s">
        <v>244</v>
      </c>
      <c r="S376" s="6" t="s">
        <v>3</v>
      </c>
      <c r="T376" s="6" t="s">
        <v>245</v>
      </c>
      <c r="U376" s="6" t="s">
        <v>130</v>
      </c>
      <c r="V376" s="6" t="s">
        <v>1521</v>
      </c>
      <c r="W376" s="6" t="s">
        <v>83</v>
      </c>
      <c r="X376" s="6" t="s">
        <v>83</v>
      </c>
      <c r="Y376" s="6" t="s">
        <v>83</v>
      </c>
      <c r="Z376" s="6" t="s">
        <v>67</v>
      </c>
      <c r="AA376" s="6" t="s">
        <v>83</v>
      </c>
      <c r="AB376" s="6">
        <v>590</v>
      </c>
      <c r="AC376" s="6">
        <v>0</v>
      </c>
      <c r="AD376" s="6">
        <v>0</v>
      </c>
      <c r="AE376" s="6">
        <v>0</v>
      </c>
      <c r="AF376" s="6">
        <v>0</v>
      </c>
      <c r="AG376" s="6">
        <v>0</v>
      </c>
      <c r="AH376" s="6">
        <v>0</v>
      </c>
      <c r="AI376" s="6" t="s">
        <v>1522</v>
      </c>
      <c r="AJ376" s="6" t="s">
        <v>259</v>
      </c>
      <c r="AK376" s="6" t="s">
        <v>12</v>
      </c>
      <c r="AL376" s="6" t="s">
        <v>50</v>
      </c>
      <c r="AM376" s="6" t="s">
        <v>260</v>
      </c>
      <c r="AN376" s="6" t="s">
        <v>20</v>
      </c>
      <c r="AO376" s="6" t="s">
        <v>250</v>
      </c>
      <c r="AP376" s="6" t="s">
        <v>251</v>
      </c>
      <c r="AQ376" s="6" t="s">
        <v>18</v>
      </c>
    </row>
    <row r="377" spans="1:43" x14ac:dyDescent="0.25">
      <c r="A377" s="6">
        <v>22708045</v>
      </c>
      <c r="B377" s="6">
        <v>23509490</v>
      </c>
      <c r="C377" s="6" t="s">
        <v>237</v>
      </c>
      <c r="D377" s="14">
        <v>45877.518807870372</v>
      </c>
      <c r="E377" s="14">
        <v>45877.532557870371</v>
      </c>
      <c r="F377" s="6" t="s">
        <v>19</v>
      </c>
      <c r="G377" s="6" t="s">
        <v>19</v>
      </c>
      <c r="H377" s="6" t="s">
        <v>1523</v>
      </c>
      <c r="I377" s="6" t="s">
        <v>253</v>
      </c>
      <c r="J377" s="6" t="s">
        <v>1524</v>
      </c>
      <c r="K377" s="6" t="s">
        <v>1525</v>
      </c>
      <c r="L377" s="6" t="s">
        <v>1525</v>
      </c>
      <c r="M377" s="14">
        <v>45877.4375</v>
      </c>
      <c r="N377" s="6">
        <v>75160</v>
      </c>
      <c r="O377" s="6" t="s">
        <v>83</v>
      </c>
      <c r="P377" s="6" t="s">
        <v>272</v>
      </c>
      <c r="Q377" s="6" t="s">
        <v>243</v>
      </c>
      <c r="R377" s="6" t="s">
        <v>244</v>
      </c>
      <c r="S377" s="6" t="s">
        <v>3</v>
      </c>
      <c r="T377" s="6" t="s">
        <v>245</v>
      </c>
      <c r="U377" s="6" t="s">
        <v>130</v>
      </c>
      <c r="V377" s="6" t="s">
        <v>1506</v>
      </c>
      <c r="W377" s="6" t="s">
        <v>83</v>
      </c>
      <c r="X377" s="6" t="s">
        <v>83</v>
      </c>
      <c r="Y377" s="6" t="s">
        <v>83</v>
      </c>
      <c r="Z377" s="6" t="s">
        <v>67</v>
      </c>
      <c r="AA377" s="6" t="s">
        <v>83</v>
      </c>
      <c r="AB377" s="6">
        <v>18225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 t="s">
        <v>1526</v>
      </c>
      <c r="AJ377" s="6" t="s">
        <v>259</v>
      </c>
      <c r="AK377" s="6" t="s">
        <v>12</v>
      </c>
      <c r="AL377" s="6" t="s">
        <v>50</v>
      </c>
      <c r="AM377" s="6" t="s">
        <v>260</v>
      </c>
      <c r="AN377" s="6" t="s">
        <v>20</v>
      </c>
      <c r="AO377" s="6" t="s">
        <v>250</v>
      </c>
      <c r="AP377" s="6" t="s">
        <v>251</v>
      </c>
      <c r="AQ377" s="6" t="s">
        <v>18</v>
      </c>
    </row>
    <row r="378" spans="1:43" x14ac:dyDescent="0.25">
      <c r="A378" s="6">
        <v>22710822</v>
      </c>
      <c r="B378" s="6">
        <v>23512155</v>
      </c>
      <c r="C378" s="6" t="s">
        <v>237</v>
      </c>
      <c r="D378" s="14">
        <v>45877.782812500001</v>
      </c>
      <c r="E378" s="14">
        <v>45877.804375</v>
      </c>
      <c r="F378" s="6" t="s">
        <v>19</v>
      </c>
      <c r="G378" s="6" t="s">
        <v>19</v>
      </c>
      <c r="H378" s="6" t="s">
        <v>1527</v>
      </c>
      <c r="I378" s="6" t="s">
        <v>253</v>
      </c>
      <c r="J378" s="6" t="s">
        <v>1528</v>
      </c>
      <c r="K378" s="6" t="s">
        <v>1525</v>
      </c>
      <c r="L378" s="6" t="s">
        <v>1525</v>
      </c>
      <c r="M378" s="14">
        <v>45877.642361111109</v>
      </c>
      <c r="N378" s="6">
        <v>72633</v>
      </c>
      <c r="O378" s="6" t="s">
        <v>83</v>
      </c>
      <c r="P378" s="6" t="s">
        <v>272</v>
      </c>
      <c r="Q378" s="6" t="s">
        <v>256</v>
      </c>
      <c r="R378" s="6" t="s">
        <v>424</v>
      </c>
      <c r="S378" s="6" t="s">
        <v>7</v>
      </c>
      <c r="T378" s="6" t="s">
        <v>245</v>
      </c>
      <c r="U378" s="6" t="s">
        <v>130</v>
      </c>
      <c r="V378" s="6" t="s">
        <v>1506</v>
      </c>
      <c r="W378" s="6" t="s">
        <v>83</v>
      </c>
      <c r="X378" s="6" t="s">
        <v>247</v>
      </c>
      <c r="Y378" s="6">
        <v>2971294092</v>
      </c>
      <c r="Z378" s="6" t="s">
        <v>67</v>
      </c>
      <c r="AA378" s="6" t="s">
        <v>83</v>
      </c>
      <c r="AB378" s="6">
        <v>4933.1099999999997</v>
      </c>
      <c r="AC378" s="6">
        <v>344.08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 t="s">
        <v>1529</v>
      </c>
      <c r="AJ378" s="6" t="s">
        <v>1530</v>
      </c>
      <c r="AK378" s="6" t="s">
        <v>12</v>
      </c>
      <c r="AL378" s="6" t="s">
        <v>51</v>
      </c>
      <c r="AM378" s="6" t="s">
        <v>342</v>
      </c>
      <c r="AN378" s="6" t="s">
        <v>26</v>
      </c>
      <c r="AO378" s="6" t="s">
        <v>250</v>
      </c>
      <c r="AP378" s="6" t="s">
        <v>262</v>
      </c>
      <c r="AQ378" s="6" t="s">
        <v>24</v>
      </c>
    </row>
    <row r="379" spans="1:43" x14ac:dyDescent="0.25">
      <c r="A379" s="6">
        <v>22710823</v>
      </c>
      <c r="B379" s="6">
        <v>23512156</v>
      </c>
      <c r="C379" s="6" t="s">
        <v>237</v>
      </c>
      <c r="D379" s="14">
        <v>45877.782824074071</v>
      </c>
      <c r="E379" s="14">
        <v>45877.804386574076</v>
      </c>
      <c r="F379" s="6" t="s">
        <v>19</v>
      </c>
      <c r="G379" s="6" t="s">
        <v>19</v>
      </c>
      <c r="H379" s="6" t="s">
        <v>1531</v>
      </c>
      <c r="I379" s="6" t="s">
        <v>253</v>
      </c>
      <c r="J379" s="6" t="s">
        <v>1528</v>
      </c>
      <c r="K379" s="6" t="s">
        <v>1525</v>
      </c>
      <c r="L379" s="6" t="s">
        <v>1525</v>
      </c>
      <c r="M379" s="14">
        <v>45877.642361111109</v>
      </c>
      <c r="N379" s="6">
        <v>72633</v>
      </c>
      <c r="O379" s="6" t="s">
        <v>83</v>
      </c>
      <c r="P379" s="6" t="s">
        <v>272</v>
      </c>
      <c r="Q379" s="6" t="s">
        <v>256</v>
      </c>
      <c r="R379" s="6" t="s">
        <v>424</v>
      </c>
      <c r="S379" s="6" t="s">
        <v>7</v>
      </c>
      <c r="T379" s="6" t="s">
        <v>245</v>
      </c>
      <c r="U379" s="6" t="s">
        <v>130</v>
      </c>
      <c r="V379" s="6" t="s">
        <v>1506</v>
      </c>
      <c r="W379" s="6" t="s">
        <v>83</v>
      </c>
      <c r="X379" s="6" t="s">
        <v>1532</v>
      </c>
      <c r="Y379" s="6">
        <v>2971294091</v>
      </c>
      <c r="Z379" s="6" t="s">
        <v>67</v>
      </c>
      <c r="AA379" s="6" t="s">
        <v>83</v>
      </c>
      <c r="AB379" s="6">
        <v>2407.19</v>
      </c>
      <c r="AC379" s="6">
        <v>0</v>
      </c>
      <c r="AD379" s="6">
        <v>0</v>
      </c>
      <c r="AE379" s="6">
        <v>0</v>
      </c>
      <c r="AF379" s="6">
        <v>0</v>
      </c>
      <c r="AG379" s="6">
        <v>0</v>
      </c>
      <c r="AH379" s="6">
        <v>0</v>
      </c>
      <c r="AI379" s="6" t="s">
        <v>1529</v>
      </c>
      <c r="AJ379" s="6" t="s">
        <v>1533</v>
      </c>
      <c r="AK379" s="6" t="s">
        <v>12</v>
      </c>
      <c r="AL379" s="6" t="s">
        <v>51</v>
      </c>
      <c r="AM379" s="6" t="s">
        <v>342</v>
      </c>
      <c r="AN379" s="6" t="s">
        <v>26</v>
      </c>
      <c r="AO379" s="6" t="s">
        <v>250</v>
      </c>
      <c r="AP379" s="6" t="s">
        <v>262</v>
      </c>
      <c r="AQ379" s="6" t="s">
        <v>24</v>
      </c>
    </row>
    <row r="380" spans="1:43" x14ac:dyDescent="0.25">
      <c r="A380" s="6">
        <v>22725046</v>
      </c>
      <c r="B380" s="6">
        <v>23523269</v>
      </c>
      <c r="C380" s="6" t="s">
        <v>237</v>
      </c>
      <c r="D380" s="14">
        <v>45880.782696759263</v>
      </c>
      <c r="E380" s="14">
        <v>45880.820370370369</v>
      </c>
      <c r="F380" s="6" t="s">
        <v>17</v>
      </c>
      <c r="G380" s="6" t="s">
        <v>17</v>
      </c>
      <c r="H380" s="6" t="s">
        <v>1534</v>
      </c>
      <c r="I380" s="6" t="s">
        <v>253</v>
      </c>
      <c r="J380" s="6" t="s">
        <v>1535</v>
      </c>
      <c r="K380" s="6" t="s">
        <v>1525</v>
      </c>
      <c r="L380" s="6" t="s">
        <v>1525</v>
      </c>
      <c r="M380" s="14">
        <v>45880.680555555547</v>
      </c>
      <c r="N380" s="6">
        <v>74272</v>
      </c>
      <c r="O380" s="6" t="s">
        <v>83</v>
      </c>
      <c r="P380" s="6" t="s">
        <v>272</v>
      </c>
      <c r="Q380" s="6" t="s">
        <v>243</v>
      </c>
      <c r="R380" s="6" t="s">
        <v>244</v>
      </c>
      <c r="S380" s="6" t="s">
        <v>9</v>
      </c>
      <c r="T380" s="6" t="s">
        <v>245</v>
      </c>
      <c r="U380" s="6" t="s">
        <v>130</v>
      </c>
      <c r="V380" s="6" t="s">
        <v>1506</v>
      </c>
      <c r="W380" s="6" t="s">
        <v>83</v>
      </c>
      <c r="X380" s="6" t="s">
        <v>83</v>
      </c>
      <c r="Y380" s="6" t="s">
        <v>83</v>
      </c>
      <c r="Z380" s="6" t="s">
        <v>67</v>
      </c>
      <c r="AA380" s="6" t="s">
        <v>83</v>
      </c>
      <c r="AB380" s="6">
        <v>645</v>
      </c>
      <c r="AC380" s="6">
        <v>0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 t="s">
        <v>1536</v>
      </c>
      <c r="AJ380" s="6" t="s">
        <v>259</v>
      </c>
      <c r="AK380" s="6" t="s">
        <v>12</v>
      </c>
      <c r="AL380" s="6" t="s">
        <v>50</v>
      </c>
      <c r="AM380" s="6" t="s">
        <v>260</v>
      </c>
      <c r="AN380" s="6" t="s">
        <v>20</v>
      </c>
      <c r="AO380" s="6" t="s">
        <v>250</v>
      </c>
      <c r="AP380" s="6" t="s">
        <v>251</v>
      </c>
      <c r="AQ380" s="6" t="s">
        <v>18</v>
      </c>
    </row>
    <row r="381" spans="1:43" x14ac:dyDescent="0.25">
      <c r="A381" s="6">
        <v>22722236</v>
      </c>
      <c r="B381" s="6">
        <v>23520592</v>
      </c>
      <c r="C381" s="6" t="s">
        <v>237</v>
      </c>
      <c r="D381" s="14">
        <v>45880.518460648149</v>
      </c>
      <c r="E381" s="14">
        <v>45880.534988425927</v>
      </c>
      <c r="F381" s="6" t="s">
        <v>17</v>
      </c>
      <c r="G381" s="6" t="s">
        <v>17</v>
      </c>
      <c r="H381" s="6" t="s">
        <v>1537</v>
      </c>
      <c r="I381" s="6" t="s">
        <v>253</v>
      </c>
      <c r="J381" s="6" t="s">
        <v>1538</v>
      </c>
      <c r="K381" s="6" t="s">
        <v>1525</v>
      </c>
      <c r="L381" s="6" t="s">
        <v>1525</v>
      </c>
      <c r="M381" s="14">
        <v>45880.363194444442</v>
      </c>
      <c r="N381" s="6">
        <v>75577</v>
      </c>
      <c r="O381" s="6" t="s">
        <v>83</v>
      </c>
      <c r="P381" s="6" t="s">
        <v>272</v>
      </c>
      <c r="Q381" s="6" t="s">
        <v>256</v>
      </c>
      <c r="R381" s="6" t="s">
        <v>424</v>
      </c>
      <c r="S381" s="6" t="s">
        <v>7</v>
      </c>
      <c r="T381" s="6" t="s">
        <v>245</v>
      </c>
      <c r="U381" s="6" t="s">
        <v>130</v>
      </c>
      <c r="V381" s="6" t="s">
        <v>1506</v>
      </c>
      <c r="W381" s="6" t="s">
        <v>83</v>
      </c>
      <c r="X381" s="6" t="s">
        <v>247</v>
      </c>
      <c r="Y381" s="6">
        <v>2952815374</v>
      </c>
      <c r="Z381" s="6" t="s">
        <v>67</v>
      </c>
      <c r="AA381" s="6" t="s">
        <v>83</v>
      </c>
      <c r="AB381" s="6">
        <v>1956.04</v>
      </c>
      <c r="AC381" s="6">
        <v>0</v>
      </c>
      <c r="AD381" s="6">
        <v>0</v>
      </c>
      <c r="AE381" s="6">
        <v>0</v>
      </c>
      <c r="AF381" s="6">
        <v>0</v>
      </c>
      <c r="AG381" s="6">
        <v>0</v>
      </c>
      <c r="AH381" s="6">
        <v>0</v>
      </c>
      <c r="AI381" s="6" t="s">
        <v>1539</v>
      </c>
      <c r="AJ381" s="6" t="s">
        <v>1540</v>
      </c>
      <c r="AK381" s="6" t="s">
        <v>12</v>
      </c>
      <c r="AL381" s="6" t="s">
        <v>51</v>
      </c>
      <c r="AM381" s="6" t="s">
        <v>342</v>
      </c>
      <c r="AN381" s="6" t="s">
        <v>26</v>
      </c>
      <c r="AO381" s="6" t="s">
        <v>250</v>
      </c>
      <c r="AP381" s="6" t="s">
        <v>262</v>
      </c>
      <c r="AQ381" s="6" t="s">
        <v>24</v>
      </c>
    </row>
    <row r="382" spans="1:43" x14ac:dyDescent="0.25">
      <c r="A382" s="6">
        <v>22621072</v>
      </c>
      <c r="B382" s="6">
        <v>23436532</v>
      </c>
      <c r="C382" s="6" t="s">
        <v>237</v>
      </c>
      <c r="D382" s="14">
        <v>45862.774305555547</v>
      </c>
      <c r="E382" s="14">
        <v>45862.809618055559</v>
      </c>
      <c r="F382" s="46" t="s">
        <v>25</v>
      </c>
      <c r="G382" s="46" t="s">
        <v>25</v>
      </c>
      <c r="H382" s="6" t="s">
        <v>1541</v>
      </c>
      <c r="I382" s="6" t="s">
        <v>253</v>
      </c>
      <c r="J382" s="6" t="s">
        <v>1524</v>
      </c>
      <c r="K382" s="6" t="s">
        <v>1525</v>
      </c>
      <c r="L382" s="6" t="s">
        <v>1525</v>
      </c>
      <c r="M382" s="14">
        <v>45862.668055555558</v>
      </c>
      <c r="N382" s="6">
        <v>73566</v>
      </c>
      <c r="O382" s="6" t="s">
        <v>83</v>
      </c>
      <c r="P382" s="6" t="s">
        <v>272</v>
      </c>
      <c r="Q382" s="6" t="s">
        <v>243</v>
      </c>
      <c r="R382" s="6" t="s">
        <v>244</v>
      </c>
      <c r="S382" s="6" t="s">
        <v>3</v>
      </c>
      <c r="T382" s="6" t="s">
        <v>245</v>
      </c>
      <c r="U382" s="6" t="s">
        <v>130</v>
      </c>
      <c r="V382" s="6" t="s">
        <v>1506</v>
      </c>
      <c r="W382" s="6" t="s">
        <v>83</v>
      </c>
      <c r="X382" s="6" t="s">
        <v>83</v>
      </c>
      <c r="Y382" s="6" t="s">
        <v>83</v>
      </c>
      <c r="Z382" s="6" t="s">
        <v>67</v>
      </c>
      <c r="AA382" s="6" t="s">
        <v>83</v>
      </c>
      <c r="AB382" s="6">
        <v>15732</v>
      </c>
      <c r="AC382" s="6">
        <v>0</v>
      </c>
      <c r="AD382" s="6">
        <v>0</v>
      </c>
      <c r="AE382" s="6">
        <v>0</v>
      </c>
      <c r="AF382" s="6">
        <v>0</v>
      </c>
      <c r="AG382" s="6">
        <v>0</v>
      </c>
      <c r="AH382" s="6">
        <v>0</v>
      </c>
      <c r="AI382" s="6" t="s">
        <v>1542</v>
      </c>
      <c r="AJ382" s="6" t="s">
        <v>259</v>
      </c>
      <c r="AK382" s="6" t="s">
        <v>12</v>
      </c>
      <c r="AL382" s="6" t="s">
        <v>50</v>
      </c>
      <c r="AM382" s="6" t="s">
        <v>260</v>
      </c>
      <c r="AN382" s="6" t="s">
        <v>20</v>
      </c>
      <c r="AO382" s="6" t="s">
        <v>250</v>
      </c>
      <c r="AP382" s="6" t="s">
        <v>251</v>
      </c>
      <c r="AQ382" s="6" t="s">
        <v>18</v>
      </c>
    </row>
    <row r="383" spans="1:43" x14ac:dyDescent="0.25">
      <c r="A383" s="6">
        <v>22624843</v>
      </c>
      <c r="B383" s="6">
        <v>23439592</v>
      </c>
      <c r="C383" s="6" t="s">
        <v>237</v>
      </c>
      <c r="D383" s="14">
        <v>45863.514849537038</v>
      </c>
      <c r="E383" s="14">
        <v>45863.535636574074</v>
      </c>
      <c r="F383" s="46" t="s">
        <v>25</v>
      </c>
      <c r="G383" s="46" t="s">
        <v>25</v>
      </c>
      <c r="H383" s="6" t="s">
        <v>1543</v>
      </c>
      <c r="I383" s="6" t="s">
        <v>253</v>
      </c>
      <c r="J383" s="6" t="s">
        <v>1524</v>
      </c>
      <c r="K383" s="6" t="s">
        <v>1525</v>
      </c>
      <c r="L383" s="6" t="s">
        <v>1525</v>
      </c>
      <c r="M383" s="14">
        <v>45863.459722222222</v>
      </c>
      <c r="N383" s="6">
        <v>73594</v>
      </c>
      <c r="O383" s="6" t="s">
        <v>83</v>
      </c>
      <c r="P383" s="6" t="s">
        <v>272</v>
      </c>
      <c r="Q383" s="6" t="s">
        <v>243</v>
      </c>
      <c r="R383" s="6" t="s">
        <v>244</v>
      </c>
      <c r="S383" s="6" t="s">
        <v>3</v>
      </c>
      <c r="T383" s="6" t="s">
        <v>245</v>
      </c>
      <c r="U383" s="6" t="s">
        <v>130</v>
      </c>
      <c r="V383" s="6" t="s">
        <v>1506</v>
      </c>
      <c r="W383" s="6" t="s">
        <v>83</v>
      </c>
      <c r="X383" s="6" t="s">
        <v>83</v>
      </c>
      <c r="Y383" s="6" t="s">
        <v>83</v>
      </c>
      <c r="Z383" s="6" t="s">
        <v>67</v>
      </c>
      <c r="AA383" s="6" t="s">
        <v>83</v>
      </c>
      <c r="AB383" s="6">
        <v>7475</v>
      </c>
      <c r="AC383" s="6">
        <v>0</v>
      </c>
      <c r="AD383" s="6">
        <v>0</v>
      </c>
      <c r="AE383" s="6">
        <v>0</v>
      </c>
      <c r="AF383" s="6">
        <v>0</v>
      </c>
      <c r="AG383" s="6">
        <v>0</v>
      </c>
      <c r="AH383" s="6">
        <v>0</v>
      </c>
      <c r="AI383" s="6" t="s">
        <v>1544</v>
      </c>
      <c r="AJ383" s="6" t="s">
        <v>259</v>
      </c>
      <c r="AK383" s="6" t="s">
        <v>12</v>
      </c>
      <c r="AL383" s="6" t="s">
        <v>50</v>
      </c>
      <c r="AM383" s="6" t="s">
        <v>260</v>
      </c>
      <c r="AN383" s="6" t="s">
        <v>20</v>
      </c>
      <c r="AO383" s="6" t="s">
        <v>250</v>
      </c>
      <c r="AP383" s="6" t="s">
        <v>251</v>
      </c>
      <c r="AQ383" s="6" t="s">
        <v>18</v>
      </c>
    </row>
    <row r="384" spans="1:43" x14ac:dyDescent="0.25">
      <c r="A384" s="6">
        <v>22611726</v>
      </c>
      <c r="B384" s="6">
        <v>23428259</v>
      </c>
      <c r="C384" s="6" t="s">
        <v>237</v>
      </c>
      <c r="D384" s="14">
        <v>45861.460023148153</v>
      </c>
      <c r="E384" s="14">
        <v>45876.637835648151</v>
      </c>
      <c r="F384" s="6" t="s">
        <v>21</v>
      </c>
      <c r="G384" s="6" t="s">
        <v>25</v>
      </c>
      <c r="H384" s="6" t="s">
        <v>1545</v>
      </c>
      <c r="I384" s="6" t="s">
        <v>16</v>
      </c>
      <c r="J384" s="6" t="s">
        <v>1546</v>
      </c>
      <c r="K384" s="6" t="s">
        <v>359</v>
      </c>
      <c r="L384" s="6" t="s">
        <v>372</v>
      </c>
      <c r="M384" s="14">
        <v>45856.26666666667</v>
      </c>
      <c r="N384" s="6" t="s">
        <v>1545</v>
      </c>
      <c r="O384" s="6" t="s">
        <v>83</v>
      </c>
      <c r="P384" s="6" t="s">
        <v>242</v>
      </c>
      <c r="Q384" s="6" t="s">
        <v>256</v>
      </c>
      <c r="R384" s="6" t="s">
        <v>256</v>
      </c>
      <c r="S384" s="6" t="s">
        <v>7</v>
      </c>
      <c r="T384" s="6" t="s">
        <v>245</v>
      </c>
      <c r="U384" s="6" t="s">
        <v>119</v>
      </c>
      <c r="V384" s="6" t="s">
        <v>1547</v>
      </c>
      <c r="W384" s="6" t="s">
        <v>83</v>
      </c>
      <c r="X384" s="6" t="s">
        <v>247</v>
      </c>
      <c r="Y384" s="6">
        <v>2971499806</v>
      </c>
      <c r="Z384" s="6" t="s">
        <v>54</v>
      </c>
      <c r="AA384" s="6" t="s">
        <v>83</v>
      </c>
      <c r="AB384" s="6">
        <v>1215.06</v>
      </c>
      <c r="AC384" s="6">
        <v>55.65</v>
      </c>
      <c r="AD384" s="6">
        <v>0</v>
      </c>
      <c r="AE384" s="6">
        <v>0</v>
      </c>
      <c r="AF384" s="6">
        <v>55.65</v>
      </c>
      <c r="AG384" s="6">
        <v>0</v>
      </c>
      <c r="AH384" s="6">
        <v>0</v>
      </c>
      <c r="AI384" s="6" t="s">
        <v>248</v>
      </c>
      <c r="AJ384" s="6" t="s">
        <v>1548</v>
      </c>
      <c r="AK384" s="6" t="s">
        <v>16</v>
      </c>
      <c r="AL384" s="6" t="s">
        <v>51</v>
      </c>
      <c r="AM384" s="6" t="s">
        <v>342</v>
      </c>
      <c r="AN384" s="6" t="s">
        <v>26</v>
      </c>
      <c r="AO384" s="6" t="s">
        <v>250</v>
      </c>
      <c r="AP384" s="6" t="s">
        <v>262</v>
      </c>
      <c r="AQ384" s="6" t="s">
        <v>24</v>
      </c>
    </row>
    <row r="385" spans="1:43" x14ac:dyDescent="0.25">
      <c r="A385" s="6">
        <v>22696508</v>
      </c>
      <c r="B385" s="6">
        <v>23499347</v>
      </c>
      <c r="C385" s="6" t="s">
        <v>237</v>
      </c>
      <c r="D385" s="14">
        <v>45875.804155092592</v>
      </c>
      <c r="E385" s="14">
        <v>45875.805717592593</v>
      </c>
      <c r="F385" s="6" t="s">
        <v>21</v>
      </c>
      <c r="G385" s="6" t="s">
        <v>21</v>
      </c>
      <c r="H385" s="6" t="s">
        <v>1549</v>
      </c>
      <c r="I385" s="6" t="s">
        <v>16</v>
      </c>
      <c r="J385" s="6" t="s">
        <v>1550</v>
      </c>
      <c r="K385" s="6" t="s">
        <v>366</v>
      </c>
      <c r="L385" s="6" t="s">
        <v>372</v>
      </c>
      <c r="M385" s="14">
        <v>45875.507638888892</v>
      </c>
      <c r="N385" s="6" t="s">
        <v>1549</v>
      </c>
      <c r="O385" s="6" t="s">
        <v>83</v>
      </c>
      <c r="P385" s="6" t="s">
        <v>242</v>
      </c>
      <c r="Q385" s="6" t="s">
        <v>361</v>
      </c>
      <c r="R385" s="6" t="s">
        <v>339</v>
      </c>
      <c r="S385" s="6" t="s">
        <v>7</v>
      </c>
      <c r="T385" s="6" t="s">
        <v>245</v>
      </c>
      <c r="U385" s="6" t="s">
        <v>119</v>
      </c>
      <c r="V385" s="6" t="s">
        <v>1547</v>
      </c>
      <c r="W385" s="6" t="s">
        <v>83</v>
      </c>
      <c r="X385" s="6" t="s">
        <v>247</v>
      </c>
      <c r="Y385" s="6">
        <v>2971622800</v>
      </c>
      <c r="Z385" s="6" t="s">
        <v>54</v>
      </c>
      <c r="AA385" s="6" t="s">
        <v>83</v>
      </c>
      <c r="AB385" s="6">
        <v>0</v>
      </c>
      <c r="AC385" s="6">
        <v>0</v>
      </c>
      <c r="AD385" s="6">
        <v>450</v>
      </c>
      <c r="AE385" s="6">
        <v>0</v>
      </c>
      <c r="AF385" s="6">
        <v>9.7899999999999991</v>
      </c>
      <c r="AG385" s="6">
        <v>0</v>
      </c>
      <c r="AH385" s="6">
        <v>0</v>
      </c>
      <c r="AI385" s="6" t="s">
        <v>248</v>
      </c>
      <c r="AJ385" s="6" t="s">
        <v>1551</v>
      </c>
      <c r="AK385" s="6" t="s">
        <v>16</v>
      </c>
      <c r="AL385" s="6" t="s">
        <v>51</v>
      </c>
      <c r="AM385" s="6" t="s">
        <v>342</v>
      </c>
      <c r="AN385" s="6" t="s">
        <v>26</v>
      </c>
      <c r="AO385" s="6" t="s">
        <v>250</v>
      </c>
      <c r="AP385" s="6" t="s">
        <v>262</v>
      </c>
      <c r="AQ385" s="6" t="s">
        <v>24</v>
      </c>
    </row>
    <row r="386" spans="1:43" x14ac:dyDescent="0.25">
      <c r="A386" s="6">
        <v>22694284</v>
      </c>
      <c r="B386" s="6">
        <v>23497133</v>
      </c>
      <c r="C386" s="6" t="s">
        <v>237</v>
      </c>
      <c r="D386" s="14">
        <v>45875.647129629629</v>
      </c>
      <c r="E386" s="14">
        <v>45875.650254629632</v>
      </c>
      <c r="F386" s="6" t="s">
        <v>21</v>
      </c>
      <c r="G386" s="6" t="s">
        <v>21</v>
      </c>
      <c r="H386" s="6" t="s">
        <v>1552</v>
      </c>
      <c r="I386" s="6" t="s">
        <v>16</v>
      </c>
      <c r="J386" s="6" t="s">
        <v>1553</v>
      </c>
      <c r="K386" s="6" t="s">
        <v>1554</v>
      </c>
      <c r="L386" s="6" t="s">
        <v>1554</v>
      </c>
      <c r="M386" s="14">
        <v>45875.519444444442</v>
      </c>
      <c r="N386" s="6" t="s">
        <v>1555</v>
      </c>
      <c r="O386" s="6" t="s">
        <v>83</v>
      </c>
      <c r="P386" s="6" t="s">
        <v>272</v>
      </c>
      <c r="Q386" s="6" t="s">
        <v>616</v>
      </c>
      <c r="R386" s="6" t="s">
        <v>616</v>
      </c>
      <c r="S386" s="6" t="s">
        <v>9</v>
      </c>
      <c r="T386" s="6" t="s">
        <v>245</v>
      </c>
      <c r="U386" s="6" t="s">
        <v>119</v>
      </c>
      <c r="V386" s="6" t="s">
        <v>1547</v>
      </c>
      <c r="W386" s="6" t="s">
        <v>83</v>
      </c>
      <c r="X386" s="6" t="s">
        <v>83</v>
      </c>
      <c r="Y386" s="6" t="s">
        <v>83</v>
      </c>
      <c r="Z386" s="6" t="s">
        <v>54</v>
      </c>
      <c r="AA386" s="6" t="s">
        <v>83</v>
      </c>
      <c r="AB386" s="6">
        <v>400</v>
      </c>
      <c r="AC386" s="6">
        <v>0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 t="s">
        <v>248</v>
      </c>
      <c r="AJ386" s="6" t="s">
        <v>259</v>
      </c>
      <c r="AK386" s="6" t="s">
        <v>16</v>
      </c>
      <c r="AL386" s="6" t="s">
        <v>50</v>
      </c>
      <c r="AM386" s="6" t="s">
        <v>260</v>
      </c>
      <c r="AN386" s="6" t="s">
        <v>20</v>
      </c>
      <c r="AO386" s="6" t="s">
        <v>250</v>
      </c>
      <c r="AP386" s="6" t="s">
        <v>251</v>
      </c>
      <c r="AQ386" s="6" t="s">
        <v>18</v>
      </c>
    </row>
    <row r="387" spans="1:43" x14ac:dyDescent="0.25">
      <c r="A387" s="6">
        <v>22694284</v>
      </c>
      <c r="B387" s="6">
        <v>23497134</v>
      </c>
      <c r="C387" s="6" t="s">
        <v>378</v>
      </c>
      <c r="D387" s="14">
        <v>45875.647129629629</v>
      </c>
      <c r="E387" s="14">
        <v>45875.650254629632</v>
      </c>
      <c r="F387" s="6" t="s">
        <v>21</v>
      </c>
      <c r="G387" s="6" t="s">
        <v>21</v>
      </c>
      <c r="H387" s="6" t="s">
        <v>1552</v>
      </c>
      <c r="I387" s="6" t="s">
        <v>16</v>
      </c>
      <c r="J387" s="6" t="s">
        <v>1553</v>
      </c>
      <c r="K387" s="6" t="s">
        <v>1554</v>
      </c>
      <c r="L387" s="6" t="s">
        <v>1554</v>
      </c>
      <c r="M387" s="14">
        <v>45875.519444444442</v>
      </c>
      <c r="N387" s="6" t="s">
        <v>1555</v>
      </c>
      <c r="O387" s="6" t="s">
        <v>83</v>
      </c>
      <c r="P387" s="6" t="s">
        <v>272</v>
      </c>
      <c r="Q387" s="6" t="s">
        <v>616</v>
      </c>
      <c r="R387" s="6" t="s">
        <v>616</v>
      </c>
      <c r="S387" s="6" t="s">
        <v>9</v>
      </c>
      <c r="T387" s="6" t="s">
        <v>245</v>
      </c>
      <c r="U387" s="6" t="s">
        <v>119</v>
      </c>
      <c r="V387" s="6" t="s">
        <v>1547</v>
      </c>
      <c r="W387" s="6" t="s">
        <v>83</v>
      </c>
      <c r="X387" s="6" t="s">
        <v>1556</v>
      </c>
      <c r="Y387" s="6" t="s">
        <v>83</v>
      </c>
      <c r="Z387" s="6" t="s">
        <v>54</v>
      </c>
      <c r="AA387" s="6" t="s">
        <v>83</v>
      </c>
      <c r="AB387" s="6">
        <v>646</v>
      </c>
      <c r="AC387" s="6">
        <v>0</v>
      </c>
      <c r="AD387" s="6">
        <v>0</v>
      </c>
      <c r="AE387" s="6">
        <v>0</v>
      </c>
      <c r="AF387" s="6">
        <v>0</v>
      </c>
      <c r="AG387" s="6">
        <v>0</v>
      </c>
      <c r="AH387" s="6">
        <v>0</v>
      </c>
      <c r="AI387" s="6" t="s">
        <v>248</v>
      </c>
      <c r="AJ387" s="6" t="s">
        <v>259</v>
      </c>
      <c r="AK387" s="6" t="s">
        <v>16</v>
      </c>
      <c r="AL387" s="6" t="s">
        <v>50</v>
      </c>
      <c r="AM387" s="6" t="s">
        <v>260</v>
      </c>
      <c r="AN387" s="6" t="s">
        <v>20</v>
      </c>
      <c r="AO387" s="6" t="s">
        <v>250</v>
      </c>
      <c r="AP387" s="6" t="s">
        <v>251</v>
      </c>
      <c r="AQ387" s="6" t="s">
        <v>18</v>
      </c>
    </row>
    <row r="388" spans="1:43" x14ac:dyDescent="0.25">
      <c r="A388" s="6">
        <v>22694285</v>
      </c>
      <c r="B388" s="6">
        <v>23497135</v>
      </c>
      <c r="C388" s="6" t="s">
        <v>237</v>
      </c>
      <c r="D388" s="14">
        <v>45875.647199074083</v>
      </c>
      <c r="E388" s="14">
        <v>45875.650277777779</v>
      </c>
      <c r="F388" s="6" t="s">
        <v>21</v>
      </c>
      <c r="G388" s="6" t="s">
        <v>21</v>
      </c>
      <c r="H388" s="6" t="s">
        <v>1557</v>
      </c>
      <c r="I388" s="6" t="s">
        <v>16</v>
      </c>
      <c r="J388" s="6" t="s">
        <v>1558</v>
      </c>
      <c r="K388" s="6" t="s">
        <v>1554</v>
      </c>
      <c r="L388" s="6" t="s">
        <v>1554</v>
      </c>
      <c r="M388" s="14">
        <v>45875.525694444441</v>
      </c>
      <c r="N388" s="6" t="s">
        <v>1559</v>
      </c>
      <c r="O388" s="6" t="s">
        <v>83</v>
      </c>
      <c r="P388" s="6" t="s">
        <v>272</v>
      </c>
      <c r="Q388" s="6" t="s">
        <v>616</v>
      </c>
      <c r="R388" s="6" t="s">
        <v>616</v>
      </c>
      <c r="S388" s="6" t="s">
        <v>9</v>
      </c>
      <c r="T388" s="6" t="s">
        <v>245</v>
      </c>
      <c r="U388" s="6" t="s">
        <v>119</v>
      </c>
      <c r="V388" s="6" t="s">
        <v>1547</v>
      </c>
      <c r="W388" s="6" t="s">
        <v>83</v>
      </c>
      <c r="X388" s="6" t="s">
        <v>83</v>
      </c>
      <c r="Y388" s="6" t="s">
        <v>83</v>
      </c>
      <c r="Z388" s="6" t="s">
        <v>54</v>
      </c>
      <c r="AA388" s="6" t="s">
        <v>83</v>
      </c>
      <c r="AB388" s="6">
        <v>400</v>
      </c>
      <c r="AC388" s="6">
        <v>0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 t="s">
        <v>248</v>
      </c>
      <c r="AJ388" s="6" t="s">
        <v>259</v>
      </c>
      <c r="AK388" s="6" t="s">
        <v>16</v>
      </c>
      <c r="AL388" s="6" t="s">
        <v>50</v>
      </c>
      <c r="AM388" s="6" t="s">
        <v>260</v>
      </c>
      <c r="AN388" s="6" t="s">
        <v>20</v>
      </c>
      <c r="AO388" s="6" t="s">
        <v>250</v>
      </c>
      <c r="AP388" s="6" t="s">
        <v>251</v>
      </c>
      <c r="AQ388" s="6" t="s">
        <v>18</v>
      </c>
    </row>
    <row r="389" spans="1:43" x14ac:dyDescent="0.25">
      <c r="A389" s="6">
        <v>22694285</v>
      </c>
      <c r="B389" s="6">
        <v>23497136</v>
      </c>
      <c r="C389" s="6" t="s">
        <v>378</v>
      </c>
      <c r="D389" s="14">
        <v>45875.647199074083</v>
      </c>
      <c r="E389" s="14">
        <v>45875.650277777779</v>
      </c>
      <c r="F389" s="6" t="s">
        <v>21</v>
      </c>
      <c r="G389" s="6" t="s">
        <v>21</v>
      </c>
      <c r="H389" s="6" t="s">
        <v>1557</v>
      </c>
      <c r="I389" s="6" t="s">
        <v>16</v>
      </c>
      <c r="J389" s="6" t="s">
        <v>1558</v>
      </c>
      <c r="K389" s="6" t="s">
        <v>1554</v>
      </c>
      <c r="L389" s="6" t="s">
        <v>1554</v>
      </c>
      <c r="M389" s="14">
        <v>45875.525694444441</v>
      </c>
      <c r="N389" s="6" t="s">
        <v>1559</v>
      </c>
      <c r="O389" s="6" t="s">
        <v>83</v>
      </c>
      <c r="P389" s="6" t="s">
        <v>272</v>
      </c>
      <c r="Q389" s="6" t="s">
        <v>616</v>
      </c>
      <c r="R389" s="6" t="s">
        <v>616</v>
      </c>
      <c r="S389" s="6" t="s">
        <v>9</v>
      </c>
      <c r="T389" s="6" t="s">
        <v>245</v>
      </c>
      <c r="U389" s="6" t="s">
        <v>119</v>
      </c>
      <c r="V389" s="6" t="s">
        <v>1547</v>
      </c>
      <c r="W389" s="6" t="s">
        <v>83</v>
      </c>
      <c r="X389" s="6" t="s">
        <v>1556</v>
      </c>
      <c r="Y389" s="6" t="s">
        <v>83</v>
      </c>
      <c r="Z389" s="6" t="s">
        <v>54</v>
      </c>
      <c r="AA389" s="6" t="s">
        <v>83</v>
      </c>
      <c r="AB389" s="6">
        <v>646</v>
      </c>
      <c r="AC389" s="6">
        <v>0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 t="s">
        <v>248</v>
      </c>
      <c r="AJ389" s="6" t="s">
        <v>259</v>
      </c>
      <c r="AK389" s="6" t="s">
        <v>16</v>
      </c>
      <c r="AL389" s="6" t="s">
        <v>50</v>
      </c>
      <c r="AM389" s="6" t="s">
        <v>260</v>
      </c>
      <c r="AN389" s="6" t="s">
        <v>20</v>
      </c>
      <c r="AO389" s="6" t="s">
        <v>250</v>
      </c>
      <c r="AP389" s="6" t="s">
        <v>251</v>
      </c>
      <c r="AQ389" s="6" t="s">
        <v>18</v>
      </c>
    </row>
    <row r="390" spans="1:43" x14ac:dyDescent="0.25">
      <c r="A390" s="6">
        <v>22694286</v>
      </c>
      <c r="B390" s="6">
        <v>23497137</v>
      </c>
      <c r="C390" s="6" t="s">
        <v>237</v>
      </c>
      <c r="D390" s="14">
        <v>45875.647268518522</v>
      </c>
      <c r="E390" s="14">
        <v>45875.650277777779</v>
      </c>
      <c r="F390" s="6" t="s">
        <v>21</v>
      </c>
      <c r="G390" s="6" t="s">
        <v>21</v>
      </c>
      <c r="H390" s="6" t="s">
        <v>1560</v>
      </c>
      <c r="I390" s="6" t="s">
        <v>16</v>
      </c>
      <c r="J390" s="6" t="s">
        <v>1561</v>
      </c>
      <c r="K390" s="6" t="s">
        <v>1554</v>
      </c>
      <c r="L390" s="6" t="s">
        <v>1554</v>
      </c>
      <c r="M390" s="14">
        <v>45875.527777777781</v>
      </c>
      <c r="N390" s="6" t="s">
        <v>1562</v>
      </c>
      <c r="O390" s="6" t="s">
        <v>83</v>
      </c>
      <c r="P390" s="6" t="s">
        <v>272</v>
      </c>
      <c r="Q390" s="6" t="s">
        <v>616</v>
      </c>
      <c r="R390" s="6" t="s">
        <v>616</v>
      </c>
      <c r="S390" s="6" t="s">
        <v>9</v>
      </c>
      <c r="T390" s="6" t="s">
        <v>245</v>
      </c>
      <c r="U390" s="6" t="s">
        <v>119</v>
      </c>
      <c r="V390" s="6" t="s">
        <v>1547</v>
      </c>
      <c r="W390" s="6" t="s">
        <v>83</v>
      </c>
      <c r="X390" s="6" t="s">
        <v>83</v>
      </c>
      <c r="Y390" s="6" t="s">
        <v>83</v>
      </c>
      <c r="Z390" s="6" t="s">
        <v>54</v>
      </c>
      <c r="AA390" s="6" t="s">
        <v>83</v>
      </c>
      <c r="AB390" s="6">
        <v>400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 t="s">
        <v>248</v>
      </c>
      <c r="AJ390" s="6" t="s">
        <v>259</v>
      </c>
      <c r="AK390" s="6" t="s">
        <v>16</v>
      </c>
      <c r="AL390" s="6" t="s">
        <v>50</v>
      </c>
      <c r="AM390" s="6" t="s">
        <v>260</v>
      </c>
      <c r="AN390" s="6" t="s">
        <v>20</v>
      </c>
      <c r="AO390" s="6" t="s">
        <v>250</v>
      </c>
      <c r="AP390" s="6" t="s">
        <v>251</v>
      </c>
      <c r="AQ390" s="6" t="s">
        <v>18</v>
      </c>
    </row>
    <row r="391" spans="1:43" x14ac:dyDescent="0.25">
      <c r="A391" s="6">
        <v>22694286</v>
      </c>
      <c r="B391" s="6">
        <v>23497138</v>
      </c>
      <c r="C391" s="6" t="s">
        <v>378</v>
      </c>
      <c r="D391" s="14">
        <v>45875.647268518522</v>
      </c>
      <c r="E391" s="14">
        <v>45875.650277777779</v>
      </c>
      <c r="F391" s="6" t="s">
        <v>21</v>
      </c>
      <c r="G391" s="6" t="s">
        <v>21</v>
      </c>
      <c r="H391" s="6" t="s">
        <v>1560</v>
      </c>
      <c r="I391" s="6" t="s">
        <v>16</v>
      </c>
      <c r="J391" s="6" t="s">
        <v>1561</v>
      </c>
      <c r="K391" s="6" t="s">
        <v>1554</v>
      </c>
      <c r="L391" s="6" t="s">
        <v>1554</v>
      </c>
      <c r="M391" s="14">
        <v>45875.527777777781</v>
      </c>
      <c r="N391" s="6" t="s">
        <v>1562</v>
      </c>
      <c r="O391" s="6" t="s">
        <v>83</v>
      </c>
      <c r="P391" s="6" t="s">
        <v>272</v>
      </c>
      <c r="Q391" s="6" t="s">
        <v>616</v>
      </c>
      <c r="R391" s="6" t="s">
        <v>616</v>
      </c>
      <c r="S391" s="6" t="s">
        <v>9</v>
      </c>
      <c r="T391" s="6" t="s">
        <v>245</v>
      </c>
      <c r="U391" s="6" t="s">
        <v>119</v>
      </c>
      <c r="V391" s="6" t="s">
        <v>1547</v>
      </c>
      <c r="W391" s="6" t="s">
        <v>83</v>
      </c>
      <c r="X391" s="6" t="s">
        <v>1556</v>
      </c>
      <c r="Y391" s="6" t="s">
        <v>83</v>
      </c>
      <c r="Z391" s="6" t="s">
        <v>54</v>
      </c>
      <c r="AA391" s="6" t="s">
        <v>83</v>
      </c>
      <c r="AB391" s="6">
        <v>646</v>
      </c>
      <c r="AC391" s="6">
        <v>0</v>
      </c>
      <c r="AD391" s="6">
        <v>0</v>
      </c>
      <c r="AE391" s="6">
        <v>0</v>
      </c>
      <c r="AF391" s="6">
        <v>0</v>
      </c>
      <c r="AG391" s="6">
        <v>0</v>
      </c>
      <c r="AH391" s="6">
        <v>0</v>
      </c>
      <c r="AI391" s="6" t="s">
        <v>248</v>
      </c>
      <c r="AJ391" s="6" t="s">
        <v>259</v>
      </c>
      <c r="AK391" s="6" t="s">
        <v>16</v>
      </c>
      <c r="AL391" s="6" t="s">
        <v>50</v>
      </c>
      <c r="AM391" s="6" t="s">
        <v>260</v>
      </c>
      <c r="AN391" s="6" t="s">
        <v>20</v>
      </c>
      <c r="AO391" s="6" t="s">
        <v>250</v>
      </c>
      <c r="AP391" s="6" t="s">
        <v>251</v>
      </c>
      <c r="AQ391" s="6" t="s">
        <v>18</v>
      </c>
    </row>
    <row r="392" spans="1:43" x14ac:dyDescent="0.25">
      <c r="A392" s="6">
        <v>22692769</v>
      </c>
      <c r="B392" s="6">
        <v>23495717</v>
      </c>
      <c r="C392" s="6" t="s">
        <v>237</v>
      </c>
      <c r="D392" s="14">
        <v>45875.500925925917</v>
      </c>
      <c r="E392" s="14">
        <v>45875.50439814815</v>
      </c>
      <c r="F392" s="6" t="s">
        <v>21</v>
      </c>
      <c r="G392" s="6" t="s">
        <v>21</v>
      </c>
      <c r="H392" s="6" t="s">
        <v>1563</v>
      </c>
      <c r="I392" s="6" t="s">
        <v>16</v>
      </c>
      <c r="J392" s="6" t="s">
        <v>1564</v>
      </c>
      <c r="K392" s="6" t="s">
        <v>1554</v>
      </c>
      <c r="L392" s="6" t="s">
        <v>1554</v>
      </c>
      <c r="M392" s="14">
        <v>45875.394444444442</v>
      </c>
      <c r="N392" s="6" t="s">
        <v>1565</v>
      </c>
      <c r="O392" s="6" t="s">
        <v>83</v>
      </c>
      <c r="P392" s="6" t="s">
        <v>272</v>
      </c>
      <c r="Q392" s="6" t="s">
        <v>616</v>
      </c>
      <c r="R392" s="6" t="s">
        <v>616</v>
      </c>
      <c r="S392" s="6" t="s">
        <v>9</v>
      </c>
      <c r="T392" s="6" t="s">
        <v>245</v>
      </c>
      <c r="U392" s="6" t="s">
        <v>119</v>
      </c>
      <c r="V392" s="6" t="s">
        <v>1547</v>
      </c>
      <c r="W392" s="6" t="s">
        <v>83</v>
      </c>
      <c r="X392" s="6" t="s">
        <v>83</v>
      </c>
      <c r="Y392" s="6" t="s">
        <v>83</v>
      </c>
      <c r="Z392" s="6" t="s">
        <v>54</v>
      </c>
      <c r="AA392" s="6" t="s">
        <v>83</v>
      </c>
      <c r="AB392" s="6">
        <v>1876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 t="s">
        <v>248</v>
      </c>
      <c r="AJ392" s="6" t="s">
        <v>259</v>
      </c>
      <c r="AK392" s="6" t="s">
        <v>16</v>
      </c>
      <c r="AL392" s="6" t="s">
        <v>50</v>
      </c>
      <c r="AM392" s="6" t="s">
        <v>260</v>
      </c>
      <c r="AN392" s="6" t="s">
        <v>20</v>
      </c>
      <c r="AO392" s="6" t="s">
        <v>250</v>
      </c>
      <c r="AP392" s="6" t="s">
        <v>251</v>
      </c>
      <c r="AQ392" s="6" t="s">
        <v>18</v>
      </c>
    </row>
    <row r="393" spans="1:43" x14ac:dyDescent="0.25">
      <c r="A393" s="6">
        <v>22687065</v>
      </c>
      <c r="B393" s="6">
        <v>23490754</v>
      </c>
      <c r="C393" s="6" t="s">
        <v>237</v>
      </c>
      <c r="D393" s="14">
        <v>45874.668206018519</v>
      </c>
      <c r="E393" s="14">
        <v>45874.671481481477</v>
      </c>
      <c r="F393" s="6" t="s">
        <v>21</v>
      </c>
      <c r="G393" s="6" t="s">
        <v>21</v>
      </c>
      <c r="H393" s="6" t="s">
        <v>1566</v>
      </c>
      <c r="I393" s="6" t="s">
        <v>16</v>
      </c>
      <c r="J393" s="6" t="s">
        <v>1567</v>
      </c>
      <c r="K393" s="6" t="s">
        <v>1554</v>
      </c>
      <c r="L393" s="6" t="s">
        <v>1554</v>
      </c>
      <c r="M393" s="14">
        <v>45874.527777777781</v>
      </c>
      <c r="N393" s="6" t="s">
        <v>1568</v>
      </c>
      <c r="O393" s="6" t="s">
        <v>1569</v>
      </c>
      <c r="P393" s="6" t="s">
        <v>272</v>
      </c>
      <c r="Q393" s="6" t="s">
        <v>243</v>
      </c>
      <c r="R393" s="6" t="s">
        <v>244</v>
      </c>
      <c r="S393" s="6" t="s">
        <v>8</v>
      </c>
      <c r="T393" s="6" t="s">
        <v>245</v>
      </c>
      <c r="U393" s="6" t="s">
        <v>119</v>
      </c>
      <c r="V393" s="6" t="s">
        <v>1547</v>
      </c>
      <c r="W393" s="6" t="s">
        <v>83</v>
      </c>
      <c r="X393" s="6" t="s">
        <v>83</v>
      </c>
      <c r="Y393" s="6" t="s">
        <v>83</v>
      </c>
      <c r="Z393" s="6" t="s">
        <v>54</v>
      </c>
      <c r="AA393" s="6" t="s">
        <v>83</v>
      </c>
      <c r="AB393" s="6">
        <v>942.95</v>
      </c>
      <c r="AC393" s="6">
        <v>131.13</v>
      </c>
      <c r="AD393" s="6">
        <v>0</v>
      </c>
      <c r="AE393" s="6">
        <v>0</v>
      </c>
      <c r="AF393" s="6">
        <v>0</v>
      </c>
      <c r="AG393" s="6">
        <v>0</v>
      </c>
      <c r="AH393" s="6">
        <v>0</v>
      </c>
      <c r="AI393" s="6" t="s">
        <v>248</v>
      </c>
      <c r="AJ393" s="6" t="s">
        <v>259</v>
      </c>
      <c r="AK393" s="6" t="s">
        <v>16</v>
      </c>
      <c r="AL393" s="6" t="s">
        <v>50</v>
      </c>
      <c r="AM393" s="6" t="s">
        <v>260</v>
      </c>
      <c r="AN393" s="6" t="s">
        <v>20</v>
      </c>
      <c r="AO393" s="6" t="s">
        <v>250</v>
      </c>
      <c r="AP393" s="6" t="s">
        <v>251</v>
      </c>
      <c r="AQ393" s="6" t="s">
        <v>18</v>
      </c>
    </row>
    <row r="394" spans="1:43" x14ac:dyDescent="0.25">
      <c r="A394" s="6">
        <v>22723077</v>
      </c>
      <c r="B394" s="6">
        <v>23521362</v>
      </c>
      <c r="C394" s="6" t="s">
        <v>237</v>
      </c>
      <c r="D394" s="14">
        <v>45880.627071759263</v>
      </c>
      <c r="E394" s="14">
        <v>45880.63</v>
      </c>
      <c r="F394" s="6" t="s">
        <v>17</v>
      </c>
      <c r="G394" s="6" t="s">
        <v>17</v>
      </c>
      <c r="H394" s="6" t="s">
        <v>1570</v>
      </c>
      <c r="I394" s="6" t="s">
        <v>16</v>
      </c>
      <c r="J394" s="6" t="s">
        <v>1571</v>
      </c>
      <c r="K394" s="6" t="s">
        <v>1554</v>
      </c>
      <c r="L394" s="6" t="s">
        <v>1554</v>
      </c>
      <c r="M394" s="14">
        <v>45880.486805555563</v>
      </c>
      <c r="N394" s="6" t="s">
        <v>1572</v>
      </c>
      <c r="O394" s="6" t="s">
        <v>83</v>
      </c>
      <c r="P394" s="6" t="s">
        <v>272</v>
      </c>
      <c r="Q394" s="6" t="s">
        <v>616</v>
      </c>
      <c r="R394" s="6" t="s">
        <v>616</v>
      </c>
      <c r="S394" s="6" t="s">
        <v>9</v>
      </c>
      <c r="T394" s="6" t="s">
        <v>245</v>
      </c>
      <c r="U394" s="6" t="s">
        <v>119</v>
      </c>
      <c r="V394" s="6" t="s">
        <v>1547</v>
      </c>
      <c r="W394" s="6" t="s">
        <v>83</v>
      </c>
      <c r="X394" s="6" t="s">
        <v>83</v>
      </c>
      <c r="Y394" s="6" t="s">
        <v>83</v>
      </c>
      <c r="Z394" s="6" t="s">
        <v>54</v>
      </c>
      <c r="AA394" s="6" t="s">
        <v>83</v>
      </c>
      <c r="AB394" s="6">
        <v>1796.058</v>
      </c>
      <c r="AC394" s="6">
        <v>0</v>
      </c>
      <c r="AD394" s="6">
        <v>0</v>
      </c>
      <c r="AE394" s="6">
        <v>0</v>
      </c>
      <c r="AF394" s="6">
        <v>0</v>
      </c>
      <c r="AG394" s="6">
        <v>0</v>
      </c>
      <c r="AH394" s="6">
        <v>0</v>
      </c>
      <c r="AI394" s="6" t="s">
        <v>248</v>
      </c>
      <c r="AJ394" s="6" t="s">
        <v>259</v>
      </c>
      <c r="AK394" s="6" t="s">
        <v>16</v>
      </c>
      <c r="AL394" s="6" t="s">
        <v>50</v>
      </c>
      <c r="AM394" s="6" t="s">
        <v>260</v>
      </c>
      <c r="AN394" s="6" t="s">
        <v>20</v>
      </c>
      <c r="AO394" s="6" t="s">
        <v>250</v>
      </c>
      <c r="AP394" s="6" t="s">
        <v>251</v>
      </c>
      <c r="AQ394" s="6" t="s">
        <v>18</v>
      </c>
    </row>
    <row r="395" spans="1:43" x14ac:dyDescent="0.25">
      <c r="A395" s="6">
        <v>22723153</v>
      </c>
      <c r="B395" s="6">
        <v>23521428</v>
      </c>
      <c r="C395" s="6" t="s">
        <v>237</v>
      </c>
      <c r="D395" s="14">
        <v>45880.636273148149</v>
      </c>
      <c r="E395" s="14">
        <v>45880.638182870367</v>
      </c>
      <c r="F395" s="6" t="s">
        <v>17</v>
      </c>
      <c r="G395" s="6" t="s">
        <v>17</v>
      </c>
      <c r="H395" s="6" t="s">
        <v>1573</v>
      </c>
      <c r="I395" s="6" t="s">
        <v>16</v>
      </c>
      <c r="J395" s="6" t="s">
        <v>1574</v>
      </c>
      <c r="K395" s="6" t="s">
        <v>1554</v>
      </c>
      <c r="L395" s="6" t="s">
        <v>1554</v>
      </c>
      <c r="M395" s="14">
        <v>45880.506944444453</v>
      </c>
      <c r="N395" s="6" t="s">
        <v>1575</v>
      </c>
      <c r="O395" s="6" t="s">
        <v>83</v>
      </c>
      <c r="P395" s="6" t="s">
        <v>272</v>
      </c>
      <c r="Q395" s="6" t="s">
        <v>616</v>
      </c>
      <c r="R395" s="6" t="s">
        <v>616</v>
      </c>
      <c r="S395" s="6" t="s">
        <v>9</v>
      </c>
      <c r="T395" s="6" t="s">
        <v>245</v>
      </c>
      <c r="U395" s="6" t="s">
        <v>119</v>
      </c>
      <c r="V395" s="6" t="s">
        <v>1547</v>
      </c>
      <c r="W395" s="6" t="s">
        <v>83</v>
      </c>
      <c r="X395" s="6" t="s">
        <v>1576</v>
      </c>
      <c r="Y395" s="6" t="s">
        <v>83</v>
      </c>
      <c r="Z395" s="6" t="s">
        <v>54</v>
      </c>
      <c r="AA395" s="6" t="s">
        <v>83</v>
      </c>
      <c r="AB395" s="6">
        <v>1860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 t="s">
        <v>248</v>
      </c>
      <c r="AJ395" s="6" t="s">
        <v>377</v>
      </c>
      <c r="AK395" s="6" t="s">
        <v>16</v>
      </c>
      <c r="AL395" s="6" t="s">
        <v>50</v>
      </c>
      <c r="AM395" s="6" t="s">
        <v>260</v>
      </c>
      <c r="AN395" s="6" t="s">
        <v>20</v>
      </c>
      <c r="AO395" s="6" t="s">
        <v>250</v>
      </c>
      <c r="AP395" s="6" t="s">
        <v>251</v>
      </c>
      <c r="AQ395" s="6" t="s">
        <v>18</v>
      </c>
    </row>
    <row r="396" spans="1:43" x14ac:dyDescent="0.25">
      <c r="A396" s="6">
        <v>22723153</v>
      </c>
      <c r="B396" s="6">
        <v>23521429</v>
      </c>
      <c r="C396" s="6" t="s">
        <v>378</v>
      </c>
      <c r="D396" s="14">
        <v>45880.636273148149</v>
      </c>
      <c r="E396" s="14">
        <v>45880.638182870367</v>
      </c>
      <c r="F396" s="6" t="s">
        <v>17</v>
      </c>
      <c r="G396" s="6" t="s">
        <v>17</v>
      </c>
      <c r="H396" s="6" t="s">
        <v>1573</v>
      </c>
      <c r="I396" s="6" t="s">
        <v>16</v>
      </c>
      <c r="J396" s="6" t="s">
        <v>1574</v>
      </c>
      <c r="K396" s="6" t="s">
        <v>1554</v>
      </c>
      <c r="L396" s="6" t="s">
        <v>1554</v>
      </c>
      <c r="M396" s="14">
        <v>45880.506944444453</v>
      </c>
      <c r="N396" s="6" t="s">
        <v>1575</v>
      </c>
      <c r="O396" s="6" t="s">
        <v>83</v>
      </c>
      <c r="P396" s="6" t="s">
        <v>272</v>
      </c>
      <c r="Q396" s="6" t="s">
        <v>616</v>
      </c>
      <c r="R396" s="6" t="s">
        <v>616</v>
      </c>
      <c r="S396" s="6" t="s">
        <v>9</v>
      </c>
      <c r="T396" s="6" t="s">
        <v>245</v>
      </c>
      <c r="U396" s="6" t="s">
        <v>119</v>
      </c>
      <c r="V396" s="6" t="s">
        <v>1547</v>
      </c>
      <c r="W396" s="6" t="s">
        <v>83</v>
      </c>
      <c r="X396" s="6" t="s">
        <v>83</v>
      </c>
      <c r="Y396" s="6" t="s">
        <v>83</v>
      </c>
      <c r="Z396" s="6" t="s">
        <v>54</v>
      </c>
      <c r="AA396" s="6" t="s">
        <v>83</v>
      </c>
      <c r="AB396" s="6">
        <v>822</v>
      </c>
      <c r="AC396" s="6">
        <v>0</v>
      </c>
      <c r="AD396" s="6">
        <v>0</v>
      </c>
      <c r="AE396" s="6">
        <v>0</v>
      </c>
      <c r="AF396" s="6">
        <v>0</v>
      </c>
      <c r="AG396" s="6">
        <v>0</v>
      </c>
      <c r="AH396" s="6">
        <v>0</v>
      </c>
      <c r="AI396" s="6" t="s">
        <v>248</v>
      </c>
      <c r="AJ396" s="6" t="s">
        <v>377</v>
      </c>
      <c r="AK396" s="6" t="s">
        <v>16</v>
      </c>
      <c r="AL396" s="6" t="s">
        <v>50</v>
      </c>
      <c r="AM396" s="6" t="s">
        <v>260</v>
      </c>
      <c r="AN396" s="6" t="s">
        <v>20</v>
      </c>
      <c r="AO396" s="6" t="s">
        <v>250</v>
      </c>
      <c r="AP396" s="6" t="s">
        <v>251</v>
      </c>
      <c r="AQ396" s="6" t="s">
        <v>18</v>
      </c>
    </row>
    <row r="397" spans="1:43" x14ac:dyDescent="0.25">
      <c r="A397" s="6">
        <v>22721226</v>
      </c>
      <c r="B397" s="6">
        <v>23519595</v>
      </c>
      <c r="C397" s="6" t="s">
        <v>237</v>
      </c>
      <c r="D397" s="14">
        <v>45880.42796296296</v>
      </c>
      <c r="E397" s="14">
        <v>45880.430104166669</v>
      </c>
      <c r="F397" s="6" t="s">
        <v>17</v>
      </c>
      <c r="G397" s="6" t="s">
        <v>17</v>
      </c>
      <c r="H397" s="6" t="s">
        <v>1577</v>
      </c>
      <c r="I397" s="6" t="s">
        <v>16</v>
      </c>
      <c r="J397" s="6" t="s">
        <v>1578</v>
      </c>
      <c r="K397" s="6" t="s">
        <v>1554</v>
      </c>
      <c r="L397" s="6" t="s">
        <v>1554</v>
      </c>
      <c r="M397" s="14">
        <v>45880.296527777777</v>
      </c>
      <c r="N397" s="6" t="s">
        <v>1579</v>
      </c>
      <c r="O397" s="6" t="s">
        <v>83</v>
      </c>
      <c r="P397" s="6" t="s">
        <v>272</v>
      </c>
      <c r="Q397" s="6" t="s">
        <v>616</v>
      </c>
      <c r="R397" s="6" t="s">
        <v>616</v>
      </c>
      <c r="S397" s="6" t="s">
        <v>9</v>
      </c>
      <c r="T397" s="6" t="s">
        <v>245</v>
      </c>
      <c r="U397" s="6" t="s">
        <v>119</v>
      </c>
      <c r="V397" s="6" t="s">
        <v>1547</v>
      </c>
      <c r="W397" s="6" t="s">
        <v>83</v>
      </c>
      <c r="X397" s="6" t="s">
        <v>83</v>
      </c>
      <c r="Y397" s="6" t="s">
        <v>83</v>
      </c>
      <c r="Z397" s="6" t="s">
        <v>54</v>
      </c>
      <c r="AA397" s="6" t="s">
        <v>83</v>
      </c>
      <c r="AB397" s="6">
        <v>7719.2327999999998</v>
      </c>
      <c r="AC397" s="6">
        <v>124.18</v>
      </c>
      <c r="AD397" s="6">
        <v>0</v>
      </c>
      <c r="AE397" s="6">
        <v>0</v>
      </c>
      <c r="AF397" s="6">
        <v>0</v>
      </c>
      <c r="AG397" s="6">
        <v>0</v>
      </c>
      <c r="AH397" s="6">
        <v>0</v>
      </c>
      <c r="AI397" s="6" t="s">
        <v>248</v>
      </c>
      <c r="AJ397" s="6" t="s">
        <v>259</v>
      </c>
      <c r="AK397" s="6" t="s">
        <v>16</v>
      </c>
      <c r="AL397" s="6" t="s">
        <v>50</v>
      </c>
      <c r="AM397" s="6" t="s">
        <v>260</v>
      </c>
      <c r="AN397" s="6" t="s">
        <v>20</v>
      </c>
      <c r="AO397" s="6" t="s">
        <v>250</v>
      </c>
      <c r="AP397" s="6" t="s">
        <v>251</v>
      </c>
      <c r="AQ397" s="6" t="s">
        <v>18</v>
      </c>
    </row>
    <row r="398" spans="1:43" x14ac:dyDescent="0.25">
      <c r="A398" s="6">
        <v>22702911</v>
      </c>
      <c r="B398" s="6">
        <v>23505029</v>
      </c>
      <c r="C398" s="6" t="s">
        <v>237</v>
      </c>
      <c r="D398" s="14">
        <v>45876.762141203697</v>
      </c>
      <c r="E398" s="14">
        <v>45876.763078703712</v>
      </c>
      <c r="F398" s="6" t="s">
        <v>21</v>
      </c>
      <c r="G398" s="6" t="s">
        <v>21</v>
      </c>
      <c r="H398" s="6" t="s">
        <v>1580</v>
      </c>
      <c r="I398" s="6" t="s">
        <v>16</v>
      </c>
      <c r="J398" s="6" t="s">
        <v>1581</v>
      </c>
      <c r="K398" s="6" t="s">
        <v>1554</v>
      </c>
      <c r="L398" s="6" t="s">
        <v>1554</v>
      </c>
      <c r="M398" s="14">
        <v>45876.644444444442</v>
      </c>
      <c r="N398" s="6" t="s">
        <v>1582</v>
      </c>
      <c r="O398" s="6" t="s">
        <v>83</v>
      </c>
      <c r="P398" s="6" t="s">
        <v>272</v>
      </c>
      <c r="Q398" s="6" t="s">
        <v>616</v>
      </c>
      <c r="R398" s="6" t="s">
        <v>616</v>
      </c>
      <c r="S398" s="6" t="s">
        <v>9</v>
      </c>
      <c r="T398" s="6" t="s">
        <v>245</v>
      </c>
      <c r="U398" s="6" t="s">
        <v>119</v>
      </c>
      <c r="V398" s="6" t="s">
        <v>1547</v>
      </c>
      <c r="W398" s="6" t="s">
        <v>83</v>
      </c>
      <c r="X398" s="6" t="s">
        <v>83</v>
      </c>
      <c r="Y398" s="6" t="s">
        <v>83</v>
      </c>
      <c r="Z398" s="6" t="s">
        <v>54</v>
      </c>
      <c r="AA398" s="6" t="s">
        <v>83</v>
      </c>
      <c r="AB398" s="6">
        <v>985</v>
      </c>
      <c r="AC398" s="6">
        <v>49.25</v>
      </c>
      <c r="AD398" s="6">
        <v>0</v>
      </c>
      <c r="AE398" s="6">
        <v>0</v>
      </c>
      <c r="AF398" s="6">
        <v>0</v>
      </c>
      <c r="AG398" s="6">
        <v>0</v>
      </c>
      <c r="AH398" s="6">
        <v>0</v>
      </c>
      <c r="AI398" s="6" t="s">
        <v>248</v>
      </c>
      <c r="AJ398" s="6" t="s">
        <v>259</v>
      </c>
      <c r="AK398" s="6" t="s">
        <v>16</v>
      </c>
      <c r="AL398" s="6" t="s">
        <v>50</v>
      </c>
      <c r="AM398" s="6" t="s">
        <v>260</v>
      </c>
      <c r="AN398" s="6" t="s">
        <v>20</v>
      </c>
      <c r="AO398" s="6" t="s">
        <v>250</v>
      </c>
      <c r="AP398" s="6" t="s">
        <v>251</v>
      </c>
      <c r="AQ398" s="6" t="s">
        <v>18</v>
      </c>
    </row>
    <row r="399" spans="1:43" x14ac:dyDescent="0.25">
      <c r="A399" s="6">
        <v>22731038</v>
      </c>
      <c r="B399" s="6">
        <v>23528531</v>
      </c>
      <c r="C399" s="6" t="s">
        <v>237</v>
      </c>
      <c r="D399" s="14">
        <v>45881.698518518519</v>
      </c>
      <c r="E399" s="14">
        <v>45881.700682870367</v>
      </c>
      <c r="F399" s="6" t="s">
        <v>17</v>
      </c>
      <c r="G399" s="6" t="s">
        <v>17</v>
      </c>
      <c r="H399" s="6" t="s">
        <v>1583</v>
      </c>
      <c r="I399" s="6" t="s">
        <v>16</v>
      </c>
      <c r="J399" s="6" t="s">
        <v>1584</v>
      </c>
      <c r="K399" s="6" t="s">
        <v>1554</v>
      </c>
      <c r="L399" s="6" t="s">
        <v>1554</v>
      </c>
      <c r="M399" s="14">
        <v>45881.573611111111</v>
      </c>
      <c r="N399" s="6" t="s">
        <v>1585</v>
      </c>
      <c r="O399" s="6" t="s">
        <v>1586</v>
      </c>
      <c r="P399" s="6" t="s">
        <v>272</v>
      </c>
      <c r="Q399" s="6" t="s">
        <v>243</v>
      </c>
      <c r="R399" s="6" t="s">
        <v>244</v>
      </c>
      <c r="S399" s="6" t="s">
        <v>8</v>
      </c>
      <c r="T399" s="6" t="s">
        <v>245</v>
      </c>
      <c r="U399" s="6" t="s">
        <v>119</v>
      </c>
      <c r="V399" s="6" t="s">
        <v>1547</v>
      </c>
      <c r="W399" s="6" t="s">
        <v>83</v>
      </c>
      <c r="X399" s="6" t="s">
        <v>83</v>
      </c>
      <c r="Y399" s="6" t="s">
        <v>83</v>
      </c>
      <c r="Z399" s="6" t="s">
        <v>54</v>
      </c>
      <c r="AA399" s="6" t="s">
        <v>83</v>
      </c>
      <c r="AB399" s="6">
        <v>122.36</v>
      </c>
      <c r="AC399" s="6">
        <v>207.85</v>
      </c>
      <c r="AD399" s="6">
        <v>0</v>
      </c>
      <c r="AE399" s="6">
        <v>0</v>
      </c>
      <c r="AF399" s="6">
        <v>0</v>
      </c>
      <c r="AG399" s="6">
        <v>0</v>
      </c>
      <c r="AH399" s="6">
        <v>0</v>
      </c>
      <c r="AI399" s="6" t="s">
        <v>248</v>
      </c>
      <c r="AJ399" s="6" t="s">
        <v>259</v>
      </c>
      <c r="AK399" s="6" t="s">
        <v>16</v>
      </c>
      <c r="AL399" s="6" t="s">
        <v>50</v>
      </c>
      <c r="AM399" s="6" t="s">
        <v>260</v>
      </c>
      <c r="AN399" s="6" t="s">
        <v>20</v>
      </c>
      <c r="AO399" s="6" t="s">
        <v>250</v>
      </c>
      <c r="AP399" s="6" t="s">
        <v>251</v>
      </c>
      <c r="AQ399" s="6" t="s">
        <v>18</v>
      </c>
    </row>
    <row r="400" spans="1:43" x14ac:dyDescent="0.25">
      <c r="A400" s="6">
        <v>22731475</v>
      </c>
      <c r="B400" s="6">
        <v>23528938</v>
      </c>
      <c r="C400" s="6" t="s">
        <v>237</v>
      </c>
      <c r="D400" s="14">
        <v>45881.750775462962</v>
      </c>
      <c r="E400" s="14">
        <v>45881.754502314812</v>
      </c>
      <c r="F400" s="6" t="s">
        <v>17</v>
      </c>
      <c r="G400" s="6" t="s">
        <v>17</v>
      </c>
      <c r="H400" s="6" t="s">
        <v>1587</v>
      </c>
      <c r="I400" s="6" t="s">
        <v>16</v>
      </c>
      <c r="J400" s="6" t="s">
        <v>1588</v>
      </c>
      <c r="K400" s="6" t="s">
        <v>1554</v>
      </c>
      <c r="L400" s="6" t="s">
        <v>1554</v>
      </c>
      <c r="M400" s="14">
        <v>45881.656944444447</v>
      </c>
      <c r="N400" s="6" t="s">
        <v>1589</v>
      </c>
      <c r="O400" s="6" t="s">
        <v>83</v>
      </c>
      <c r="P400" s="6" t="s">
        <v>272</v>
      </c>
      <c r="Q400" s="6" t="s">
        <v>243</v>
      </c>
      <c r="R400" s="6" t="s">
        <v>244</v>
      </c>
      <c r="S400" s="6" t="s">
        <v>9</v>
      </c>
      <c r="T400" s="6" t="s">
        <v>245</v>
      </c>
      <c r="U400" s="6" t="s">
        <v>119</v>
      </c>
      <c r="V400" s="6" t="s">
        <v>1590</v>
      </c>
      <c r="W400" s="6" t="s">
        <v>83</v>
      </c>
      <c r="X400" s="6" t="s">
        <v>83</v>
      </c>
      <c r="Y400" s="6" t="s">
        <v>83</v>
      </c>
      <c r="Z400" s="6" t="s">
        <v>54</v>
      </c>
      <c r="AA400" s="6" t="s">
        <v>83</v>
      </c>
      <c r="AB400" s="6">
        <v>445</v>
      </c>
      <c r="AC400" s="6">
        <v>0</v>
      </c>
      <c r="AD400" s="6">
        <v>0</v>
      </c>
      <c r="AE400" s="6">
        <v>0</v>
      </c>
      <c r="AF400" s="6">
        <v>0</v>
      </c>
      <c r="AG400" s="6">
        <v>0</v>
      </c>
      <c r="AH400" s="6">
        <v>0</v>
      </c>
      <c r="AI400" s="6" t="s">
        <v>248</v>
      </c>
      <c r="AJ400" s="6" t="s">
        <v>259</v>
      </c>
      <c r="AK400" s="6" t="s">
        <v>16</v>
      </c>
      <c r="AL400" s="6" t="s">
        <v>50</v>
      </c>
      <c r="AM400" s="6" t="s">
        <v>260</v>
      </c>
      <c r="AN400" s="6" t="s">
        <v>20</v>
      </c>
      <c r="AO400" s="6" t="s">
        <v>250</v>
      </c>
      <c r="AP400" s="6" t="s">
        <v>251</v>
      </c>
      <c r="AQ400" s="6" t="s">
        <v>18</v>
      </c>
    </row>
    <row r="401" spans="1:43" x14ac:dyDescent="0.25">
      <c r="A401" s="6">
        <v>22731094</v>
      </c>
      <c r="B401" s="6">
        <v>23528584</v>
      </c>
      <c r="C401" s="6" t="s">
        <v>237</v>
      </c>
      <c r="D401" s="14">
        <v>45881.709097222221</v>
      </c>
      <c r="E401" s="14">
        <v>45881.752754629633</v>
      </c>
      <c r="F401" s="6" t="s">
        <v>17</v>
      </c>
      <c r="G401" s="6" t="s">
        <v>17</v>
      </c>
      <c r="H401" s="6" t="s">
        <v>1591</v>
      </c>
      <c r="I401" s="6" t="s">
        <v>16</v>
      </c>
      <c r="J401" s="6" t="s">
        <v>1592</v>
      </c>
      <c r="K401" s="6" t="s">
        <v>359</v>
      </c>
      <c r="L401" s="6" t="s">
        <v>1554</v>
      </c>
      <c r="M401" s="14">
        <v>45881.486805555563</v>
      </c>
      <c r="N401" s="6" t="s">
        <v>1593</v>
      </c>
      <c r="O401" s="6" t="s">
        <v>83</v>
      </c>
      <c r="P401" s="6" t="s">
        <v>272</v>
      </c>
      <c r="Q401" s="6" t="s">
        <v>361</v>
      </c>
      <c r="R401" s="6" t="s">
        <v>339</v>
      </c>
      <c r="S401" s="6" t="s">
        <v>7</v>
      </c>
      <c r="T401" s="6" t="s">
        <v>245</v>
      </c>
      <c r="U401" s="6" t="s">
        <v>119</v>
      </c>
      <c r="V401" s="6" t="s">
        <v>1547</v>
      </c>
      <c r="W401" s="6" t="s">
        <v>83</v>
      </c>
      <c r="X401" s="6" t="s">
        <v>247</v>
      </c>
      <c r="Y401" s="6">
        <v>2952834983</v>
      </c>
      <c r="Z401" s="6" t="s">
        <v>54</v>
      </c>
      <c r="AA401" s="6" t="s">
        <v>83</v>
      </c>
      <c r="AB401" s="6">
        <v>0</v>
      </c>
      <c r="AC401" s="6">
        <v>0</v>
      </c>
      <c r="AD401" s="6">
        <v>450</v>
      </c>
      <c r="AE401" s="6">
        <v>0</v>
      </c>
      <c r="AF401" s="6">
        <v>51.33</v>
      </c>
      <c r="AG401" s="6">
        <v>0</v>
      </c>
      <c r="AH401" s="6">
        <v>0</v>
      </c>
      <c r="AI401" s="6" t="s">
        <v>248</v>
      </c>
      <c r="AJ401" s="6" t="s">
        <v>381</v>
      </c>
      <c r="AK401" s="6" t="s">
        <v>16</v>
      </c>
      <c r="AL401" s="6" t="s">
        <v>55</v>
      </c>
      <c r="AM401" s="6" t="s">
        <v>363</v>
      </c>
      <c r="AN401" s="6" t="s">
        <v>20</v>
      </c>
      <c r="AO401" s="6" t="s">
        <v>250</v>
      </c>
      <c r="AP401" s="6" t="s">
        <v>251</v>
      </c>
      <c r="AQ401" s="6" t="s">
        <v>33</v>
      </c>
    </row>
    <row r="402" spans="1:43" x14ac:dyDescent="0.25">
      <c r="A402" s="6">
        <v>22707066</v>
      </c>
      <c r="B402" s="6">
        <v>23508499</v>
      </c>
      <c r="C402" s="6" t="s">
        <v>237</v>
      </c>
      <c r="D402" s="14">
        <v>45877.427719907413</v>
      </c>
      <c r="E402" s="14">
        <v>45877.430590277778</v>
      </c>
      <c r="F402" s="6" t="s">
        <v>19</v>
      </c>
      <c r="G402" s="6" t="s">
        <v>19</v>
      </c>
      <c r="H402" s="6" t="s">
        <v>1594</v>
      </c>
      <c r="I402" s="6" t="s">
        <v>16</v>
      </c>
      <c r="J402" s="6" t="s">
        <v>1595</v>
      </c>
      <c r="K402" s="6" t="s">
        <v>372</v>
      </c>
      <c r="L402" s="6" t="s">
        <v>372</v>
      </c>
      <c r="M402" s="14">
        <v>45876.552083333343</v>
      </c>
      <c r="N402" s="6" t="s">
        <v>1596</v>
      </c>
      <c r="O402" s="6" t="s">
        <v>1597</v>
      </c>
      <c r="P402" s="6" t="s">
        <v>242</v>
      </c>
      <c r="Q402" s="6" t="s">
        <v>243</v>
      </c>
      <c r="R402" s="6" t="s">
        <v>244</v>
      </c>
      <c r="S402" s="6" t="s">
        <v>8</v>
      </c>
      <c r="T402" s="6" t="s">
        <v>245</v>
      </c>
      <c r="U402" s="6" t="s">
        <v>119</v>
      </c>
      <c r="V402" s="6" t="s">
        <v>1547</v>
      </c>
      <c r="W402" s="6" t="s">
        <v>83</v>
      </c>
      <c r="X402" s="6" t="s">
        <v>83</v>
      </c>
      <c r="Y402" s="6" t="s">
        <v>83</v>
      </c>
      <c r="Z402" s="6" t="s">
        <v>54</v>
      </c>
      <c r="AA402" s="6" t="s">
        <v>83</v>
      </c>
      <c r="AB402" s="6">
        <v>124.05</v>
      </c>
      <c r="AC402" s="6">
        <v>37.22</v>
      </c>
      <c r="AD402" s="6">
        <v>0</v>
      </c>
      <c r="AE402" s="6">
        <v>0</v>
      </c>
      <c r="AF402" s="6">
        <v>0</v>
      </c>
      <c r="AG402" s="6">
        <v>0</v>
      </c>
      <c r="AH402" s="6">
        <v>0</v>
      </c>
      <c r="AI402" s="6" t="s">
        <v>248</v>
      </c>
      <c r="AJ402" s="6" t="s">
        <v>259</v>
      </c>
      <c r="AK402" s="6" t="s">
        <v>16</v>
      </c>
      <c r="AL402" s="6" t="s">
        <v>50</v>
      </c>
      <c r="AM402" s="6" t="s">
        <v>260</v>
      </c>
      <c r="AN402" s="6" t="s">
        <v>20</v>
      </c>
      <c r="AO402" s="6" t="s">
        <v>250</v>
      </c>
      <c r="AP402" s="6" t="s">
        <v>251</v>
      </c>
      <c r="AQ402" s="6" t="s">
        <v>18</v>
      </c>
    </row>
    <row r="403" spans="1:43" x14ac:dyDescent="0.25">
      <c r="A403" s="6">
        <v>22707217</v>
      </c>
      <c r="B403" s="6">
        <v>23508642</v>
      </c>
      <c r="C403" s="6" t="s">
        <v>237</v>
      </c>
      <c r="D403" s="14">
        <v>45877.449236111112</v>
      </c>
      <c r="E403" s="14">
        <v>45877.450474537043</v>
      </c>
      <c r="F403" s="6" t="s">
        <v>19</v>
      </c>
      <c r="G403" s="6" t="s">
        <v>19</v>
      </c>
      <c r="H403" s="6" t="s">
        <v>1598</v>
      </c>
      <c r="I403" s="6" t="s">
        <v>16</v>
      </c>
      <c r="J403" s="6" t="s">
        <v>1599</v>
      </c>
      <c r="K403" s="6" t="s">
        <v>372</v>
      </c>
      <c r="L403" s="6" t="s">
        <v>372</v>
      </c>
      <c r="M403" s="14">
        <v>45877.313194444447</v>
      </c>
      <c r="N403" s="6" t="s">
        <v>1600</v>
      </c>
      <c r="O403" s="6" t="s">
        <v>83</v>
      </c>
      <c r="P403" s="6" t="s">
        <v>242</v>
      </c>
      <c r="Q403" s="6" t="s">
        <v>256</v>
      </c>
      <c r="R403" s="6" t="s">
        <v>424</v>
      </c>
      <c r="S403" s="6" t="s">
        <v>7</v>
      </c>
      <c r="T403" s="6" t="s">
        <v>245</v>
      </c>
      <c r="U403" s="6" t="s">
        <v>119</v>
      </c>
      <c r="V403" s="6" t="s">
        <v>1590</v>
      </c>
      <c r="W403" s="6" t="s">
        <v>83</v>
      </c>
      <c r="X403" s="6" t="s">
        <v>306</v>
      </c>
      <c r="Y403" s="6">
        <v>7700075136</v>
      </c>
      <c r="Z403" s="6" t="s">
        <v>54</v>
      </c>
      <c r="AA403" s="6" t="s">
        <v>83</v>
      </c>
      <c r="AB403" s="6">
        <v>1161.9100000000001</v>
      </c>
      <c r="AC403" s="6">
        <v>59.95</v>
      </c>
      <c r="AD403" s="6">
        <v>0</v>
      </c>
      <c r="AE403" s="6">
        <v>0</v>
      </c>
      <c r="AF403" s="6">
        <v>0</v>
      </c>
      <c r="AG403" s="6">
        <v>0</v>
      </c>
      <c r="AH403" s="6">
        <v>0</v>
      </c>
      <c r="AI403" s="6" t="s">
        <v>248</v>
      </c>
      <c r="AJ403" s="6" t="s">
        <v>858</v>
      </c>
      <c r="AK403" s="6" t="s">
        <v>16</v>
      </c>
      <c r="AL403" s="6" t="s">
        <v>58</v>
      </c>
      <c r="AM403" s="6" t="s">
        <v>74</v>
      </c>
      <c r="AN403" s="6" t="s">
        <v>20</v>
      </c>
      <c r="AO403" s="6" t="s">
        <v>250</v>
      </c>
      <c r="AP403" s="6" t="s">
        <v>251</v>
      </c>
      <c r="AQ403" s="6" t="s">
        <v>18</v>
      </c>
    </row>
    <row r="404" spans="1:43" x14ac:dyDescent="0.25">
      <c r="A404" s="6">
        <v>22723974</v>
      </c>
      <c r="B404" s="6">
        <v>23522234</v>
      </c>
      <c r="C404" s="6" t="s">
        <v>237</v>
      </c>
      <c r="D404" s="14">
        <v>45880.730324074073</v>
      </c>
      <c r="E404" s="14">
        <v>45880.734386574077</v>
      </c>
      <c r="F404" s="6" t="s">
        <v>17</v>
      </c>
      <c r="G404" s="6" t="s">
        <v>17</v>
      </c>
      <c r="H404" s="6" t="s">
        <v>1601</v>
      </c>
      <c r="I404" s="6" t="s">
        <v>16</v>
      </c>
      <c r="J404" s="6" t="s">
        <v>1602</v>
      </c>
      <c r="K404" s="6" t="s">
        <v>372</v>
      </c>
      <c r="L404" s="6" t="s">
        <v>372</v>
      </c>
      <c r="M404" s="14">
        <v>45880.62777777778</v>
      </c>
      <c r="N404" s="6" t="s">
        <v>1603</v>
      </c>
      <c r="O404" s="6" t="s">
        <v>83</v>
      </c>
      <c r="P404" s="6" t="s">
        <v>242</v>
      </c>
      <c r="Q404" s="6" t="s">
        <v>616</v>
      </c>
      <c r="R404" s="6" t="s">
        <v>616</v>
      </c>
      <c r="S404" s="6" t="s">
        <v>9</v>
      </c>
      <c r="T404" s="6" t="s">
        <v>245</v>
      </c>
      <c r="U404" s="6" t="s">
        <v>119</v>
      </c>
      <c r="V404" s="6" t="s">
        <v>1547</v>
      </c>
      <c r="W404" s="6" t="s">
        <v>83</v>
      </c>
      <c r="X404" s="6" t="s">
        <v>1604</v>
      </c>
      <c r="Y404" s="6" t="s">
        <v>83</v>
      </c>
      <c r="Z404" s="6" t="s">
        <v>54</v>
      </c>
      <c r="AA404" s="6" t="s">
        <v>83</v>
      </c>
      <c r="AB404" s="6">
        <v>3706.7579999999998</v>
      </c>
      <c r="AC404" s="6">
        <v>0</v>
      </c>
      <c r="AD404" s="6">
        <v>0</v>
      </c>
      <c r="AE404" s="6">
        <v>0</v>
      </c>
      <c r="AF404" s="6">
        <v>0</v>
      </c>
      <c r="AG404" s="6">
        <v>0</v>
      </c>
      <c r="AH404" s="6">
        <v>0</v>
      </c>
      <c r="AI404" s="6" t="s">
        <v>248</v>
      </c>
      <c r="AJ404" s="6" t="s">
        <v>377</v>
      </c>
      <c r="AK404" s="6" t="s">
        <v>16</v>
      </c>
      <c r="AL404" s="6" t="s">
        <v>50</v>
      </c>
      <c r="AM404" s="6" t="s">
        <v>260</v>
      </c>
      <c r="AN404" s="6" t="s">
        <v>20</v>
      </c>
      <c r="AO404" s="6" t="s">
        <v>261</v>
      </c>
      <c r="AP404" s="6" t="s">
        <v>262</v>
      </c>
      <c r="AQ404" s="6" t="s">
        <v>30</v>
      </c>
    </row>
    <row r="405" spans="1:43" x14ac:dyDescent="0.25">
      <c r="A405" s="6">
        <v>22723974</v>
      </c>
      <c r="B405" s="6">
        <v>23522235</v>
      </c>
      <c r="C405" s="6" t="s">
        <v>378</v>
      </c>
      <c r="D405" s="14">
        <v>45880.730324074073</v>
      </c>
      <c r="E405" s="14">
        <v>45880.734386574077</v>
      </c>
      <c r="F405" s="6" t="s">
        <v>17</v>
      </c>
      <c r="G405" s="6" t="s">
        <v>17</v>
      </c>
      <c r="H405" s="6" t="s">
        <v>1601</v>
      </c>
      <c r="I405" s="6" t="s">
        <v>16</v>
      </c>
      <c r="J405" s="6" t="s">
        <v>1602</v>
      </c>
      <c r="K405" s="6" t="s">
        <v>372</v>
      </c>
      <c r="L405" s="6" t="s">
        <v>372</v>
      </c>
      <c r="M405" s="14">
        <v>45880.62777777778</v>
      </c>
      <c r="N405" s="6" t="s">
        <v>1603</v>
      </c>
      <c r="O405" s="6" t="s">
        <v>83</v>
      </c>
      <c r="P405" s="6" t="s">
        <v>242</v>
      </c>
      <c r="Q405" s="6" t="s">
        <v>616</v>
      </c>
      <c r="R405" s="6" t="s">
        <v>616</v>
      </c>
      <c r="S405" s="6" t="s">
        <v>9</v>
      </c>
      <c r="T405" s="6" t="s">
        <v>245</v>
      </c>
      <c r="U405" s="6" t="s">
        <v>119</v>
      </c>
      <c r="V405" s="6" t="s">
        <v>1547</v>
      </c>
      <c r="W405" s="6" t="s">
        <v>83</v>
      </c>
      <c r="X405" s="6" t="s">
        <v>83</v>
      </c>
      <c r="Y405" s="6" t="s">
        <v>83</v>
      </c>
      <c r="Z405" s="6" t="s">
        <v>54</v>
      </c>
      <c r="AA405" s="6" t="s">
        <v>83</v>
      </c>
      <c r="AB405" s="6">
        <v>541.36500000000001</v>
      </c>
      <c r="AC405" s="6">
        <v>0</v>
      </c>
      <c r="AD405" s="6">
        <v>0</v>
      </c>
      <c r="AE405" s="6">
        <v>0</v>
      </c>
      <c r="AF405" s="6">
        <v>0</v>
      </c>
      <c r="AG405" s="6">
        <v>0</v>
      </c>
      <c r="AH405" s="6">
        <v>0</v>
      </c>
      <c r="AI405" s="6" t="s">
        <v>248</v>
      </c>
      <c r="AJ405" s="6" t="s">
        <v>377</v>
      </c>
      <c r="AK405" s="6" t="s">
        <v>16</v>
      </c>
      <c r="AL405" s="6" t="s">
        <v>50</v>
      </c>
      <c r="AM405" s="6" t="s">
        <v>260</v>
      </c>
      <c r="AN405" s="6" t="s">
        <v>20</v>
      </c>
      <c r="AO405" s="6" t="s">
        <v>261</v>
      </c>
      <c r="AP405" s="6" t="s">
        <v>262</v>
      </c>
      <c r="AQ405" s="6" t="s">
        <v>30</v>
      </c>
    </row>
    <row r="406" spans="1:43" x14ac:dyDescent="0.25">
      <c r="A406" s="6">
        <v>22709769</v>
      </c>
      <c r="B406" s="6">
        <v>23511141</v>
      </c>
      <c r="C406" s="6" t="s">
        <v>237</v>
      </c>
      <c r="D406" s="14">
        <v>45877.731087962973</v>
      </c>
      <c r="E406" s="14">
        <v>45877.73369212963</v>
      </c>
      <c r="F406" s="6" t="s">
        <v>19</v>
      </c>
      <c r="G406" s="6" t="s">
        <v>19</v>
      </c>
      <c r="H406" s="6" t="s">
        <v>1605</v>
      </c>
      <c r="I406" s="6" t="s">
        <v>16</v>
      </c>
      <c r="J406" s="6" t="s">
        <v>1606</v>
      </c>
      <c r="K406" s="6" t="s">
        <v>372</v>
      </c>
      <c r="L406" s="6" t="s">
        <v>372</v>
      </c>
      <c r="M406" s="14">
        <v>45877.5</v>
      </c>
      <c r="N406" s="6" t="s">
        <v>1607</v>
      </c>
      <c r="O406" s="6" t="s">
        <v>83</v>
      </c>
      <c r="P406" s="6" t="s">
        <v>242</v>
      </c>
      <c r="Q406" s="6" t="s">
        <v>616</v>
      </c>
      <c r="R406" s="6" t="s">
        <v>616</v>
      </c>
      <c r="S406" s="6" t="s">
        <v>9</v>
      </c>
      <c r="T406" s="6" t="s">
        <v>245</v>
      </c>
      <c r="U406" s="6" t="s">
        <v>119</v>
      </c>
      <c r="V406" s="6" t="s">
        <v>1608</v>
      </c>
      <c r="W406" s="6" t="s">
        <v>83</v>
      </c>
      <c r="X406" s="6" t="s">
        <v>83</v>
      </c>
      <c r="Y406" s="6" t="s">
        <v>83</v>
      </c>
      <c r="Z406" s="6" t="s">
        <v>54</v>
      </c>
      <c r="AA406" s="6" t="s">
        <v>83</v>
      </c>
      <c r="AB406" s="6">
        <v>1778.9176</v>
      </c>
      <c r="AC406" s="6">
        <v>0</v>
      </c>
      <c r="AD406" s="6">
        <v>0</v>
      </c>
      <c r="AE406" s="6">
        <v>0</v>
      </c>
      <c r="AF406" s="6">
        <v>0</v>
      </c>
      <c r="AG406" s="6">
        <v>0</v>
      </c>
      <c r="AH406" s="6">
        <v>0</v>
      </c>
      <c r="AI406" s="6" t="s">
        <v>248</v>
      </c>
      <c r="AJ406" s="6" t="s">
        <v>259</v>
      </c>
      <c r="AK406" s="6" t="s">
        <v>16</v>
      </c>
      <c r="AL406" s="6" t="s">
        <v>50</v>
      </c>
      <c r="AM406" s="6" t="s">
        <v>260</v>
      </c>
      <c r="AN406" s="6" t="s">
        <v>20</v>
      </c>
      <c r="AO406" s="6" t="s">
        <v>261</v>
      </c>
      <c r="AP406" s="6" t="s">
        <v>262</v>
      </c>
      <c r="AQ406" s="6" t="s">
        <v>30</v>
      </c>
    </row>
    <row r="407" spans="1:43" x14ac:dyDescent="0.25">
      <c r="A407" s="6">
        <v>22709770</v>
      </c>
      <c r="B407" s="6">
        <v>23511142</v>
      </c>
      <c r="C407" s="6" t="s">
        <v>237</v>
      </c>
      <c r="D407" s="14">
        <v>45877.731168981481</v>
      </c>
      <c r="E407" s="14">
        <v>45877.733703703707</v>
      </c>
      <c r="F407" s="6" t="s">
        <v>19</v>
      </c>
      <c r="G407" s="6" t="s">
        <v>19</v>
      </c>
      <c r="H407" s="6" t="s">
        <v>1609</v>
      </c>
      <c r="I407" s="6" t="s">
        <v>16</v>
      </c>
      <c r="J407" s="6" t="s">
        <v>1606</v>
      </c>
      <c r="K407" s="6" t="s">
        <v>372</v>
      </c>
      <c r="L407" s="6" t="s">
        <v>372</v>
      </c>
      <c r="M407" s="14">
        <v>45877.508333333331</v>
      </c>
      <c r="N407" s="6" t="s">
        <v>1610</v>
      </c>
      <c r="O407" s="6" t="s">
        <v>83</v>
      </c>
      <c r="P407" s="6" t="s">
        <v>242</v>
      </c>
      <c r="Q407" s="6" t="s">
        <v>616</v>
      </c>
      <c r="R407" s="6" t="s">
        <v>616</v>
      </c>
      <c r="S407" s="6" t="s">
        <v>9</v>
      </c>
      <c r="T407" s="6" t="s">
        <v>245</v>
      </c>
      <c r="U407" s="6" t="s">
        <v>119</v>
      </c>
      <c r="V407" s="6" t="s">
        <v>1608</v>
      </c>
      <c r="W407" s="6" t="s">
        <v>83</v>
      </c>
      <c r="X407" s="6" t="s">
        <v>83</v>
      </c>
      <c r="Y407" s="6" t="s">
        <v>83</v>
      </c>
      <c r="Z407" s="6" t="s">
        <v>54</v>
      </c>
      <c r="AA407" s="6" t="s">
        <v>83</v>
      </c>
      <c r="AB407" s="6">
        <v>2123.6095999999998</v>
      </c>
      <c r="AC407" s="6">
        <v>0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 t="s">
        <v>248</v>
      </c>
      <c r="AJ407" s="6" t="s">
        <v>259</v>
      </c>
      <c r="AK407" s="6" t="s">
        <v>16</v>
      </c>
      <c r="AL407" s="6" t="s">
        <v>50</v>
      </c>
      <c r="AM407" s="6" t="s">
        <v>260</v>
      </c>
      <c r="AN407" s="6" t="s">
        <v>20</v>
      </c>
      <c r="AO407" s="6" t="s">
        <v>261</v>
      </c>
      <c r="AP407" s="6" t="s">
        <v>262</v>
      </c>
      <c r="AQ407" s="6" t="s">
        <v>30</v>
      </c>
    </row>
    <row r="408" spans="1:43" x14ac:dyDescent="0.25">
      <c r="A408" s="6">
        <v>22709774</v>
      </c>
      <c r="B408" s="6">
        <v>23511144</v>
      </c>
      <c r="C408" s="6" t="s">
        <v>237</v>
      </c>
      <c r="D408" s="14">
        <v>45877.731249999997</v>
      </c>
      <c r="E408" s="14">
        <v>45877.733703703707</v>
      </c>
      <c r="F408" s="6" t="s">
        <v>19</v>
      </c>
      <c r="G408" s="6" t="s">
        <v>19</v>
      </c>
      <c r="H408" s="6" t="s">
        <v>1611</v>
      </c>
      <c r="I408" s="6" t="s">
        <v>16</v>
      </c>
      <c r="J408" s="6" t="s">
        <v>1606</v>
      </c>
      <c r="K408" s="6" t="s">
        <v>372</v>
      </c>
      <c r="L408" s="6" t="s">
        <v>372</v>
      </c>
      <c r="M408" s="14">
        <v>45877.515972222223</v>
      </c>
      <c r="N408" s="6" t="s">
        <v>1612</v>
      </c>
      <c r="O408" s="6" t="s">
        <v>83</v>
      </c>
      <c r="P408" s="6" t="s">
        <v>242</v>
      </c>
      <c r="Q408" s="6" t="s">
        <v>616</v>
      </c>
      <c r="R408" s="6" t="s">
        <v>616</v>
      </c>
      <c r="S408" s="6" t="s">
        <v>9</v>
      </c>
      <c r="T408" s="6" t="s">
        <v>245</v>
      </c>
      <c r="U408" s="6" t="s">
        <v>119</v>
      </c>
      <c r="V408" s="6" t="s">
        <v>1608</v>
      </c>
      <c r="W408" s="6" t="s">
        <v>83</v>
      </c>
      <c r="X408" s="6" t="s">
        <v>83</v>
      </c>
      <c r="Y408" s="6" t="s">
        <v>83</v>
      </c>
      <c r="Z408" s="6" t="s">
        <v>54</v>
      </c>
      <c r="AA408" s="6" t="s">
        <v>83</v>
      </c>
      <c r="AB408" s="6">
        <v>852.46879999999999</v>
      </c>
      <c r="AC408" s="6">
        <v>0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 t="s">
        <v>248</v>
      </c>
      <c r="AJ408" s="6" t="s">
        <v>259</v>
      </c>
      <c r="AK408" s="6" t="s">
        <v>16</v>
      </c>
      <c r="AL408" s="6" t="s">
        <v>50</v>
      </c>
      <c r="AM408" s="6" t="s">
        <v>260</v>
      </c>
      <c r="AN408" s="6" t="s">
        <v>20</v>
      </c>
      <c r="AO408" s="6" t="s">
        <v>261</v>
      </c>
      <c r="AP408" s="6" t="s">
        <v>262</v>
      </c>
      <c r="AQ408" s="6" t="s">
        <v>30</v>
      </c>
    </row>
    <row r="409" spans="1:43" x14ac:dyDescent="0.25">
      <c r="A409" s="6">
        <v>22703619</v>
      </c>
      <c r="B409" s="6">
        <v>23505715</v>
      </c>
      <c r="C409" s="6" t="s">
        <v>237</v>
      </c>
      <c r="D409" s="14">
        <v>45876.792222222219</v>
      </c>
      <c r="E409" s="14">
        <v>45876.796180555553</v>
      </c>
      <c r="F409" s="6" t="s">
        <v>21</v>
      </c>
      <c r="G409" s="6" t="s">
        <v>21</v>
      </c>
      <c r="H409" s="6" t="s">
        <v>1613</v>
      </c>
      <c r="I409" s="6" t="s">
        <v>16</v>
      </c>
      <c r="J409" s="6" t="s">
        <v>1614</v>
      </c>
      <c r="K409" s="6" t="s">
        <v>372</v>
      </c>
      <c r="L409" s="6" t="s">
        <v>372</v>
      </c>
      <c r="M409" s="14">
        <v>45876.504861111112</v>
      </c>
      <c r="N409" s="6" t="s">
        <v>1615</v>
      </c>
      <c r="O409" s="6" t="s">
        <v>83</v>
      </c>
      <c r="P409" s="6" t="s">
        <v>242</v>
      </c>
      <c r="Q409" s="6" t="s">
        <v>616</v>
      </c>
      <c r="R409" s="6" t="s">
        <v>616</v>
      </c>
      <c r="S409" s="6" t="s">
        <v>9</v>
      </c>
      <c r="T409" s="6" t="s">
        <v>245</v>
      </c>
      <c r="U409" s="6" t="s">
        <v>119</v>
      </c>
      <c r="V409" s="6" t="s">
        <v>1547</v>
      </c>
      <c r="W409" s="6" t="s">
        <v>83</v>
      </c>
      <c r="X409" s="6" t="s">
        <v>83</v>
      </c>
      <c r="Y409" s="6" t="s">
        <v>83</v>
      </c>
      <c r="Z409" s="6" t="s">
        <v>54</v>
      </c>
      <c r="AA409" s="6" t="s">
        <v>83</v>
      </c>
      <c r="AB409" s="6">
        <v>1256.269</v>
      </c>
      <c r="AC409" s="6">
        <v>0</v>
      </c>
      <c r="AD409" s="6">
        <v>0</v>
      </c>
      <c r="AE409" s="6">
        <v>0</v>
      </c>
      <c r="AF409" s="6">
        <v>0</v>
      </c>
      <c r="AG409" s="6">
        <v>0</v>
      </c>
      <c r="AH409" s="6">
        <v>0</v>
      </c>
      <c r="AI409" s="6" t="s">
        <v>248</v>
      </c>
      <c r="AJ409" s="6" t="s">
        <v>259</v>
      </c>
      <c r="AK409" s="6" t="s">
        <v>16</v>
      </c>
      <c r="AL409" s="6" t="s">
        <v>50</v>
      </c>
      <c r="AM409" s="6" t="s">
        <v>260</v>
      </c>
      <c r="AN409" s="6" t="s">
        <v>20</v>
      </c>
      <c r="AO409" s="6" t="s">
        <v>261</v>
      </c>
      <c r="AP409" s="6" t="s">
        <v>262</v>
      </c>
      <c r="AQ409" s="6" t="s">
        <v>30</v>
      </c>
    </row>
    <row r="410" spans="1:43" x14ac:dyDescent="0.25">
      <c r="A410" s="6">
        <v>22694290</v>
      </c>
      <c r="B410" s="6">
        <v>23497143</v>
      </c>
      <c r="C410" s="6" t="s">
        <v>237</v>
      </c>
      <c r="D410" s="14">
        <v>45875.647488425922</v>
      </c>
      <c r="E410" s="14">
        <v>45875.649212962962</v>
      </c>
      <c r="F410" s="6" t="s">
        <v>21</v>
      </c>
      <c r="G410" s="6" t="s">
        <v>21</v>
      </c>
      <c r="H410" s="6" t="s">
        <v>1616</v>
      </c>
      <c r="I410" s="6" t="s">
        <v>16</v>
      </c>
      <c r="J410" s="6" t="s">
        <v>1617</v>
      </c>
      <c r="K410" s="6" t="s">
        <v>372</v>
      </c>
      <c r="L410" s="6" t="s">
        <v>372</v>
      </c>
      <c r="M410" s="14">
        <v>45875.539583333331</v>
      </c>
      <c r="N410" s="6" t="s">
        <v>1618</v>
      </c>
      <c r="O410" s="6" t="s">
        <v>83</v>
      </c>
      <c r="P410" s="6" t="s">
        <v>242</v>
      </c>
      <c r="Q410" s="6" t="s">
        <v>256</v>
      </c>
      <c r="R410" s="6" t="s">
        <v>424</v>
      </c>
      <c r="S410" s="6" t="s">
        <v>7</v>
      </c>
      <c r="T410" s="6" t="s">
        <v>245</v>
      </c>
      <c r="U410" s="6" t="s">
        <v>119</v>
      </c>
      <c r="V410" s="6" t="s">
        <v>1590</v>
      </c>
      <c r="W410" s="6" t="s">
        <v>83</v>
      </c>
      <c r="X410" s="6" t="s">
        <v>306</v>
      </c>
      <c r="Y410" s="6">
        <v>7700074988</v>
      </c>
      <c r="Z410" s="6" t="s">
        <v>54</v>
      </c>
      <c r="AA410" s="6" t="s">
        <v>83</v>
      </c>
      <c r="AB410" s="6">
        <v>453.09</v>
      </c>
      <c r="AC410" s="6">
        <v>60.62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 t="s">
        <v>248</v>
      </c>
      <c r="AJ410" s="6" t="s">
        <v>858</v>
      </c>
      <c r="AK410" s="6" t="s">
        <v>16</v>
      </c>
      <c r="AL410" s="6" t="s">
        <v>58</v>
      </c>
      <c r="AM410" s="6" t="s">
        <v>74</v>
      </c>
      <c r="AN410" s="6" t="s">
        <v>20</v>
      </c>
      <c r="AO410" s="6" t="s">
        <v>250</v>
      </c>
      <c r="AP410" s="6" t="s">
        <v>251</v>
      </c>
      <c r="AQ410" s="6" t="s">
        <v>18</v>
      </c>
    </row>
    <row r="411" spans="1:43" x14ac:dyDescent="0.25">
      <c r="A411" s="6">
        <v>22729016</v>
      </c>
      <c r="B411" s="6">
        <v>23526564</v>
      </c>
      <c r="C411" s="6" t="s">
        <v>237</v>
      </c>
      <c r="D411" s="14">
        <v>45881.490567129629</v>
      </c>
      <c r="E411" s="14">
        <v>45881.492071759261</v>
      </c>
      <c r="F411" s="6" t="s">
        <v>17</v>
      </c>
      <c r="G411" s="6" t="s">
        <v>17</v>
      </c>
      <c r="H411" s="6" t="s">
        <v>1619</v>
      </c>
      <c r="I411" s="6" t="s">
        <v>16</v>
      </c>
      <c r="J411" s="6" t="s">
        <v>1620</v>
      </c>
      <c r="K411" s="6" t="s">
        <v>372</v>
      </c>
      <c r="L411" s="6" t="s">
        <v>372</v>
      </c>
      <c r="M411" s="14">
        <v>45880.913888888892</v>
      </c>
      <c r="N411" s="6" t="s">
        <v>1621</v>
      </c>
      <c r="O411" s="6" t="s">
        <v>83</v>
      </c>
      <c r="P411" s="6" t="s">
        <v>242</v>
      </c>
      <c r="Q411" s="6" t="s">
        <v>616</v>
      </c>
      <c r="R411" s="6" t="s">
        <v>616</v>
      </c>
      <c r="S411" s="6" t="s">
        <v>9</v>
      </c>
      <c r="T411" s="6" t="s">
        <v>245</v>
      </c>
      <c r="U411" s="6" t="s">
        <v>119</v>
      </c>
      <c r="V411" s="6" t="s">
        <v>1547</v>
      </c>
      <c r="W411" s="6" t="s">
        <v>83</v>
      </c>
      <c r="X411" s="6" t="s">
        <v>83</v>
      </c>
      <c r="Y411" s="6" t="s">
        <v>83</v>
      </c>
      <c r="Z411" s="6" t="s">
        <v>54</v>
      </c>
      <c r="AA411" s="6" t="s">
        <v>83</v>
      </c>
      <c r="AB411" s="6">
        <v>1312.0139999999999</v>
      </c>
      <c r="AC411" s="6">
        <v>14</v>
      </c>
      <c r="AD411" s="6">
        <v>0</v>
      </c>
      <c r="AE411" s="6">
        <v>0</v>
      </c>
      <c r="AF411" s="6">
        <v>0</v>
      </c>
      <c r="AG411" s="6">
        <v>0</v>
      </c>
      <c r="AH411" s="6">
        <v>0</v>
      </c>
      <c r="AI411" s="6" t="s">
        <v>248</v>
      </c>
      <c r="AJ411" s="6" t="s">
        <v>259</v>
      </c>
      <c r="AK411" s="6" t="s">
        <v>16</v>
      </c>
      <c r="AL411" s="6" t="s">
        <v>50</v>
      </c>
      <c r="AM411" s="6" t="s">
        <v>260</v>
      </c>
      <c r="AN411" s="6" t="s">
        <v>20</v>
      </c>
      <c r="AO411" s="6" t="s">
        <v>261</v>
      </c>
      <c r="AP411" s="6" t="s">
        <v>262</v>
      </c>
      <c r="AQ411" s="6" t="s">
        <v>30</v>
      </c>
    </row>
    <row r="412" spans="1:43" x14ac:dyDescent="0.25">
      <c r="A412" s="6">
        <v>22728219</v>
      </c>
      <c r="B412" s="6">
        <v>23525823</v>
      </c>
      <c r="C412" s="6" t="s">
        <v>237</v>
      </c>
      <c r="D412" s="14">
        <v>45881.375798611109</v>
      </c>
      <c r="E412" s="14">
        <v>45881.379490740743</v>
      </c>
      <c r="F412" s="6" t="s">
        <v>17</v>
      </c>
      <c r="G412" s="6" t="s">
        <v>17</v>
      </c>
      <c r="H412" s="6" t="s">
        <v>1622</v>
      </c>
      <c r="I412" s="6" t="s">
        <v>16</v>
      </c>
      <c r="J412" s="6" t="s">
        <v>1620</v>
      </c>
      <c r="K412" s="6" t="s">
        <v>372</v>
      </c>
      <c r="L412" s="6" t="s">
        <v>372</v>
      </c>
      <c r="M412" s="14">
        <v>45880.905555555553</v>
      </c>
      <c r="N412" s="6" t="s">
        <v>1623</v>
      </c>
      <c r="O412" s="6" t="s">
        <v>83</v>
      </c>
      <c r="P412" s="6" t="s">
        <v>242</v>
      </c>
      <c r="Q412" s="6" t="s">
        <v>616</v>
      </c>
      <c r="R412" s="6" t="s">
        <v>616</v>
      </c>
      <c r="S412" s="6" t="s">
        <v>9</v>
      </c>
      <c r="T412" s="6" t="s">
        <v>245</v>
      </c>
      <c r="U412" s="6" t="s">
        <v>119</v>
      </c>
      <c r="V412" s="6" t="s">
        <v>1547</v>
      </c>
      <c r="W412" s="6" t="s">
        <v>83</v>
      </c>
      <c r="X412" s="6" t="s">
        <v>83</v>
      </c>
      <c r="Y412" s="6" t="s">
        <v>83</v>
      </c>
      <c r="Z412" s="6" t="s">
        <v>54</v>
      </c>
      <c r="AA412" s="6" t="s">
        <v>83</v>
      </c>
      <c r="AB412" s="6">
        <v>1061.5211999999999</v>
      </c>
      <c r="AC412" s="6">
        <v>0</v>
      </c>
      <c r="AD412" s="6">
        <v>0</v>
      </c>
      <c r="AE412" s="6">
        <v>0</v>
      </c>
      <c r="AF412" s="6">
        <v>0</v>
      </c>
      <c r="AG412" s="6">
        <v>0</v>
      </c>
      <c r="AH412" s="6">
        <v>0</v>
      </c>
      <c r="AI412" s="6" t="s">
        <v>248</v>
      </c>
      <c r="AJ412" s="6" t="s">
        <v>259</v>
      </c>
      <c r="AK412" s="6" t="s">
        <v>16</v>
      </c>
      <c r="AL412" s="6" t="s">
        <v>50</v>
      </c>
      <c r="AM412" s="6" t="s">
        <v>260</v>
      </c>
      <c r="AN412" s="6" t="s">
        <v>20</v>
      </c>
      <c r="AO412" s="6" t="s">
        <v>261</v>
      </c>
      <c r="AP412" s="6" t="s">
        <v>262</v>
      </c>
      <c r="AQ412" s="6" t="s">
        <v>30</v>
      </c>
    </row>
    <row r="413" spans="1:43" x14ac:dyDescent="0.25">
      <c r="A413" s="6">
        <v>22731026</v>
      </c>
      <c r="B413" s="6">
        <v>23528519</v>
      </c>
      <c r="C413" s="6" t="s">
        <v>237</v>
      </c>
      <c r="D413" s="14">
        <v>45881.698310185187</v>
      </c>
      <c r="E413" s="14">
        <v>45881.702291666668</v>
      </c>
      <c r="F413" s="6" t="s">
        <v>17</v>
      </c>
      <c r="G413" s="6" t="s">
        <v>17</v>
      </c>
      <c r="H413" s="6" t="s">
        <v>1624</v>
      </c>
      <c r="I413" s="6" t="s">
        <v>16</v>
      </c>
      <c r="J413" s="6" t="s">
        <v>1625</v>
      </c>
      <c r="K413" s="6" t="s">
        <v>359</v>
      </c>
      <c r="L413" s="6" t="s">
        <v>372</v>
      </c>
      <c r="M413" s="14">
        <v>45881.53125</v>
      </c>
      <c r="N413" s="6" t="s">
        <v>1624</v>
      </c>
      <c r="O413" s="6" t="s">
        <v>83</v>
      </c>
      <c r="P413" s="6" t="s">
        <v>242</v>
      </c>
      <c r="Q413" s="6" t="s">
        <v>361</v>
      </c>
      <c r="R413" s="6" t="s">
        <v>339</v>
      </c>
      <c r="S413" s="6" t="s">
        <v>7</v>
      </c>
      <c r="T413" s="6" t="s">
        <v>245</v>
      </c>
      <c r="U413" s="6" t="s">
        <v>119</v>
      </c>
      <c r="V413" s="6" t="s">
        <v>1547</v>
      </c>
      <c r="W413" s="6" t="s">
        <v>83</v>
      </c>
      <c r="X413" s="6" t="s">
        <v>247</v>
      </c>
      <c r="Y413" s="6">
        <v>2952834980</v>
      </c>
      <c r="Z413" s="6" t="s">
        <v>54</v>
      </c>
      <c r="AA413" s="6" t="s">
        <v>83</v>
      </c>
      <c r="AB413" s="6">
        <v>0</v>
      </c>
      <c r="AC413" s="6">
        <v>0</v>
      </c>
      <c r="AD413" s="6">
        <v>450</v>
      </c>
      <c r="AE413" s="6">
        <v>0</v>
      </c>
      <c r="AF413" s="6">
        <v>6.06</v>
      </c>
      <c r="AG413" s="6">
        <v>0</v>
      </c>
      <c r="AH413" s="6">
        <v>0</v>
      </c>
      <c r="AI413" s="6" t="s">
        <v>248</v>
      </c>
      <c r="AJ413" s="6" t="s">
        <v>381</v>
      </c>
      <c r="AK413" s="6" t="s">
        <v>16</v>
      </c>
      <c r="AL413" s="6" t="s">
        <v>55</v>
      </c>
      <c r="AM413" s="6" t="s">
        <v>363</v>
      </c>
      <c r="AN413" s="6" t="s">
        <v>20</v>
      </c>
      <c r="AO413" s="6" t="s">
        <v>250</v>
      </c>
      <c r="AP413" s="6" t="s">
        <v>251</v>
      </c>
      <c r="AQ413" s="6" t="s">
        <v>33</v>
      </c>
    </row>
    <row r="414" spans="1:43" x14ac:dyDescent="0.25">
      <c r="A414" s="6">
        <v>22709100</v>
      </c>
      <c r="B414" s="6">
        <v>23510512</v>
      </c>
      <c r="C414" s="6" t="s">
        <v>237</v>
      </c>
      <c r="D414" s="14">
        <v>45877.656759259262</v>
      </c>
      <c r="E414" s="14">
        <v>45877.658750000002</v>
      </c>
      <c r="F414" s="6" t="s">
        <v>19</v>
      </c>
      <c r="G414" s="6" t="s">
        <v>19</v>
      </c>
      <c r="H414" s="6" t="s">
        <v>1626</v>
      </c>
      <c r="I414" s="6" t="s">
        <v>16</v>
      </c>
      <c r="J414" s="6" t="s">
        <v>1627</v>
      </c>
      <c r="K414" s="6" t="s">
        <v>366</v>
      </c>
      <c r="L414" s="6" t="s">
        <v>372</v>
      </c>
      <c r="M414" s="14">
        <v>45877.416666666657</v>
      </c>
      <c r="N414" s="6" t="s">
        <v>1626</v>
      </c>
      <c r="O414" s="6" t="s">
        <v>83</v>
      </c>
      <c r="P414" s="6" t="s">
        <v>242</v>
      </c>
      <c r="Q414" s="6" t="s">
        <v>361</v>
      </c>
      <c r="R414" s="6" t="s">
        <v>339</v>
      </c>
      <c r="S414" s="6" t="s">
        <v>7</v>
      </c>
      <c r="T414" s="6" t="s">
        <v>245</v>
      </c>
      <c r="U414" s="6" t="s">
        <v>119</v>
      </c>
      <c r="V414" s="6" t="s">
        <v>1590</v>
      </c>
      <c r="W414" s="6" t="s">
        <v>83</v>
      </c>
      <c r="X414" s="6" t="s">
        <v>247</v>
      </c>
      <c r="Y414" s="6">
        <v>2952816567</v>
      </c>
      <c r="Z414" s="6" t="s">
        <v>54</v>
      </c>
      <c r="AA414" s="6" t="s">
        <v>83</v>
      </c>
      <c r="AB414" s="6">
        <v>0</v>
      </c>
      <c r="AC414" s="6">
        <v>0</v>
      </c>
      <c r="AD414" s="6">
        <v>450</v>
      </c>
      <c r="AE414" s="6">
        <v>0</v>
      </c>
      <c r="AF414" s="6">
        <v>0</v>
      </c>
      <c r="AG414" s="6">
        <v>0</v>
      </c>
      <c r="AH414" s="6">
        <v>0</v>
      </c>
      <c r="AI414" s="6" t="s">
        <v>248</v>
      </c>
      <c r="AJ414" s="6" t="s">
        <v>1628</v>
      </c>
      <c r="AK414" s="6" t="s">
        <v>16</v>
      </c>
      <c r="AL414" s="6" t="s">
        <v>51</v>
      </c>
      <c r="AM414" s="6" t="s">
        <v>342</v>
      </c>
      <c r="AN414" s="6" t="s">
        <v>26</v>
      </c>
      <c r="AO414" s="6" t="s">
        <v>250</v>
      </c>
      <c r="AP414" s="6" t="s">
        <v>262</v>
      </c>
      <c r="AQ414" s="6" t="s">
        <v>24</v>
      </c>
    </row>
    <row r="415" spans="1:43" x14ac:dyDescent="0.25">
      <c r="A415" s="6">
        <v>22707837</v>
      </c>
      <c r="B415" s="6">
        <v>23509294</v>
      </c>
      <c r="C415" s="6" t="s">
        <v>237</v>
      </c>
      <c r="D415" s="14">
        <v>45877.51085648148</v>
      </c>
      <c r="E415" s="14">
        <v>45877.512824074067</v>
      </c>
      <c r="F415" s="6" t="s">
        <v>19</v>
      </c>
      <c r="G415" s="6" t="s">
        <v>19</v>
      </c>
      <c r="H415" s="6" t="s">
        <v>1629</v>
      </c>
      <c r="I415" s="6" t="s">
        <v>16</v>
      </c>
      <c r="J415" s="6" t="s">
        <v>1630</v>
      </c>
      <c r="K415" s="6" t="s">
        <v>366</v>
      </c>
      <c r="L415" s="6" t="s">
        <v>372</v>
      </c>
      <c r="M415" s="14">
        <v>45855.421527777777</v>
      </c>
      <c r="N415" s="6" t="s">
        <v>1629</v>
      </c>
      <c r="O415" s="6" t="s">
        <v>83</v>
      </c>
      <c r="P415" s="6" t="s">
        <v>242</v>
      </c>
      <c r="Q415" s="6" t="s">
        <v>243</v>
      </c>
      <c r="R415" s="6" t="s">
        <v>244</v>
      </c>
      <c r="S415" s="6" t="s">
        <v>7</v>
      </c>
      <c r="T415" s="6" t="s">
        <v>245</v>
      </c>
      <c r="U415" s="6" t="s">
        <v>119</v>
      </c>
      <c r="V415" s="6" t="s">
        <v>1547</v>
      </c>
      <c r="W415" s="6" t="s">
        <v>83</v>
      </c>
      <c r="X415" s="6" t="s">
        <v>247</v>
      </c>
      <c r="Y415" s="6">
        <v>2971499788</v>
      </c>
      <c r="Z415" s="6" t="s">
        <v>54</v>
      </c>
      <c r="AA415" s="6" t="s">
        <v>83</v>
      </c>
      <c r="AB415" s="6">
        <v>1516.8013000000001</v>
      </c>
      <c r="AC415" s="6">
        <v>48.3</v>
      </c>
      <c r="AD415" s="6">
        <v>0</v>
      </c>
      <c r="AE415" s="6">
        <v>0</v>
      </c>
      <c r="AF415" s="6">
        <v>48.3</v>
      </c>
      <c r="AG415" s="6">
        <v>0</v>
      </c>
      <c r="AH415" s="6">
        <v>0</v>
      </c>
      <c r="AI415" s="6" t="s">
        <v>248</v>
      </c>
      <c r="AJ415" s="6" t="s">
        <v>1631</v>
      </c>
      <c r="AK415" s="6" t="s">
        <v>16</v>
      </c>
      <c r="AL415" s="6" t="s">
        <v>51</v>
      </c>
      <c r="AM415" s="6" t="s">
        <v>342</v>
      </c>
      <c r="AN415" s="6" t="s">
        <v>26</v>
      </c>
      <c r="AO415" s="6" t="s">
        <v>250</v>
      </c>
      <c r="AP415" s="6" t="s">
        <v>262</v>
      </c>
      <c r="AQ415" s="6" t="s">
        <v>24</v>
      </c>
    </row>
    <row r="416" spans="1:43" x14ac:dyDescent="0.25">
      <c r="A416" s="6">
        <v>22730469</v>
      </c>
      <c r="B416" s="6">
        <v>23527963</v>
      </c>
      <c r="C416" s="6" t="s">
        <v>237</v>
      </c>
      <c r="D416" s="14">
        <v>45881.626203703701</v>
      </c>
      <c r="E416" s="14">
        <v>45881.68513888889</v>
      </c>
      <c r="F416" s="6" t="s">
        <v>17</v>
      </c>
      <c r="G416" s="6" t="s">
        <v>17</v>
      </c>
      <c r="H416" s="6" t="s">
        <v>1632</v>
      </c>
      <c r="I416" s="6" t="s">
        <v>16</v>
      </c>
      <c r="J416" s="6" t="s">
        <v>1633</v>
      </c>
      <c r="K416" s="6" t="s">
        <v>366</v>
      </c>
      <c r="L416" s="6" t="s">
        <v>372</v>
      </c>
      <c r="M416" s="14">
        <v>45881.397916666669</v>
      </c>
      <c r="N416" s="6" t="s">
        <v>1632</v>
      </c>
      <c r="O416" s="6" t="s">
        <v>83</v>
      </c>
      <c r="P416" s="6" t="s">
        <v>242</v>
      </c>
      <c r="Q416" s="6" t="s">
        <v>361</v>
      </c>
      <c r="R416" s="6" t="s">
        <v>339</v>
      </c>
      <c r="S416" s="6" t="s">
        <v>7</v>
      </c>
      <c r="T416" s="6" t="s">
        <v>245</v>
      </c>
      <c r="U416" s="6" t="s">
        <v>119</v>
      </c>
      <c r="V416" s="6" t="s">
        <v>1590</v>
      </c>
      <c r="W416" s="6" t="s">
        <v>83</v>
      </c>
      <c r="X416" s="6" t="s">
        <v>247</v>
      </c>
      <c r="Y416" s="6">
        <v>2952834976</v>
      </c>
      <c r="Z416" s="6" t="s">
        <v>54</v>
      </c>
      <c r="AA416" s="6" t="s">
        <v>83</v>
      </c>
      <c r="AB416" s="6">
        <v>0</v>
      </c>
      <c r="AC416" s="6">
        <v>0</v>
      </c>
      <c r="AD416" s="6">
        <v>450</v>
      </c>
      <c r="AE416" s="6">
        <v>0</v>
      </c>
      <c r="AF416" s="6">
        <v>17.7</v>
      </c>
      <c r="AG416" s="6">
        <v>0</v>
      </c>
      <c r="AH416" s="6">
        <v>0</v>
      </c>
      <c r="AI416" s="6" t="s">
        <v>248</v>
      </c>
      <c r="AJ416" s="6" t="s">
        <v>381</v>
      </c>
      <c r="AK416" s="6" t="s">
        <v>16</v>
      </c>
      <c r="AL416" s="6" t="s">
        <v>55</v>
      </c>
      <c r="AM416" s="6" t="s">
        <v>363</v>
      </c>
      <c r="AN416" s="6" t="s">
        <v>20</v>
      </c>
      <c r="AO416" s="6" t="s">
        <v>250</v>
      </c>
      <c r="AP416" s="6" t="s">
        <v>251</v>
      </c>
      <c r="AQ416" s="6" t="s">
        <v>33</v>
      </c>
    </row>
    <row r="417" spans="1:43" x14ac:dyDescent="0.25">
      <c r="A417" s="6">
        <v>22730896</v>
      </c>
      <c r="B417" s="6">
        <v>23528405</v>
      </c>
      <c r="C417" s="6" t="s">
        <v>237</v>
      </c>
      <c r="D417" s="14">
        <v>45881.68246527778</v>
      </c>
      <c r="E417" s="14">
        <v>45881.692210648151</v>
      </c>
      <c r="F417" s="6" t="s">
        <v>17</v>
      </c>
      <c r="G417" s="6" t="s">
        <v>17</v>
      </c>
      <c r="H417" s="6" t="s">
        <v>1634</v>
      </c>
      <c r="I417" s="6" t="s">
        <v>16</v>
      </c>
      <c r="J417" s="6" t="s">
        <v>1635</v>
      </c>
      <c r="K417" s="6" t="s">
        <v>366</v>
      </c>
      <c r="L417" s="6" t="s">
        <v>372</v>
      </c>
      <c r="M417" s="14">
        <v>45881.4375</v>
      </c>
      <c r="N417" s="6" t="s">
        <v>1634</v>
      </c>
      <c r="O417" s="6" t="s">
        <v>83</v>
      </c>
      <c r="P417" s="6" t="s">
        <v>242</v>
      </c>
      <c r="Q417" s="6" t="s">
        <v>361</v>
      </c>
      <c r="R417" s="6" t="s">
        <v>339</v>
      </c>
      <c r="S417" s="6" t="s">
        <v>7</v>
      </c>
      <c r="T417" s="6" t="s">
        <v>245</v>
      </c>
      <c r="U417" s="6" t="s">
        <v>119</v>
      </c>
      <c r="V417" s="6" t="s">
        <v>1547</v>
      </c>
      <c r="W417" s="6" t="s">
        <v>83</v>
      </c>
      <c r="X417" s="6" t="s">
        <v>247</v>
      </c>
      <c r="Y417" s="6">
        <v>2952834978</v>
      </c>
      <c r="Z417" s="6" t="s">
        <v>54</v>
      </c>
      <c r="AA417" s="6" t="s">
        <v>83</v>
      </c>
      <c r="AB417" s="6">
        <v>0</v>
      </c>
      <c r="AC417" s="6">
        <v>0</v>
      </c>
      <c r="AD417" s="6">
        <v>450</v>
      </c>
      <c r="AE417" s="6">
        <v>0</v>
      </c>
      <c r="AF417" s="6">
        <v>0</v>
      </c>
      <c r="AG417" s="6">
        <v>0</v>
      </c>
      <c r="AH417" s="6">
        <v>0</v>
      </c>
      <c r="AI417" s="6" t="s">
        <v>248</v>
      </c>
      <c r="AJ417" s="6" t="s">
        <v>381</v>
      </c>
      <c r="AK417" s="6" t="s">
        <v>16</v>
      </c>
      <c r="AL417" s="6" t="s">
        <v>55</v>
      </c>
      <c r="AM417" s="6" t="s">
        <v>363</v>
      </c>
      <c r="AN417" s="6" t="s">
        <v>20</v>
      </c>
      <c r="AO417" s="6" t="s">
        <v>250</v>
      </c>
      <c r="AP417" s="6" t="s">
        <v>251</v>
      </c>
      <c r="AQ417" s="6" t="s">
        <v>33</v>
      </c>
    </row>
    <row r="418" spans="1:43" x14ac:dyDescent="0.25">
      <c r="A418" s="6">
        <v>22679705</v>
      </c>
      <c r="B418" s="6">
        <v>23484160</v>
      </c>
      <c r="C418" s="6" t="s">
        <v>237</v>
      </c>
      <c r="D418" s="14">
        <v>45873.677685185183</v>
      </c>
      <c r="E418" s="14">
        <v>45874.31527777778</v>
      </c>
      <c r="F418" s="6" t="s">
        <v>21</v>
      </c>
      <c r="G418" s="6" t="s">
        <v>23</v>
      </c>
      <c r="H418" s="6" t="s">
        <v>1636</v>
      </c>
      <c r="I418" s="6" t="s">
        <v>16</v>
      </c>
      <c r="J418" s="6" t="s">
        <v>1637</v>
      </c>
      <c r="K418" s="6" t="s">
        <v>372</v>
      </c>
      <c r="L418" s="6" t="s">
        <v>372</v>
      </c>
      <c r="M418" s="14">
        <v>45873.504861111112</v>
      </c>
      <c r="N418" s="6" t="s">
        <v>1638</v>
      </c>
      <c r="O418" s="6" t="s">
        <v>83</v>
      </c>
      <c r="P418" s="6" t="s">
        <v>242</v>
      </c>
      <c r="Q418" s="6" t="s">
        <v>256</v>
      </c>
      <c r="R418" s="6" t="s">
        <v>424</v>
      </c>
      <c r="S418" s="6" t="s">
        <v>7</v>
      </c>
      <c r="T418" s="6" t="s">
        <v>245</v>
      </c>
      <c r="U418" s="6" t="s">
        <v>119</v>
      </c>
      <c r="V418" s="6" t="s">
        <v>1547</v>
      </c>
      <c r="W418" s="6" t="s">
        <v>83</v>
      </c>
      <c r="X418" s="6" t="s">
        <v>306</v>
      </c>
      <c r="Y418" s="6">
        <v>7700074822</v>
      </c>
      <c r="Z418" s="6" t="s">
        <v>54</v>
      </c>
      <c r="AA418" s="6" t="s">
        <v>83</v>
      </c>
      <c r="AB418" s="6">
        <v>1732.87</v>
      </c>
      <c r="AC418" s="6">
        <v>108.92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 t="s">
        <v>248</v>
      </c>
      <c r="AJ418" s="6" t="s">
        <v>858</v>
      </c>
      <c r="AK418" s="6" t="s">
        <v>16</v>
      </c>
      <c r="AL418" s="6" t="s">
        <v>58</v>
      </c>
      <c r="AM418" s="6" t="s">
        <v>74</v>
      </c>
      <c r="AN418" s="6" t="s">
        <v>20</v>
      </c>
      <c r="AO418" s="6" t="s">
        <v>250</v>
      </c>
      <c r="AP418" s="6" t="s">
        <v>251</v>
      </c>
      <c r="AQ418" s="6" t="s">
        <v>18</v>
      </c>
    </row>
    <row r="419" spans="1:43" x14ac:dyDescent="0.25">
      <c r="A419" s="6">
        <v>22679705</v>
      </c>
      <c r="B419" s="6">
        <v>23484497</v>
      </c>
      <c r="C419" s="6" t="s">
        <v>378</v>
      </c>
      <c r="D419" s="14">
        <v>45873.677685185183</v>
      </c>
      <c r="E419" s="14">
        <v>45874.31527777778</v>
      </c>
      <c r="F419" s="6" t="s">
        <v>21</v>
      </c>
      <c r="G419" s="6" t="s">
        <v>23</v>
      </c>
      <c r="H419" s="6" t="s">
        <v>1636</v>
      </c>
      <c r="I419" s="6" t="s">
        <v>16</v>
      </c>
      <c r="J419" s="6" t="s">
        <v>1637</v>
      </c>
      <c r="K419" s="6" t="s">
        <v>372</v>
      </c>
      <c r="L419" s="6" t="s">
        <v>372</v>
      </c>
      <c r="M419" s="14">
        <v>45873.504861111112</v>
      </c>
      <c r="N419" s="6" t="s">
        <v>1638</v>
      </c>
      <c r="O419" s="6" t="s">
        <v>83</v>
      </c>
      <c r="P419" s="6" t="s">
        <v>242</v>
      </c>
      <c r="Q419" s="6" t="s">
        <v>256</v>
      </c>
      <c r="R419" s="6" t="s">
        <v>424</v>
      </c>
      <c r="S419" s="6" t="s">
        <v>7</v>
      </c>
      <c r="T419" s="6" t="s">
        <v>245</v>
      </c>
      <c r="U419" s="6" t="s">
        <v>119</v>
      </c>
      <c r="V419" s="6" t="s">
        <v>1547</v>
      </c>
      <c r="W419" s="6" t="s">
        <v>83</v>
      </c>
      <c r="X419" s="6" t="s">
        <v>306</v>
      </c>
      <c r="Y419" s="6">
        <v>2142674468</v>
      </c>
      <c r="Z419" s="6" t="s">
        <v>54</v>
      </c>
      <c r="AA419" s="6" t="s">
        <v>83</v>
      </c>
      <c r="AB419" s="6">
        <v>1732.87</v>
      </c>
      <c r="AC419" s="6">
        <v>108.92</v>
      </c>
      <c r="AD419" s="6">
        <v>0</v>
      </c>
      <c r="AE419" s="6">
        <v>0</v>
      </c>
      <c r="AF419" s="6">
        <v>0</v>
      </c>
      <c r="AG419" s="6">
        <v>0</v>
      </c>
      <c r="AH419" s="6">
        <v>0</v>
      </c>
      <c r="AI419" s="6" t="s">
        <v>248</v>
      </c>
      <c r="AJ419" s="6" t="s">
        <v>858</v>
      </c>
      <c r="AK419" s="6" t="s">
        <v>16</v>
      </c>
      <c r="AL419" s="6" t="s">
        <v>58</v>
      </c>
      <c r="AM419" s="6" t="s">
        <v>74</v>
      </c>
      <c r="AN419" s="6" t="s">
        <v>20</v>
      </c>
      <c r="AO419" s="6" t="s">
        <v>250</v>
      </c>
      <c r="AP419" s="6" t="s">
        <v>251</v>
      </c>
      <c r="AQ419" s="6" t="s">
        <v>18</v>
      </c>
    </row>
    <row r="420" spans="1:43" x14ac:dyDescent="0.25">
      <c r="A420" s="6">
        <v>22722710</v>
      </c>
      <c r="B420" s="6">
        <v>23521031</v>
      </c>
      <c r="C420" s="6" t="s">
        <v>237</v>
      </c>
      <c r="D420" s="14">
        <v>45880.573796296303</v>
      </c>
      <c r="E420" s="14">
        <v>45880.57534722222</v>
      </c>
      <c r="F420" s="6" t="s">
        <v>17</v>
      </c>
      <c r="G420" s="6" t="s">
        <v>17</v>
      </c>
      <c r="H420" s="6" t="s">
        <v>1639</v>
      </c>
      <c r="I420" s="6" t="s">
        <v>16</v>
      </c>
      <c r="J420" s="6" t="s">
        <v>1640</v>
      </c>
      <c r="K420" s="6" t="s">
        <v>372</v>
      </c>
      <c r="L420" s="6" t="s">
        <v>372</v>
      </c>
      <c r="M420" s="14">
        <v>45880.402083333327</v>
      </c>
      <c r="N420" s="6" t="s">
        <v>1641</v>
      </c>
      <c r="O420" s="6" t="s">
        <v>1642</v>
      </c>
      <c r="P420" s="6" t="s">
        <v>242</v>
      </c>
      <c r="Q420" s="6" t="s">
        <v>243</v>
      </c>
      <c r="R420" s="6" t="s">
        <v>244</v>
      </c>
      <c r="S420" s="6" t="s">
        <v>8</v>
      </c>
      <c r="T420" s="6" t="s">
        <v>245</v>
      </c>
      <c r="U420" s="6" t="s">
        <v>119</v>
      </c>
      <c r="V420" s="6" t="s">
        <v>1608</v>
      </c>
      <c r="W420" s="6" t="s">
        <v>83</v>
      </c>
      <c r="X420" s="6" t="s">
        <v>83</v>
      </c>
      <c r="Y420" s="6" t="s">
        <v>83</v>
      </c>
      <c r="Z420" s="6" t="s">
        <v>54</v>
      </c>
      <c r="AA420" s="6" t="s">
        <v>83</v>
      </c>
      <c r="AB420" s="6">
        <v>694.4</v>
      </c>
      <c r="AC420" s="6">
        <v>89.75</v>
      </c>
      <c r="AD420" s="6">
        <v>0</v>
      </c>
      <c r="AE420" s="6">
        <v>0</v>
      </c>
      <c r="AF420" s="6">
        <v>0</v>
      </c>
      <c r="AG420" s="6">
        <v>0</v>
      </c>
      <c r="AH420" s="6">
        <v>0</v>
      </c>
      <c r="AI420" s="6" t="s">
        <v>248</v>
      </c>
      <c r="AJ420" s="6" t="s">
        <v>259</v>
      </c>
      <c r="AK420" s="6" t="s">
        <v>16</v>
      </c>
      <c r="AL420" s="6" t="s">
        <v>50</v>
      </c>
      <c r="AM420" s="6" t="s">
        <v>260</v>
      </c>
      <c r="AN420" s="6" t="s">
        <v>20</v>
      </c>
      <c r="AO420" s="6" t="s">
        <v>250</v>
      </c>
      <c r="AP420" s="6" t="s">
        <v>251</v>
      </c>
      <c r="AQ420" s="6" t="s">
        <v>18</v>
      </c>
    </row>
    <row r="421" spans="1:43" x14ac:dyDescent="0.25">
      <c r="A421" s="6">
        <v>22666296</v>
      </c>
      <c r="B421" s="6">
        <v>23474141</v>
      </c>
      <c r="C421" s="6" t="s">
        <v>237</v>
      </c>
      <c r="D421" s="14">
        <v>45870.74015046296</v>
      </c>
      <c r="E421" s="14">
        <v>45874.315081018518</v>
      </c>
      <c r="F421" s="6" t="s">
        <v>21</v>
      </c>
      <c r="G421" s="6" t="s">
        <v>23</v>
      </c>
      <c r="H421" s="6" t="s">
        <v>1643</v>
      </c>
      <c r="I421" s="6" t="s">
        <v>16</v>
      </c>
      <c r="J421" s="6" t="s">
        <v>1644</v>
      </c>
      <c r="K421" s="6" t="s">
        <v>372</v>
      </c>
      <c r="L421" s="6" t="s">
        <v>372</v>
      </c>
      <c r="M421" s="14">
        <v>45870.400694444441</v>
      </c>
      <c r="N421" s="6" t="s">
        <v>1645</v>
      </c>
      <c r="O421" s="6" t="s">
        <v>83</v>
      </c>
      <c r="P421" s="6" t="s">
        <v>242</v>
      </c>
      <c r="Q421" s="6" t="s">
        <v>256</v>
      </c>
      <c r="R421" s="6" t="s">
        <v>424</v>
      </c>
      <c r="S421" s="6" t="s">
        <v>7</v>
      </c>
      <c r="T421" s="6" t="s">
        <v>245</v>
      </c>
      <c r="U421" s="6" t="s">
        <v>119</v>
      </c>
      <c r="V421" s="6" t="s">
        <v>1547</v>
      </c>
      <c r="W421" s="6" t="s">
        <v>83</v>
      </c>
      <c r="X421" s="6" t="s">
        <v>306</v>
      </c>
      <c r="Y421" s="6">
        <v>7700074761</v>
      </c>
      <c r="Z421" s="6" t="s">
        <v>54</v>
      </c>
      <c r="AA421" s="6" t="s">
        <v>83</v>
      </c>
      <c r="AB421" s="6">
        <v>1742.91</v>
      </c>
      <c r="AC421" s="6">
        <v>31.44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 t="s">
        <v>248</v>
      </c>
      <c r="AJ421" s="6" t="s">
        <v>858</v>
      </c>
      <c r="AK421" s="6" t="s">
        <v>16</v>
      </c>
      <c r="AL421" s="6" t="s">
        <v>58</v>
      </c>
      <c r="AM421" s="6" t="s">
        <v>74</v>
      </c>
      <c r="AN421" s="6" t="s">
        <v>20</v>
      </c>
      <c r="AO421" s="6" t="s">
        <v>250</v>
      </c>
      <c r="AP421" s="6" t="s">
        <v>251</v>
      </c>
      <c r="AQ421" s="6" t="s">
        <v>18</v>
      </c>
    </row>
    <row r="422" spans="1:43" x14ac:dyDescent="0.25">
      <c r="A422" s="6">
        <v>22693935</v>
      </c>
      <c r="B422" s="6">
        <v>23496816</v>
      </c>
      <c r="C422" s="6" t="s">
        <v>237</v>
      </c>
      <c r="D422" s="14">
        <v>45875.594733796293</v>
      </c>
      <c r="E422" s="14">
        <v>45875.596238425933</v>
      </c>
      <c r="F422" s="6" t="s">
        <v>21</v>
      </c>
      <c r="G422" s="6" t="s">
        <v>21</v>
      </c>
      <c r="H422" s="6" t="s">
        <v>1646</v>
      </c>
      <c r="I422" s="6" t="s">
        <v>16</v>
      </c>
      <c r="J422" s="6" t="s">
        <v>1647</v>
      </c>
      <c r="K422" s="6" t="s">
        <v>372</v>
      </c>
      <c r="L422" s="6" t="s">
        <v>372</v>
      </c>
      <c r="M422" s="14">
        <v>45875.48541666667</v>
      </c>
      <c r="N422" s="6" t="s">
        <v>1648</v>
      </c>
      <c r="O422" s="6" t="s">
        <v>83</v>
      </c>
      <c r="P422" s="6" t="s">
        <v>242</v>
      </c>
      <c r="Q422" s="6" t="s">
        <v>616</v>
      </c>
      <c r="R422" s="6" t="s">
        <v>616</v>
      </c>
      <c r="S422" s="6" t="s">
        <v>9</v>
      </c>
      <c r="T422" s="6" t="s">
        <v>245</v>
      </c>
      <c r="U422" s="6" t="s">
        <v>119</v>
      </c>
      <c r="V422" s="6" t="s">
        <v>1649</v>
      </c>
      <c r="W422" s="6" t="s">
        <v>83</v>
      </c>
      <c r="X422" s="6" t="s">
        <v>83</v>
      </c>
      <c r="Y422" s="6" t="s">
        <v>83</v>
      </c>
      <c r="Z422" s="6" t="s">
        <v>54</v>
      </c>
      <c r="AA422" s="6" t="s">
        <v>83</v>
      </c>
      <c r="AB422" s="6">
        <v>530</v>
      </c>
      <c r="AC422" s="6">
        <v>0</v>
      </c>
      <c r="AD422" s="6">
        <v>0</v>
      </c>
      <c r="AE422" s="6">
        <v>0</v>
      </c>
      <c r="AF422" s="6">
        <v>0</v>
      </c>
      <c r="AG422" s="6">
        <v>0</v>
      </c>
      <c r="AH422" s="6">
        <v>0</v>
      </c>
      <c r="AI422" s="6" t="s">
        <v>248</v>
      </c>
      <c r="AJ422" s="6" t="s">
        <v>259</v>
      </c>
      <c r="AK422" s="6" t="s">
        <v>16</v>
      </c>
      <c r="AL422" s="6" t="s">
        <v>50</v>
      </c>
      <c r="AM422" s="6" t="s">
        <v>260</v>
      </c>
      <c r="AN422" s="6" t="s">
        <v>20</v>
      </c>
      <c r="AO422" s="6" t="s">
        <v>261</v>
      </c>
      <c r="AP422" s="6" t="s">
        <v>262</v>
      </c>
      <c r="AQ422" s="6" t="s">
        <v>30</v>
      </c>
    </row>
    <row r="423" spans="1:43" x14ac:dyDescent="0.25">
      <c r="A423" s="6">
        <v>22693936</v>
      </c>
      <c r="B423" s="6">
        <v>23496817</v>
      </c>
      <c r="C423" s="6" t="s">
        <v>237</v>
      </c>
      <c r="D423" s="14">
        <v>45875.59479166667</v>
      </c>
      <c r="E423" s="14">
        <v>45875.596250000002</v>
      </c>
      <c r="F423" s="6" t="s">
        <v>21</v>
      </c>
      <c r="G423" s="6" t="s">
        <v>21</v>
      </c>
      <c r="H423" s="6" t="s">
        <v>1650</v>
      </c>
      <c r="I423" s="6" t="s">
        <v>16</v>
      </c>
      <c r="J423" s="6" t="s">
        <v>1651</v>
      </c>
      <c r="K423" s="6" t="s">
        <v>372</v>
      </c>
      <c r="L423" s="6" t="s">
        <v>372</v>
      </c>
      <c r="M423" s="14">
        <v>45875.488888888889</v>
      </c>
      <c r="N423" s="6" t="s">
        <v>1652</v>
      </c>
      <c r="O423" s="6" t="s">
        <v>83</v>
      </c>
      <c r="P423" s="6" t="s">
        <v>242</v>
      </c>
      <c r="Q423" s="6" t="s">
        <v>616</v>
      </c>
      <c r="R423" s="6" t="s">
        <v>616</v>
      </c>
      <c r="S423" s="6" t="s">
        <v>9</v>
      </c>
      <c r="T423" s="6" t="s">
        <v>245</v>
      </c>
      <c r="U423" s="6" t="s">
        <v>119</v>
      </c>
      <c r="V423" s="6" t="s">
        <v>1649</v>
      </c>
      <c r="W423" s="6" t="s">
        <v>83</v>
      </c>
      <c r="X423" s="6" t="s">
        <v>83</v>
      </c>
      <c r="Y423" s="6" t="s">
        <v>83</v>
      </c>
      <c r="Z423" s="6" t="s">
        <v>54</v>
      </c>
      <c r="AA423" s="6" t="s">
        <v>83</v>
      </c>
      <c r="AB423" s="6">
        <v>530</v>
      </c>
      <c r="AC423" s="6">
        <v>0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 t="s">
        <v>248</v>
      </c>
      <c r="AJ423" s="6" t="s">
        <v>259</v>
      </c>
      <c r="AK423" s="6" t="s">
        <v>16</v>
      </c>
      <c r="AL423" s="6" t="s">
        <v>50</v>
      </c>
      <c r="AM423" s="6" t="s">
        <v>260</v>
      </c>
      <c r="AN423" s="6" t="s">
        <v>20</v>
      </c>
      <c r="AO423" s="6" t="s">
        <v>261</v>
      </c>
      <c r="AP423" s="6" t="s">
        <v>262</v>
      </c>
      <c r="AQ423" s="6" t="s">
        <v>30</v>
      </c>
    </row>
    <row r="424" spans="1:43" x14ac:dyDescent="0.25">
      <c r="A424" s="6">
        <v>22693993</v>
      </c>
      <c r="B424" s="6">
        <v>23496866</v>
      </c>
      <c r="C424" s="6" t="s">
        <v>237</v>
      </c>
      <c r="D424" s="14">
        <v>45875.605034722219</v>
      </c>
      <c r="E424" s="14">
        <v>45875.608611111107</v>
      </c>
      <c r="F424" s="6" t="s">
        <v>21</v>
      </c>
      <c r="G424" s="6" t="s">
        <v>21</v>
      </c>
      <c r="H424" s="6" t="s">
        <v>1653</v>
      </c>
      <c r="I424" s="6" t="s">
        <v>16</v>
      </c>
      <c r="J424" s="6" t="s">
        <v>1654</v>
      </c>
      <c r="K424" s="6" t="s">
        <v>372</v>
      </c>
      <c r="L424" s="6" t="s">
        <v>372</v>
      </c>
      <c r="M424" s="14">
        <v>45875.48333333333</v>
      </c>
      <c r="N424" s="6" t="s">
        <v>1655</v>
      </c>
      <c r="O424" s="6" t="s">
        <v>83</v>
      </c>
      <c r="P424" s="6" t="s">
        <v>242</v>
      </c>
      <c r="Q424" s="6" t="s">
        <v>616</v>
      </c>
      <c r="R424" s="6" t="s">
        <v>616</v>
      </c>
      <c r="S424" s="6" t="s">
        <v>9</v>
      </c>
      <c r="T424" s="6" t="s">
        <v>245</v>
      </c>
      <c r="U424" s="6" t="s">
        <v>119</v>
      </c>
      <c r="V424" s="6" t="s">
        <v>1547</v>
      </c>
      <c r="W424" s="6" t="s">
        <v>83</v>
      </c>
      <c r="X424" s="6" t="s">
        <v>1656</v>
      </c>
      <c r="Y424" s="6" t="s">
        <v>83</v>
      </c>
      <c r="Z424" s="6" t="s">
        <v>54</v>
      </c>
      <c r="AA424" s="6" t="s">
        <v>83</v>
      </c>
      <c r="AB424" s="6">
        <v>1392.7398000000001</v>
      </c>
      <c r="AC424" s="6">
        <v>0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 t="s">
        <v>248</v>
      </c>
      <c r="AJ424" s="6" t="s">
        <v>377</v>
      </c>
      <c r="AK424" s="6" t="s">
        <v>16</v>
      </c>
      <c r="AL424" s="6" t="s">
        <v>50</v>
      </c>
      <c r="AM424" s="6" t="s">
        <v>260</v>
      </c>
      <c r="AN424" s="6" t="s">
        <v>20</v>
      </c>
      <c r="AO424" s="6" t="s">
        <v>261</v>
      </c>
      <c r="AP424" s="6" t="s">
        <v>262</v>
      </c>
      <c r="AQ424" s="6" t="s">
        <v>30</v>
      </c>
    </row>
    <row r="425" spans="1:43" x14ac:dyDescent="0.25">
      <c r="A425" s="6">
        <v>22693993</v>
      </c>
      <c r="B425" s="6">
        <v>23496867</v>
      </c>
      <c r="C425" s="6" t="s">
        <v>378</v>
      </c>
      <c r="D425" s="14">
        <v>45875.605034722219</v>
      </c>
      <c r="E425" s="14">
        <v>45875.608611111107</v>
      </c>
      <c r="F425" s="6" t="s">
        <v>21</v>
      </c>
      <c r="G425" s="6" t="s">
        <v>21</v>
      </c>
      <c r="H425" s="6" t="s">
        <v>1653</v>
      </c>
      <c r="I425" s="6" t="s">
        <v>16</v>
      </c>
      <c r="J425" s="6" t="s">
        <v>1654</v>
      </c>
      <c r="K425" s="6" t="s">
        <v>372</v>
      </c>
      <c r="L425" s="6" t="s">
        <v>372</v>
      </c>
      <c r="M425" s="14">
        <v>45875.48333333333</v>
      </c>
      <c r="N425" s="6" t="s">
        <v>1655</v>
      </c>
      <c r="O425" s="6" t="s">
        <v>83</v>
      </c>
      <c r="P425" s="6" t="s">
        <v>242</v>
      </c>
      <c r="Q425" s="6" t="s">
        <v>616</v>
      </c>
      <c r="R425" s="6" t="s">
        <v>616</v>
      </c>
      <c r="S425" s="6" t="s">
        <v>9</v>
      </c>
      <c r="T425" s="6" t="s">
        <v>245</v>
      </c>
      <c r="U425" s="6" t="s">
        <v>119</v>
      </c>
      <c r="V425" s="6" t="s">
        <v>1547</v>
      </c>
      <c r="W425" s="6" t="s">
        <v>83</v>
      </c>
      <c r="X425" s="6" t="s">
        <v>83</v>
      </c>
      <c r="Y425" s="6" t="s">
        <v>83</v>
      </c>
      <c r="Z425" s="6" t="s">
        <v>54</v>
      </c>
      <c r="AA425" s="6" t="s">
        <v>83</v>
      </c>
      <c r="AB425" s="6">
        <v>1719.9278999999999</v>
      </c>
      <c r="AC425" s="6">
        <v>0</v>
      </c>
      <c r="AD425" s="6">
        <v>0</v>
      </c>
      <c r="AE425" s="6">
        <v>0</v>
      </c>
      <c r="AF425" s="6">
        <v>0</v>
      </c>
      <c r="AG425" s="6">
        <v>0</v>
      </c>
      <c r="AH425" s="6">
        <v>0</v>
      </c>
      <c r="AI425" s="6" t="s">
        <v>248</v>
      </c>
      <c r="AJ425" s="6" t="s">
        <v>377</v>
      </c>
      <c r="AK425" s="6" t="s">
        <v>16</v>
      </c>
      <c r="AL425" s="6" t="s">
        <v>50</v>
      </c>
      <c r="AM425" s="6" t="s">
        <v>260</v>
      </c>
      <c r="AN425" s="6" t="s">
        <v>20</v>
      </c>
      <c r="AO425" s="6" t="s">
        <v>261</v>
      </c>
      <c r="AP425" s="6" t="s">
        <v>262</v>
      </c>
      <c r="AQ425" s="6" t="s">
        <v>30</v>
      </c>
    </row>
    <row r="426" spans="1:43" x14ac:dyDescent="0.25">
      <c r="A426" s="6">
        <v>22684556</v>
      </c>
      <c r="B426" s="6">
        <v>23488413</v>
      </c>
      <c r="C426" s="6" t="s">
        <v>237</v>
      </c>
      <c r="D426" s="14">
        <v>45874.397002314807</v>
      </c>
      <c r="E426" s="14">
        <v>45874.400636574072</v>
      </c>
      <c r="F426" s="6" t="s">
        <v>21</v>
      </c>
      <c r="G426" s="6" t="s">
        <v>21</v>
      </c>
      <c r="H426" s="6" t="s">
        <v>1657</v>
      </c>
      <c r="I426" s="6" t="s">
        <v>16</v>
      </c>
      <c r="J426" s="6" t="s">
        <v>1614</v>
      </c>
      <c r="K426" s="6" t="s">
        <v>372</v>
      </c>
      <c r="L426" s="6" t="s">
        <v>372</v>
      </c>
      <c r="M426" s="14">
        <v>45873.396527777782</v>
      </c>
      <c r="N426" s="6" t="s">
        <v>1658</v>
      </c>
      <c r="O426" s="6" t="s">
        <v>83</v>
      </c>
      <c r="P426" s="6" t="s">
        <v>242</v>
      </c>
      <c r="Q426" s="6" t="s">
        <v>616</v>
      </c>
      <c r="R426" s="6" t="s">
        <v>616</v>
      </c>
      <c r="S426" s="6" t="s">
        <v>9</v>
      </c>
      <c r="T426" s="6" t="s">
        <v>245</v>
      </c>
      <c r="U426" s="6" t="s">
        <v>119</v>
      </c>
      <c r="V426" s="6" t="s">
        <v>1547</v>
      </c>
      <c r="W426" s="6" t="s">
        <v>83</v>
      </c>
      <c r="X426" s="6" t="s">
        <v>1659</v>
      </c>
      <c r="Y426" s="6" t="s">
        <v>83</v>
      </c>
      <c r="Z426" s="6" t="s">
        <v>54</v>
      </c>
      <c r="AA426" s="6" t="s">
        <v>83</v>
      </c>
      <c r="AB426" s="6">
        <v>791.26319999999998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 t="s">
        <v>248</v>
      </c>
      <c r="AJ426" s="6" t="s">
        <v>377</v>
      </c>
      <c r="AK426" s="6" t="s">
        <v>16</v>
      </c>
      <c r="AL426" s="6" t="s">
        <v>50</v>
      </c>
      <c r="AM426" s="6" t="s">
        <v>260</v>
      </c>
      <c r="AN426" s="6" t="s">
        <v>20</v>
      </c>
      <c r="AO426" s="6" t="s">
        <v>261</v>
      </c>
      <c r="AP426" s="6" t="s">
        <v>262</v>
      </c>
      <c r="AQ426" s="6" t="s">
        <v>30</v>
      </c>
    </row>
    <row r="427" spans="1:43" x14ac:dyDescent="0.25">
      <c r="A427" s="6">
        <v>22684556</v>
      </c>
      <c r="B427" s="6">
        <v>23488414</v>
      </c>
      <c r="C427" s="6" t="s">
        <v>378</v>
      </c>
      <c r="D427" s="14">
        <v>45874.397002314807</v>
      </c>
      <c r="E427" s="14">
        <v>45874.400636574072</v>
      </c>
      <c r="F427" s="6" t="s">
        <v>21</v>
      </c>
      <c r="G427" s="6" t="s">
        <v>21</v>
      </c>
      <c r="H427" s="6" t="s">
        <v>1657</v>
      </c>
      <c r="I427" s="6" t="s">
        <v>16</v>
      </c>
      <c r="J427" s="6" t="s">
        <v>1614</v>
      </c>
      <c r="K427" s="6" t="s">
        <v>372</v>
      </c>
      <c r="L427" s="6" t="s">
        <v>372</v>
      </c>
      <c r="M427" s="14">
        <v>45873.396527777782</v>
      </c>
      <c r="N427" s="6" t="s">
        <v>1658</v>
      </c>
      <c r="O427" s="6" t="s">
        <v>83</v>
      </c>
      <c r="P427" s="6" t="s">
        <v>242</v>
      </c>
      <c r="Q427" s="6" t="s">
        <v>616</v>
      </c>
      <c r="R427" s="6" t="s">
        <v>616</v>
      </c>
      <c r="S427" s="6" t="s">
        <v>9</v>
      </c>
      <c r="T427" s="6" t="s">
        <v>245</v>
      </c>
      <c r="U427" s="6" t="s">
        <v>119</v>
      </c>
      <c r="V427" s="6" t="s">
        <v>1547</v>
      </c>
      <c r="W427" s="6" t="s">
        <v>83</v>
      </c>
      <c r="X427" s="6" t="s">
        <v>83</v>
      </c>
      <c r="Y427" s="6" t="s">
        <v>83</v>
      </c>
      <c r="Z427" s="6" t="s">
        <v>54</v>
      </c>
      <c r="AA427" s="6" t="s">
        <v>83</v>
      </c>
      <c r="AB427" s="6">
        <v>1063.3692000000001</v>
      </c>
      <c r="AC427" s="6">
        <v>34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248</v>
      </c>
      <c r="AJ427" s="6" t="s">
        <v>377</v>
      </c>
      <c r="AK427" s="6" t="s">
        <v>16</v>
      </c>
      <c r="AL427" s="6" t="s">
        <v>50</v>
      </c>
      <c r="AM427" s="6" t="s">
        <v>260</v>
      </c>
      <c r="AN427" s="6" t="s">
        <v>20</v>
      </c>
      <c r="AO427" s="6" t="s">
        <v>261</v>
      </c>
      <c r="AP427" s="6" t="s">
        <v>262</v>
      </c>
      <c r="AQ427" s="6" t="s">
        <v>30</v>
      </c>
    </row>
    <row r="428" spans="1:43" x14ac:dyDescent="0.25">
      <c r="A428" s="6">
        <v>22681347</v>
      </c>
      <c r="B428" s="6">
        <v>23485816</v>
      </c>
      <c r="C428" s="6" t="s">
        <v>237</v>
      </c>
      <c r="D428" s="14">
        <v>45873.781828703701</v>
      </c>
      <c r="E428" s="14">
        <v>45874.400289351863</v>
      </c>
      <c r="F428" s="6" t="s">
        <v>21</v>
      </c>
      <c r="G428" s="6" t="s">
        <v>23</v>
      </c>
      <c r="H428" s="6" t="s">
        <v>1660</v>
      </c>
      <c r="I428" s="6" t="s">
        <v>16</v>
      </c>
      <c r="J428" s="6" t="s">
        <v>1614</v>
      </c>
      <c r="K428" s="6" t="s">
        <v>372</v>
      </c>
      <c r="L428" s="6" t="s">
        <v>372</v>
      </c>
      <c r="M428" s="14">
        <v>45873.384722222218</v>
      </c>
      <c r="N428" s="6" t="s">
        <v>1661</v>
      </c>
      <c r="O428" s="6" t="s">
        <v>83</v>
      </c>
      <c r="P428" s="6" t="s">
        <v>242</v>
      </c>
      <c r="Q428" s="6" t="s">
        <v>616</v>
      </c>
      <c r="R428" s="6" t="s">
        <v>616</v>
      </c>
      <c r="S428" s="6" t="s">
        <v>9</v>
      </c>
      <c r="T428" s="6" t="s">
        <v>245</v>
      </c>
      <c r="U428" s="6" t="s">
        <v>119</v>
      </c>
      <c r="V428" s="6" t="s">
        <v>1547</v>
      </c>
      <c r="W428" s="6" t="s">
        <v>83</v>
      </c>
      <c r="X428" s="6" t="s">
        <v>83</v>
      </c>
      <c r="Y428" s="6" t="s">
        <v>83</v>
      </c>
      <c r="Z428" s="6" t="s">
        <v>54</v>
      </c>
      <c r="AA428" s="6" t="s">
        <v>83</v>
      </c>
      <c r="AB428" s="6">
        <v>2193.6976</v>
      </c>
      <c r="AC428" s="6">
        <v>0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248</v>
      </c>
      <c r="AJ428" s="6" t="s">
        <v>259</v>
      </c>
      <c r="AK428" s="6" t="s">
        <v>16</v>
      </c>
      <c r="AL428" s="6" t="s">
        <v>50</v>
      </c>
      <c r="AM428" s="6" t="s">
        <v>260</v>
      </c>
      <c r="AN428" s="6" t="s">
        <v>20</v>
      </c>
      <c r="AO428" s="6" t="s">
        <v>261</v>
      </c>
      <c r="AP428" s="6" t="s">
        <v>262</v>
      </c>
      <c r="AQ428" s="6" t="s">
        <v>30</v>
      </c>
    </row>
    <row r="429" spans="1:43" x14ac:dyDescent="0.25">
      <c r="A429" s="6">
        <v>22729097</v>
      </c>
      <c r="B429" s="6">
        <v>23526659</v>
      </c>
      <c r="C429" s="6" t="s">
        <v>237</v>
      </c>
      <c r="D429" s="14">
        <v>45881.501203703701</v>
      </c>
      <c r="E429" s="14">
        <v>45881.506620370368</v>
      </c>
      <c r="F429" s="6" t="s">
        <v>17</v>
      </c>
      <c r="G429" s="6" t="s">
        <v>17</v>
      </c>
      <c r="H429" s="6" t="s">
        <v>1662</v>
      </c>
      <c r="I429" s="6" t="s">
        <v>16</v>
      </c>
      <c r="J429" s="6" t="s">
        <v>1663</v>
      </c>
      <c r="K429" s="6" t="s">
        <v>1300</v>
      </c>
      <c r="L429" s="6" t="s">
        <v>1300</v>
      </c>
      <c r="M429" s="14">
        <v>45881.343055555553</v>
      </c>
      <c r="N429" s="6" t="s">
        <v>1664</v>
      </c>
      <c r="O429" s="6" t="s">
        <v>1665</v>
      </c>
      <c r="P429" s="6" t="s">
        <v>272</v>
      </c>
      <c r="Q429" s="6" t="s">
        <v>243</v>
      </c>
      <c r="R429" s="6" t="s">
        <v>244</v>
      </c>
      <c r="S429" s="6" t="s">
        <v>8</v>
      </c>
      <c r="T429" s="6" t="s">
        <v>245</v>
      </c>
      <c r="U429" s="6" t="s">
        <v>119</v>
      </c>
      <c r="V429" s="6" t="s">
        <v>1547</v>
      </c>
      <c r="W429" s="6" t="s">
        <v>83</v>
      </c>
      <c r="X429" s="6" t="s">
        <v>83</v>
      </c>
      <c r="Y429" s="6" t="s">
        <v>83</v>
      </c>
      <c r="Z429" s="6" t="s">
        <v>54</v>
      </c>
      <c r="AA429" s="6" t="s">
        <v>83</v>
      </c>
      <c r="AB429" s="6">
        <v>1467.8</v>
      </c>
      <c r="AC429" s="6">
        <v>413.13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248</v>
      </c>
      <c r="AJ429" s="6" t="s">
        <v>259</v>
      </c>
      <c r="AK429" s="6" t="s">
        <v>16</v>
      </c>
      <c r="AL429" s="6" t="s">
        <v>50</v>
      </c>
      <c r="AM429" s="6" t="s">
        <v>260</v>
      </c>
      <c r="AN429" s="6" t="s">
        <v>20</v>
      </c>
      <c r="AO429" s="6" t="s">
        <v>250</v>
      </c>
      <c r="AP429" s="6" t="s">
        <v>251</v>
      </c>
      <c r="AQ429" s="6" t="s">
        <v>18</v>
      </c>
    </row>
    <row r="430" spans="1:43" x14ac:dyDescent="0.25">
      <c r="A430" s="6">
        <v>22729106</v>
      </c>
      <c r="B430" s="6">
        <v>23526668</v>
      </c>
      <c r="C430" s="6" t="s">
        <v>237</v>
      </c>
      <c r="D430" s="14">
        <v>45881.501550925917</v>
      </c>
      <c r="E430" s="14">
        <v>45881.506631944438</v>
      </c>
      <c r="F430" s="6" t="s">
        <v>17</v>
      </c>
      <c r="G430" s="6" t="s">
        <v>17</v>
      </c>
      <c r="H430" s="6" t="s">
        <v>1666</v>
      </c>
      <c r="I430" s="6" t="s">
        <v>16</v>
      </c>
      <c r="J430" s="6" t="s">
        <v>1663</v>
      </c>
      <c r="K430" s="6" t="s">
        <v>1300</v>
      </c>
      <c r="L430" s="6" t="s">
        <v>1300</v>
      </c>
      <c r="M430" s="14">
        <v>45881.352777777778</v>
      </c>
      <c r="N430" s="6" t="s">
        <v>1664</v>
      </c>
      <c r="O430" s="6" t="s">
        <v>83</v>
      </c>
      <c r="P430" s="6" t="s">
        <v>272</v>
      </c>
      <c r="Q430" s="6" t="s">
        <v>243</v>
      </c>
      <c r="R430" s="6" t="s">
        <v>244</v>
      </c>
      <c r="S430" s="6" t="s">
        <v>9</v>
      </c>
      <c r="T430" s="6" t="s">
        <v>245</v>
      </c>
      <c r="U430" s="6" t="s">
        <v>119</v>
      </c>
      <c r="V430" s="6" t="s">
        <v>1547</v>
      </c>
      <c r="W430" s="6" t="s">
        <v>83</v>
      </c>
      <c r="X430" s="6" t="s">
        <v>83</v>
      </c>
      <c r="Y430" s="6" t="s">
        <v>83</v>
      </c>
      <c r="Z430" s="6" t="s">
        <v>54</v>
      </c>
      <c r="AA430" s="6" t="s">
        <v>83</v>
      </c>
      <c r="AB430" s="6">
        <v>470</v>
      </c>
      <c r="AC430" s="6">
        <v>0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248</v>
      </c>
      <c r="AJ430" s="6" t="s">
        <v>259</v>
      </c>
      <c r="AK430" s="6" t="s">
        <v>16</v>
      </c>
      <c r="AL430" s="6" t="s">
        <v>50</v>
      </c>
      <c r="AM430" s="6" t="s">
        <v>260</v>
      </c>
      <c r="AN430" s="6" t="s">
        <v>20</v>
      </c>
      <c r="AO430" s="6" t="s">
        <v>250</v>
      </c>
      <c r="AP430" s="6" t="s">
        <v>251</v>
      </c>
      <c r="AQ430" s="6" t="s">
        <v>18</v>
      </c>
    </row>
    <row r="431" spans="1:43" x14ac:dyDescent="0.25">
      <c r="A431" s="6">
        <v>22729117</v>
      </c>
      <c r="B431" s="6">
        <v>23526679</v>
      </c>
      <c r="C431" s="6" t="s">
        <v>237</v>
      </c>
      <c r="D431" s="14">
        <v>45881.501828703702</v>
      </c>
      <c r="E431" s="14">
        <v>45881.506643518522</v>
      </c>
      <c r="F431" s="6" t="s">
        <v>17</v>
      </c>
      <c r="G431" s="6" t="s">
        <v>17</v>
      </c>
      <c r="H431" s="6" t="s">
        <v>1667</v>
      </c>
      <c r="I431" s="6" t="s">
        <v>16</v>
      </c>
      <c r="J431" s="6" t="s">
        <v>1663</v>
      </c>
      <c r="K431" s="6" t="s">
        <v>1300</v>
      </c>
      <c r="L431" s="6" t="s">
        <v>1300</v>
      </c>
      <c r="M431" s="14">
        <v>45881.399305555547</v>
      </c>
      <c r="N431" s="6" t="s">
        <v>1664</v>
      </c>
      <c r="O431" s="6" t="s">
        <v>83</v>
      </c>
      <c r="P431" s="6" t="s">
        <v>272</v>
      </c>
      <c r="Q431" s="6" t="s">
        <v>243</v>
      </c>
      <c r="R431" s="6" t="s">
        <v>244</v>
      </c>
      <c r="S431" s="6" t="s">
        <v>9</v>
      </c>
      <c r="T431" s="6" t="s">
        <v>245</v>
      </c>
      <c r="U431" s="6" t="s">
        <v>119</v>
      </c>
      <c r="V431" s="6" t="s">
        <v>1547</v>
      </c>
      <c r="W431" s="6" t="s">
        <v>83</v>
      </c>
      <c r="X431" s="6" t="s">
        <v>83</v>
      </c>
      <c r="Y431" s="6" t="s">
        <v>83</v>
      </c>
      <c r="Z431" s="6" t="s">
        <v>54</v>
      </c>
      <c r="AA431" s="6" t="s">
        <v>83</v>
      </c>
      <c r="AB431" s="6">
        <v>275</v>
      </c>
      <c r="AC431" s="6">
        <v>0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 t="s">
        <v>248</v>
      </c>
      <c r="AJ431" s="6" t="s">
        <v>259</v>
      </c>
      <c r="AK431" s="6" t="s">
        <v>16</v>
      </c>
      <c r="AL431" s="6" t="s">
        <v>50</v>
      </c>
      <c r="AM431" s="6" t="s">
        <v>260</v>
      </c>
      <c r="AN431" s="6" t="s">
        <v>20</v>
      </c>
      <c r="AO431" s="6" t="s">
        <v>250</v>
      </c>
      <c r="AP431" s="6" t="s">
        <v>251</v>
      </c>
      <c r="AQ431" s="6" t="s">
        <v>18</v>
      </c>
    </row>
    <row r="432" spans="1:43" x14ac:dyDescent="0.25">
      <c r="A432" s="6">
        <v>22729024</v>
      </c>
      <c r="B432" s="6">
        <v>23526574</v>
      </c>
      <c r="C432" s="6" t="s">
        <v>237</v>
      </c>
      <c r="D432" s="14">
        <v>45881.490856481483</v>
      </c>
      <c r="E432" s="14">
        <v>45881.494270833333</v>
      </c>
      <c r="F432" s="6" t="s">
        <v>17</v>
      </c>
      <c r="G432" s="6" t="s">
        <v>17</v>
      </c>
      <c r="H432" s="6" t="s">
        <v>1668</v>
      </c>
      <c r="I432" s="6" t="s">
        <v>16</v>
      </c>
      <c r="J432" s="6" t="s">
        <v>1669</v>
      </c>
      <c r="K432" s="6" t="s">
        <v>1300</v>
      </c>
      <c r="L432" s="6" t="s">
        <v>1300</v>
      </c>
      <c r="M432" s="14">
        <v>45881.314583333333</v>
      </c>
      <c r="N432" s="6" t="s">
        <v>1664</v>
      </c>
      <c r="O432" s="6" t="s">
        <v>83</v>
      </c>
      <c r="P432" s="6" t="s">
        <v>272</v>
      </c>
      <c r="Q432" s="6" t="s">
        <v>243</v>
      </c>
      <c r="R432" s="6" t="s">
        <v>244</v>
      </c>
      <c r="S432" s="6" t="s">
        <v>9</v>
      </c>
      <c r="T432" s="6" t="s">
        <v>245</v>
      </c>
      <c r="U432" s="6" t="s">
        <v>119</v>
      </c>
      <c r="V432" s="6" t="s">
        <v>1547</v>
      </c>
      <c r="W432" s="6" t="s">
        <v>83</v>
      </c>
      <c r="X432" s="6" t="s">
        <v>83</v>
      </c>
      <c r="Y432" s="6" t="s">
        <v>83</v>
      </c>
      <c r="Z432" s="6" t="s">
        <v>54</v>
      </c>
      <c r="AA432" s="6" t="s">
        <v>83</v>
      </c>
      <c r="AB432" s="6">
        <v>1143.3</v>
      </c>
      <c r="AC432" s="6">
        <v>0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 t="s">
        <v>248</v>
      </c>
      <c r="AJ432" s="6" t="s">
        <v>259</v>
      </c>
      <c r="AK432" s="6" t="s">
        <v>16</v>
      </c>
      <c r="AL432" s="6" t="s">
        <v>50</v>
      </c>
      <c r="AM432" s="6" t="s">
        <v>260</v>
      </c>
      <c r="AN432" s="6" t="s">
        <v>20</v>
      </c>
      <c r="AO432" s="6" t="s">
        <v>250</v>
      </c>
      <c r="AP432" s="6" t="s">
        <v>251</v>
      </c>
      <c r="AQ432" s="6" t="s">
        <v>18</v>
      </c>
    </row>
    <row r="433" spans="1:43" x14ac:dyDescent="0.25">
      <c r="A433" s="6">
        <v>22732439</v>
      </c>
      <c r="B433" s="6">
        <v>23529872</v>
      </c>
      <c r="C433" s="6" t="s">
        <v>237</v>
      </c>
      <c r="D433" s="14">
        <v>45881.781689814823</v>
      </c>
      <c r="E433" s="14">
        <v>45881.796111111107</v>
      </c>
      <c r="F433" s="6" t="s">
        <v>17</v>
      </c>
      <c r="G433" s="6" t="s">
        <v>17</v>
      </c>
      <c r="H433" s="6" t="s">
        <v>1670</v>
      </c>
      <c r="I433" s="6" t="s">
        <v>16</v>
      </c>
      <c r="J433" s="6" t="s">
        <v>1671</v>
      </c>
      <c r="K433" s="6" t="s">
        <v>1300</v>
      </c>
      <c r="L433" s="6" t="s">
        <v>1300</v>
      </c>
      <c r="M433" s="14">
        <v>45881.678472222222</v>
      </c>
      <c r="N433" s="6" t="s">
        <v>1670</v>
      </c>
      <c r="O433" s="6" t="s">
        <v>83</v>
      </c>
      <c r="P433" s="6" t="s">
        <v>272</v>
      </c>
      <c r="Q433" s="6" t="s">
        <v>256</v>
      </c>
      <c r="R433" s="6" t="s">
        <v>424</v>
      </c>
      <c r="S433" s="6" t="s">
        <v>7</v>
      </c>
      <c r="T433" s="6" t="s">
        <v>245</v>
      </c>
      <c r="U433" s="6" t="s">
        <v>119</v>
      </c>
      <c r="V433" s="6" t="s">
        <v>1547</v>
      </c>
      <c r="W433" s="6" t="s">
        <v>83</v>
      </c>
      <c r="X433" s="6" t="s">
        <v>306</v>
      </c>
      <c r="Y433" s="6">
        <v>2143299560</v>
      </c>
      <c r="Z433" s="6" t="s">
        <v>54</v>
      </c>
      <c r="AA433" s="6" t="s">
        <v>83</v>
      </c>
      <c r="AB433" s="6">
        <v>1400</v>
      </c>
      <c r="AC433" s="6">
        <v>98.07</v>
      </c>
      <c r="AD433" s="6">
        <v>0</v>
      </c>
      <c r="AE433" s="6">
        <v>0</v>
      </c>
      <c r="AF433" s="6">
        <v>0</v>
      </c>
      <c r="AG433" s="6">
        <v>0</v>
      </c>
      <c r="AH433" s="6">
        <v>0</v>
      </c>
      <c r="AI433" s="6" t="s">
        <v>248</v>
      </c>
      <c r="AJ433" s="6" t="s">
        <v>396</v>
      </c>
      <c r="AK433" s="6" t="s">
        <v>16</v>
      </c>
      <c r="AL433" s="6" t="s">
        <v>78</v>
      </c>
      <c r="AM433" s="6" t="s">
        <v>74</v>
      </c>
      <c r="AN433" s="6" t="s">
        <v>20</v>
      </c>
      <c r="AO433" s="6" t="s">
        <v>250</v>
      </c>
      <c r="AP433" s="6" t="s">
        <v>251</v>
      </c>
      <c r="AQ433" s="6" t="s">
        <v>33</v>
      </c>
    </row>
    <row r="434" spans="1:43" x14ac:dyDescent="0.25">
      <c r="A434" s="6">
        <v>22707851</v>
      </c>
      <c r="B434" s="6">
        <v>23509305</v>
      </c>
      <c r="C434" s="6" t="s">
        <v>237</v>
      </c>
      <c r="D434" s="14">
        <v>45877.511319444442</v>
      </c>
      <c r="E434" s="14">
        <v>45877.519305555557</v>
      </c>
      <c r="F434" s="6" t="s">
        <v>19</v>
      </c>
      <c r="G434" s="6" t="s">
        <v>19</v>
      </c>
      <c r="H434" s="6" t="s">
        <v>1672</v>
      </c>
      <c r="I434" s="6" t="s">
        <v>16</v>
      </c>
      <c r="J434" s="6" t="s">
        <v>1673</v>
      </c>
      <c r="K434" s="6" t="s">
        <v>1300</v>
      </c>
      <c r="L434" s="6" t="s">
        <v>1300</v>
      </c>
      <c r="M434" s="14">
        <v>45877.372916666667</v>
      </c>
      <c r="N434" s="6" t="s">
        <v>1674</v>
      </c>
      <c r="O434" s="6" t="s">
        <v>83</v>
      </c>
      <c r="P434" s="6" t="s">
        <v>272</v>
      </c>
      <c r="Q434" s="6" t="s">
        <v>256</v>
      </c>
      <c r="R434" s="6" t="s">
        <v>256</v>
      </c>
      <c r="S434" s="6" t="s">
        <v>9</v>
      </c>
      <c r="T434" s="6" t="s">
        <v>245</v>
      </c>
      <c r="U434" s="6" t="s">
        <v>119</v>
      </c>
      <c r="V434" s="6" t="s">
        <v>1547</v>
      </c>
      <c r="W434" s="6" t="s">
        <v>83</v>
      </c>
      <c r="X434" s="6" t="s">
        <v>83</v>
      </c>
      <c r="Y434" s="6" t="s">
        <v>83</v>
      </c>
      <c r="Z434" s="6" t="s">
        <v>54</v>
      </c>
      <c r="AA434" s="6" t="s">
        <v>83</v>
      </c>
      <c r="AB434" s="6">
        <v>431</v>
      </c>
      <c r="AC434" s="6">
        <v>21.55</v>
      </c>
      <c r="AD434" s="6">
        <v>0</v>
      </c>
      <c r="AE434" s="6">
        <v>0</v>
      </c>
      <c r="AF434" s="6">
        <v>0</v>
      </c>
      <c r="AG434" s="6">
        <v>0</v>
      </c>
      <c r="AH434" s="6">
        <v>0</v>
      </c>
      <c r="AI434" s="6" t="s">
        <v>248</v>
      </c>
      <c r="AJ434" s="6" t="s">
        <v>259</v>
      </c>
      <c r="AK434" s="6" t="s">
        <v>16</v>
      </c>
      <c r="AL434" s="6" t="s">
        <v>50</v>
      </c>
      <c r="AM434" s="6" t="s">
        <v>260</v>
      </c>
      <c r="AN434" s="6" t="s">
        <v>20</v>
      </c>
      <c r="AO434" s="6" t="s">
        <v>250</v>
      </c>
      <c r="AP434" s="6" t="s">
        <v>251</v>
      </c>
      <c r="AQ434" s="6" t="s">
        <v>18</v>
      </c>
    </row>
    <row r="435" spans="1:43" x14ac:dyDescent="0.25">
      <c r="A435" s="6">
        <v>22709102</v>
      </c>
      <c r="B435" s="6">
        <v>23510514</v>
      </c>
      <c r="C435" s="6" t="s">
        <v>237</v>
      </c>
      <c r="D435" s="14">
        <v>45877.656840277778</v>
      </c>
      <c r="E435" s="14">
        <v>45877.662800925929</v>
      </c>
      <c r="F435" s="6" t="s">
        <v>19</v>
      </c>
      <c r="G435" s="6" t="s">
        <v>19</v>
      </c>
      <c r="H435" s="6" t="s">
        <v>1675</v>
      </c>
      <c r="I435" s="6" t="s">
        <v>16</v>
      </c>
      <c r="J435" s="6" t="s">
        <v>1676</v>
      </c>
      <c r="K435" s="6" t="s">
        <v>1300</v>
      </c>
      <c r="L435" s="6" t="s">
        <v>1300</v>
      </c>
      <c r="M435" s="14">
        <v>45877.456250000003</v>
      </c>
      <c r="N435" s="6" t="s">
        <v>1674</v>
      </c>
      <c r="O435" s="6" t="s">
        <v>83</v>
      </c>
      <c r="P435" s="6" t="s">
        <v>272</v>
      </c>
      <c r="Q435" s="6" t="s">
        <v>256</v>
      </c>
      <c r="R435" s="6" t="s">
        <v>256</v>
      </c>
      <c r="S435" s="6" t="s">
        <v>9</v>
      </c>
      <c r="T435" s="6" t="s">
        <v>245</v>
      </c>
      <c r="U435" s="6" t="s">
        <v>119</v>
      </c>
      <c r="V435" s="6" t="s">
        <v>1590</v>
      </c>
      <c r="W435" s="6" t="s">
        <v>83</v>
      </c>
      <c r="X435" s="6" t="s">
        <v>83</v>
      </c>
      <c r="Y435" s="6" t="s">
        <v>83</v>
      </c>
      <c r="Z435" s="6" t="s">
        <v>54</v>
      </c>
      <c r="AA435" s="6" t="s">
        <v>83</v>
      </c>
      <c r="AB435" s="6">
        <v>5430</v>
      </c>
      <c r="AC435" s="6">
        <v>271.5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248</v>
      </c>
      <c r="AJ435" s="6" t="s">
        <v>259</v>
      </c>
      <c r="AK435" s="6" t="s">
        <v>16</v>
      </c>
      <c r="AL435" s="6" t="s">
        <v>50</v>
      </c>
      <c r="AM435" s="6" t="s">
        <v>260</v>
      </c>
      <c r="AN435" s="6" t="s">
        <v>20</v>
      </c>
      <c r="AO435" s="6" t="s">
        <v>250</v>
      </c>
      <c r="AP435" s="6" t="s">
        <v>251</v>
      </c>
      <c r="AQ435" s="6" t="s">
        <v>18</v>
      </c>
    </row>
    <row r="436" spans="1:43" x14ac:dyDescent="0.25">
      <c r="A436" s="6">
        <v>22702888</v>
      </c>
      <c r="B436" s="6">
        <v>23505006</v>
      </c>
      <c r="C436" s="6" t="s">
        <v>237</v>
      </c>
      <c r="D436" s="14">
        <v>45876.761620370373</v>
      </c>
      <c r="E436" s="14">
        <v>45876.769108796303</v>
      </c>
      <c r="F436" s="6" t="s">
        <v>21</v>
      </c>
      <c r="G436" s="6" t="s">
        <v>21</v>
      </c>
      <c r="H436" s="6" t="s">
        <v>1677</v>
      </c>
      <c r="I436" s="6" t="s">
        <v>16</v>
      </c>
      <c r="J436" s="6" t="s">
        <v>1678</v>
      </c>
      <c r="K436" s="6" t="s">
        <v>1300</v>
      </c>
      <c r="L436" s="6" t="s">
        <v>1300</v>
      </c>
      <c r="M436" s="14">
        <v>45876.578472222223</v>
      </c>
      <c r="N436" s="6" t="s">
        <v>1679</v>
      </c>
      <c r="O436" s="6" t="s">
        <v>83</v>
      </c>
      <c r="P436" s="6" t="s">
        <v>272</v>
      </c>
      <c r="Q436" s="6" t="s">
        <v>256</v>
      </c>
      <c r="R436" s="6" t="s">
        <v>256</v>
      </c>
      <c r="S436" s="6" t="s">
        <v>9</v>
      </c>
      <c r="T436" s="6" t="s">
        <v>245</v>
      </c>
      <c r="U436" s="6" t="s">
        <v>119</v>
      </c>
      <c r="V436" s="6" t="s">
        <v>1547</v>
      </c>
      <c r="W436" s="6" t="s">
        <v>83</v>
      </c>
      <c r="X436" s="6" t="s">
        <v>83</v>
      </c>
      <c r="Y436" s="6" t="s">
        <v>83</v>
      </c>
      <c r="Z436" s="6" t="s">
        <v>54</v>
      </c>
      <c r="AA436" s="6" t="s">
        <v>83</v>
      </c>
      <c r="AB436" s="6">
        <v>2088</v>
      </c>
      <c r="AC436" s="6">
        <v>104.4</v>
      </c>
      <c r="AD436" s="6">
        <v>0</v>
      </c>
      <c r="AE436" s="6">
        <v>0</v>
      </c>
      <c r="AF436" s="6">
        <v>0</v>
      </c>
      <c r="AG436" s="6">
        <v>0</v>
      </c>
      <c r="AH436" s="6">
        <v>0</v>
      </c>
      <c r="AI436" s="6" t="s">
        <v>248</v>
      </c>
      <c r="AJ436" s="6" t="s">
        <v>259</v>
      </c>
      <c r="AK436" s="6" t="s">
        <v>16</v>
      </c>
      <c r="AL436" s="6" t="s">
        <v>50</v>
      </c>
      <c r="AM436" s="6" t="s">
        <v>260</v>
      </c>
      <c r="AN436" s="6" t="s">
        <v>20</v>
      </c>
      <c r="AO436" s="6" t="s">
        <v>250</v>
      </c>
      <c r="AP436" s="6" t="s">
        <v>251</v>
      </c>
      <c r="AQ436" s="6" t="s">
        <v>18</v>
      </c>
    </row>
    <row r="437" spans="1:43" x14ac:dyDescent="0.25">
      <c r="A437" s="6">
        <v>22686314</v>
      </c>
      <c r="B437" s="6">
        <v>23490061</v>
      </c>
      <c r="C437" s="6" t="s">
        <v>237</v>
      </c>
      <c r="D437" s="14">
        <v>45874.574004629627</v>
      </c>
      <c r="E437" s="14">
        <v>45874.58153935185</v>
      </c>
      <c r="F437" s="6" t="s">
        <v>21</v>
      </c>
      <c r="G437" s="6" t="s">
        <v>21</v>
      </c>
      <c r="H437" s="6" t="s">
        <v>1680</v>
      </c>
      <c r="I437" s="6" t="s">
        <v>16</v>
      </c>
      <c r="J437" s="6" t="s">
        <v>1578</v>
      </c>
      <c r="K437" s="6" t="s">
        <v>1300</v>
      </c>
      <c r="L437" s="6" t="s">
        <v>1300</v>
      </c>
      <c r="M437" s="14">
        <v>45874.415972222218</v>
      </c>
      <c r="N437" s="6" t="s">
        <v>1681</v>
      </c>
      <c r="O437" s="6" t="s">
        <v>1682</v>
      </c>
      <c r="P437" s="6" t="s">
        <v>272</v>
      </c>
      <c r="Q437" s="6" t="s">
        <v>243</v>
      </c>
      <c r="R437" s="6" t="s">
        <v>244</v>
      </c>
      <c r="S437" s="6" t="s">
        <v>8</v>
      </c>
      <c r="T437" s="6" t="s">
        <v>245</v>
      </c>
      <c r="U437" s="6" t="s">
        <v>119</v>
      </c>
      <c r="V437" s="6" t="s">
        <v>1547</v>
      </c>
      <c r="W437" s="6" t="s">
        <v>83</v>
      </c>
      <c r="X437" s="6" t="s">
        <v>83</v>
      </c>
      <c r="Y437" s="6" t="s">
        <v>83</v>
      </c>
      <c r="Z437" s="6" t="s">
        <v>54</v>
      </c>
      <c r="AA437" s="6" t="s">
        <v>83</v>
      </c>
      <c r="AB437" s="6">
        <v>14699.92</v>
      </c>
      <c r="AC437" s="6">
        <v>521.05999999999995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248</v>
      </c>
      <c r="AJ437" s="6" t="s">
        <v>259</v>
      </c>
      <c r="AK437" s="6" t="s">
        <v>16</v>
      </c>
      <c r="AL437" s="6" t="s">
        <v>50</v>
      </c>
      <c r="AM437" s="6" t="s">
        <v>260</v>
      </c>
      <c r="AN437" s="6" t="s">
        <v>20</v>
      </c>
      <c r="AO437" s="6" t="s">
        <v>250</v>
      </c>
      <c r="AP437" s="6" t="s">
        <v>251</v>
      </c>
      <c r="AQ437" s="6" t="s">
        <v>18</v>
      </c>
    </row>
    <row r="438" spans="1:43" x14ac:dyDescent="0.25">
      <c r="A438" s="6">
        <v>22709107</v>
      </c>
      <c r="B438" s="6">
        <v>23510518</v>
      </c>
      <c r="C438" s="6" t="s">
        <v>237</v>
      </c>
      <c r="D438" s="14">
        <v>45877.656956018523</v>
      </c>
      <c r="E438" s="14">
        <v>45877.660416666673</v>
      </c>
      <c r="F438" s="6" t="s">
        <v>19</v>
      </c>
      <c r="G438" s="6" t="s">
        <v>19</v>
      </c>
      <c r="H438" s="6" t="s">
        <v>1683</v>
      </c>
      <c r="I438" s="6" t="s">
        <v>16</v>
      </c>
      <c r="J438" s="6" t="s">
        <v>1684</v>
      </c>
      <c r="K438" s="6" t="s">
        <v>1685</v>
      </c>
      <c r="L438" s="6" t="s">
        <v>1685</v>
      </c>
      <c r="M438" s="14">
        <v>45877.467361111107</v>
      </c>
      <c r="N438" s="6" t="s">
        <v>1686</v>
      </c>
      <c r="O438" s="6" t="s">
        <v>83</v>
      </c>
      <c r="P438" s="6" t="s">
        <v>272</v>
      </c>
      <c r="Q438" s="6" t="s">
        <v>616</v>
      </c>
      <c r="R438" s="6" t="s">
        <v>616</v>
      </c>
      <c r="S438" s="6" t="s">
        <v>9</v>
      </c>
      <c r="T438" s="6" t="s">
        <v>245</v>
      </c>
      <c r="U438" s="6" t="s">
        <v>119</v>
      </c>
      <c r="V438" s="6" t="s">
        <v>1547</v>
      </c>
      <c r="W438" s="6" t="s">
        <v>83</v>
      </c>
      <c r="X438" s="6" t="s">
        <v>83</v>
      </c>
      <c r="Y438" s="6" t="s">
        <v>83</v>
      </c>
      <c r="Z438" s="6" t="s">
        <v>54</v>
      </c>
      <c r="AA438" s="6" t="s">
        <v>83</v>
      </c>
      <c r="AB438" s="6">
        <v>375</v>
      </c>
      <c r="AC438" s="6">
        <v>11.25</v>
      </c>
      <c r="AD438" s="6">
        <v>0</v>
      </c>
      <c r="AE438" s="6">
        <v>0</v>
      </c>
      <c r="AF438" s="6">
        <v>0</v>
      </c>
      <c r="AG438" s="6">
        <v>0</v>
      </c>
      <c r="AH438" s="6">
        <v>0</v>
      </c>
      <c r="AI438" s="6" t="s">
        <v>248</v>
      </c>
      <c r="AJ438" s="6" t="s">
        <v>259</v>
      </c>
      <c r="AK438" s="6" t="s">
        <v>16</v>
      </c>
      <c r="AL438" s="6" t="s">
        <v>50</v>
      </c>
      <c r="AM438" s="6" t="s">
        <v>260</v>
      </c>
      <c r="AN438" s="6" t="s">
        <v>20</v>
      </c>
      <c r="AO438" s="6" t="s">
        <v>250</v>
      </c>
      <c r="AP438" s="6" t="s">
        <v>251</v>
      </c>
      <c r="AQ438" s="6" t="s">
        <v>18</v>
      </c>
    </row>
    <row r="439" spans="1:43" x14ac:dyDescent="0.25">
      <c r="A439" s="6">
        <v>22702914</v>
      </c>
      <c r="B439" s="6">
        <v>23505033</v>
      </c>
      <c r="C439" s="6" t="s">
        <v>237</v>
      </c>
      <c r="D439" s="14">
        <v>45876.762245370373</v>
      </c>
      <c r="E439" s="14">
        <v>45876.771747685183</v>
      </c>
      <c r="F439" s="6" t="s">
        <v>21</v>
      </c>
      <c r="G439" s="6" t="s">
        <v>21</v>
      </c>
      <c r="H439" s="6" t="s">
        <v>1687</v>
      </c>
      <c r="I439" s="6" t="s">
        <v>16</v>
      </c>
      <c r="J439" s="6" t="s">
        <v>1688</v>
      </c>
      <c r="K439" s="6" t="s">
        <v>359</v>
      </c>
      <c r="L439" s="6" t="s">
        <v>1685</v>
      </c>
      <c r="M439" s="14">
        <v>45875</v>
      </c>
      <c r="N439" s="6" t="s">
        <v>1689</v>
      </c>
      <c r="O439" s="6" t="s">
        <v>83</v>
      </c>
      <c r="P439" s="6" t="s">
        <v>272</v>
      </c>
      <c r="Q439" s="6" t="s">
        <v>256</v>
      </c>
      <c r="R439" s="6" t="s">
        <v>424</v>
      </c>
      <c r="S439" s="6" t="s">
        <v>7</v>
      </c>
      <c r="T439" s="6" t="s">
        <v>245</v>
      </c>
      <c r="U439" s="6" t="s">
        <v>119</v>
      </c>
      <c r="V439" s="6" t="s">
        <v>1547</v>
      </c>
      <c r="W439" s="6" t="s">
        <v>83</v>
      </c>
      <c r="X439" s="6" t="s">
        <v>247</v>
      </c>
      <c r="Y439" s="6">
        <v>2971606798</v>
      </c>
      <c r="Z439" s="6" t="s">
        <v>54</v>
      </c>
      <c r="AA439" s="6" t="s">
        <v>83</v>
      </c>
      <c r="AB439" s="6">
        <v>1559.86</v>
      </c>
      <c r="AC439" s="6">
        <v>59.54</v>
      </c>
      <c r="AD439" s="6">
        <v>421.08</v>
      </c>
      <c r="AE439" s="6">
        <v>0</v>
      </c>
      <c r="AF439" s="6">
        <v>59.54</v>
      </c>
      <c r="AG439" s="6">
        <v>0</v>
      </c>
      <c r="AH439" s="6">
        <v>0</v>
      </c>
      <c r="AI439" s="6" t="s">
        <v>248</v>
      </c>
      <c r="AJ439" s="6" t="s">
        <v>1690</v>
      </c>
      <c r="AK439" s="6" t="s">
        <v>16</v>
      </c>
      <c r="AL439" s="6" t="s">
        <v>51</v>
      </c>
      <c r="AM439" s="6" t="s">
        <v>342</v>
      </c>
      <c r="AN439" s="6" t="s">
        <v>26</v>
      </c>
      <c r="AO439" s="6" t="s">
        <v>250</v>
      </c>
      <c r="AP439" s="6" t="s">
        <v>262</v>
      </c>
      <c r="AQ439" s="6" t="s">
        <v>24</v>
      </c>
    </row>
    <row r="440" spans="1:43" x14ac:dyDescent="0.25">
      <c r="A440" s="6">
        <v>22707214</v>
      </c>
      <c r="B440" s="6">
        <v>23508639</v>
      </c>
      <c r="C440" s="6" t="s">
        <v>237</v>
      </c>
      <c r="D440" s="14">
        <v>45877.449120370373</v>
      </c>
      <c r="E440" s="14">
        <v>45877.450439814813</v>
      </c>
      <c r="F440" s="6" t="s">
        <v>19</v>
      </c>
      <c r="G440" s="6" t="s">
        <v>19</v>
      </c>
      <c r="H440" s="6" t="s">
        <v>1691</v>
      </c>
      <c r="I440" s="6" t="s">
        <v>16</v>
      </c>
      <c r="J440" s="6" t="s">
        <v>1692</v>
      </c>
      <c r="K440" s="6" t="s">
        <v>1693</v>
      </c>
      <c r="L440" s="6" t="s">
        <v>1693</v>
      </c>
      <c r="M440" s="14">
        <v>45877.290972222218</v>
      </c>
      <c r="N440" s="6" t="s">
        <v>1694</v>
      </c>
      <c r="O440" s="6" t="s">
        <v>83</v>
      </c>
      <c r="P440" s="6" t="s">
        <v>272</v>
      </c>
      <c r="Q440" s="6" t="s">
        <v>616</v>
      </c>
      <c r="R440" s="6" t="s">
        <v>616</v>
      </c>
      <c r="S440" s="6" t="s">
        <v>9</v>
      </c>
      <c r="T440" s="6" t="s">
        <v>245</v>
      </c>
      <c r="U440" s="6" t="s">
        <v>119</v>
      </c>
      <c r="V440" s="6" t="s">
        <v>1547</v>
      </c>
      <c r="W440" s="6" t="s">
        <v>83</v>
      </c>
      <c r="X440" s="6" t="s">
        <v>83</v>
      </c>
      <c r="Y440" s="6" t="s">
        <v>83</v>
      </c>
      <c r="Z440" s="6" t="s">
        <v>54</v>
      </c>
      <c r="AA440" s="6" t="s">
        <v>83</v>
      </c>
      <c r="AB440" s="6">
        <v>453</v>
      </c>
      <c r="AC440" s="6">
        <v>22.65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248</v>
      </c>
      <c r="AJ440" s="6" t="s">
        <v>259</v>
      </c>
      <c r="AK440" s="6" t="s">
        <v>16</v>
      </c>
      <c r="AL440" s="6" t="s">
        <v>50</v>
      </c>
      <c r="AM440" s="6" t="s">
        <v>260</v>
      </c>
      <c r="AN440" s="6" t="s">
        <v>20</v>
      </c>
      <c r="AO440" s="6" t="s">
        <v>250</v>
      </c>
      <c r="AP440" s="6" t="s">
        <v>251</v>
      </c>
      <c r="AQ440" s="6" t="s">
        <v>18</v>
      </c>
    </row>
    <row r="441" spans="1:43" x14ac:dyDescent="0.25">
      <c r="A441" s="6">
        <v>22723427</v>
      </c>
      <c r="B441" s="6">
        <v>23521707</v>
      </c>
      <c r="C441" s="6" t="s">
        <v>237</v>
      </c>
      <c r="D441" s="14">
        <v>45880.667523148149</v>
      </c>
      <c r="E441" s="14">
        <v>45880.673333333332</v>
      </c>
      <c r="F441" s="6" t="s">
        <v>17</v>
      </c>
      <c r="G441" s="6" t="s">
        <v>17</v>
      </c>
      <c r="H441" s="6" t="s">
        <v>1695</v>
      </c>
      <c r="I441" s="6" t="s">
        <v>16</v>
      </c>
      <c r="J441" s="6" t="s">
        <v>1696</v>
      </c>
      <c r="K441" s="6" t="s">
        <v>1693</v>
      </c>
      <c r="L441" s="6" t="s">
        <v>1693</v>
      </c>
      <c r="M441" s="14">
        <v>45877.604166666657</v>
      </c>
      <c r="N441" s="6" t="s">
        <v>1697</v>
      </c>
      <c r="O441" s="6" t="s">
        <v>83</v>
      </c>
      <c r="P441" s="6" t="s">
        <v>272</v>
      </c>
      <c r="Q441" s="6" t="s">
        <v>616</v>
      </c>
      <c r="R441" s="6" t="s">
        <v>616</v>
      </c>
      <c r="S441" s="6" t="s">
        <v>9</v>
      </c>
      <c r="T441" s="6" t="s">
        <v>245</v>
      </c>
      <c r="U441" s="6" t="s">
        <v>119</v>
      </c>
      <c r="V441" s="6" t="s">
        <v>1590</v>
      </c>
      <c r="W441" s="6" t="s">
        <v>83</v>
      </c>
      <c r="X441" s="6" t="s">
        <v>83</v>
      </c>
      <c r="Y441" s="6" t="s">
        <v>83</v>
      </c>
      <c r="Z441" s="6" t="s">
        <v>54</v>
      </c>
      <c r="AA441" s="6" t="s">
        <v>83</v>
      </c>
      <c r="AB441" s="6">
        <v>1511</v>
      </c>
      <c r="AC441" s="6">
        <v>75.55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 t="s">
        <v>248</v>
      </c>
      <c r="AJ441" s="6" t="s">
        <v>259</v>
      </c>
      <c r="AK441" s="6" t="s">
        <v>16</v>
      </c>
      <c r="AL441" s="6" t="s">
        <v>50</v>
      </c>
      <c r="AM441" s="6" t="s">
        <v>260</v>
      </c>
      <c r="AN441" s="6" t="s">
        <v>20</v>
      </c>
      <c r="AO441" s="6" t="s">
        <v>250</v>
      </c>
      <c r="AP441" s="6" t="s">
        <v>251</v>
      </c>
      <c r="AQ441" s="6" t="s">
        <v>18</v>
      </c>
    </row>
    <row r="442" spans="1:43" x14ac:dyDescent="0.25">
      <c r="A442" s="6">
        <v>22721122</v>
      </c>
      <c r="B442" s="6">
        <v>23519513</v>
      </c>
      <c r="C442" s="6" t="s">
        <v>237</v>
      </c>
      <c r="D442" s="14">
        <v>45880.417719907397</v>
      </c>
      <c r="E442" s="14">
        <v>45880.422002314823</v>
      </c>
      <c r="F442" s="6" t="s">
        <v>17</v>
      </c>
      <c r="G442" s="6" t="s">
        <v>17</v>
      </c>
      <c r="H442" s="6" t="s">
        <v>1698</v>
      </c>
      <c r="I442" s="6" t="s">
        <v>16</v>
      </c>
      <c r="J442" s="6" t="s">
        <v>1699</v>
      </c>
      <c r="K442" s="6" t="s">
        <v>1693</v>
      </c>
      <c r="L442" s="6" t="s">
        <v>1693</v>
      </c>
      <c r="M442" s="14">
        <v>45880.289583333331</v>
      </c>
      <c r="N442" s="6" t="s">
        <v>1700</v>
      </c>
      <c r="O442" s="6" t="s">
        <v>83</v>
      </c>
      <c r="P442" s="6" t="s">
        <v>272</v>
      </c>
      <c r="Q442" s="6" t="s">
        <v>616</v>
      </c>
      <c r="R442" s="6" t="s">
        <v>616</v>
      </c>
      <c r="S442" s="6" t="s">
        <v>9</v>
      </c>
      <c r="T442" s="6" t="s">
        <v>245</v>
      </c>
      <c r="U442" s="6" t="s">
        <v>119</v>
      </c>
      <c r="V442" s="6" t="s">
        <v>1547</v>
      </c>
      <c r="W442" s="6" t="s">
        <v>83</v>
      </c>
      <c r="X442" s="6" t="s">
        <v>83</v>
      </c>
      <c r="Y442" s="6" t="s">
        <v>83</v>
      </c>
      <c r="Z442" s="6" t="s">
        <v>54</v>
      </c>
      <c r="AA442" s="6" t="s">
        <v>83</v>
      </c>
      <c r="AB442" s="6">
        <v>2672</v>
      </c>
      <c r="AC442" s="6">
        <v>0</v>
      </c>
      <c r="AD442" s="6">
        <v>0</v>
      </c>
      <c r="AE442" s="6">
        <v>0</v>
      </c>
      <c r="AF442" s="6">
        <v>0</v>
      </c>
      <c r="AG442" s="6">
        <v>0</v>
      </c>
      <c r="AH442" s="6">
        <v>0</v>
      </c>
      <c r="AI442" s="6" t="s">
        <v>248</v>
      </c>
      <c r="AJ442" s="6" t="s">
        <v>259</v>
      </c>
      <c r="AK442" s="6" t="s">
        <v>16</v>
      </c>
      <c r="AL442" s="6" t="s">
        <v>50</v>
      </c>
      <c r="AM442" s="6" t="s">
        <v>260</v>
      </c>
      <c r="AN442" s="6" t="s">
        <v>20</v>
      </c>
      <c r="AO442" s="6" t="s">
        <v>250</v>
      </c>
      <c r="AP442" s="6" t="s">
        <v>251</v>
      </c>
      <c r="AQ442" s="6" t="s">
        <v>18</v>
      </c>
    </row>
    <row r="443" spans="1:43" x14ac:dyDescent="0.25">
      <c r="A443" s="6">
        <v>22665512</v>
      </c>
      <c r="B443" s="6">
        <v>23473416</v>
      </c>
      <c r="C443" s="6" t="s">
        <v>237</v>
      </c>
      <c r="D443" s="14">
        <v>45870.637569444443</v>
      </c>
      <c r="E443" s="14">
        <v>45874.316874999997</v>
      </c>
      <c r="F443" s="6" t="s">
        <v>21</v>
      </c>
      <c r="G443" s="6" t="s">
        <v>23</v>
      </c>
      <c r="H443" s="6" t="s">
        <v>1701</v>
      </c>
      <c r="I443" s="6" t="s">
        <v>16</v>
      </c>
      <c r="J443" s="6" t="s">
        <v>1702</v>
      </c>
      <c r="K443" s="6" t="s">
        <v>360</v>
      </c>
      <c r="L443" s="6" t="s">
        <v>360</v>
      </c>
      <c r="M443" s="14">
        <v>45866.521527777782</v>
      </c>
      <c r="N443" s="6" t="s">
        <v>1703</v>
      </c>
      <c r="O443" s="6" t="s">
        <v>83</v>
      </c>
      <c r="P443" s="6" t="s">
        <v>242</v>
      </c>
      <c r="Q443" s="6" t="s">
        <v>256</v>
      </c>
      <c r="R443" s="6" t="s">
        <v>256</v>
      </c>
      <c r="S443" s="6" t="s">
        <v>9</v>
      </c>
      <c r="T443" s="6" t="s">
        <v>245</v>
      </c>
      <c r="U443" s="6" t="s">
        <v>172</v>
      </c>
      <c r="V443" s="6" t="s">
        <v>1704</v>
      </c>
      <c r="W443" s="6" t="s">
        <v>83</v>
      </c>
      <c r="X443" s="6" t="s">
        <v>1705</v>
      </c>
      <c r="Y443" s="6" t="s">
        <v>83</v>
      </c>
      <c r="Z443" s="6" t="s">
        <v>108</v>
      </c>
      <c r="AA443" s="6" t="s">
        <v>83</v>
      </c>
      <c r="AB443" s="6">
        <v>7347.6480000000001</v>
      </c>
      <c r="AC443" s="6">
        <v>0</v>
      </c>
      <c r="AD443" s="6">
        <v>0</v>
      </c>
      <c r="AE443" s="6">
        <v>0</v>
      </c>
      <c r="AF443" s="6">
        <v>0</v>
      </c>
      <c r="AG443" s="6">
        <v>0</v>
      </c>
      <c r="AH443" s="6">
        <v>0</v>
      </c>
      <c r="AI443" s="6" t="s">
        <v>248</v>
      </c>
      <c r="AJ443" s="6" t="s">
        <v>1706</v>
      </c>
      <c r="AK443" s="6" t="s">
        <v>16</v>
      </c>
      <c r="AL443" s="6" t="s">
        <v>58</v>
      </c>
      <c r="AM443" s="6" t="s">
        <v>74</v>
      </c>
      <c r="AN443" s="6" t="s">
        <v>20</v>
      </c>
      <c r="AO443" s="6" t="s">
        <v>250</v>
      </c>
      <c r="AP443" s="6" t="s">
        <v>251</v>
      </c>
      <c r="AQ443" s="6" t="s">
        <v>18</v>
      </c>
    </row>
    <row r="444" spans="1:43" x14ac:dyDescent="0.25">
      <c r="A444" s="6">
        <v>22730879</v>
      </c>
      <c r="B444" s="6">
        <v>23528375</v>
      </c>
      <c r="C444" s="6" t="s">
        <v>237</v>
      </c>
      <c r="D444" s="14">
        <v>45881.68136574074</v>
      </c>
      <c r="E444" s="14">
        <v>45881.681481481479</v>
      </c>
      <c r="F444" s="6" t="s">
        <v>17</v>
      </c>
      <c r="G444" s="6" t="s">
        <v>17</v>
      </c>
      <c r="H444" s="6" t="s">
        <v>1707</v>
      </c>
      <c r="I444" s="6" t="s">
        <v>16</v>
      </c>
      <c r="J444" s="6" t="s">
        <v>1708</v>
      </c>
      <c r="K444" s="6" t="s">
        <v>366</v>
      </c>
      <c r="L444" s="6" t="s">
        <v>417</v>
      </c>
      <c r="M444" s="14">
        <v>45863.40625</v>
      </c>
      <c r="N444" s="6" t="s">
        <v>1709</v>
      </c>
      <c r="O444" s="6" t="s">
        <v>83</v>
      </c>
      <c r="P444" s="6" t="s">
        <v>272</v>
      </c>
      <c r="Q444" s="6" t="s">
        <v>243</v>
      </c>
      <c r="R444" s="6" t="s">
        <v>244</v>
      </c>
      <c r="S444" s="6" t="s">
        <v>7</v>
      </c>
      <c r="T444" s="6" t="s">
        <v>245</v>
      </c>
      <c r="U444" s="6" t="s">
        <v>172</v>
      </c>
      <c r="V444" s="6" t="s">
        <v>1704</v>
      </c>
      <c r="W444" s="6" t="s">
        <v>83</v>
      </c>
      <c r="X444" s="6" t="s">
        <v>247</v>
      </c>
      <c r="Y444" s="6">
        <v>2952834974</v>
      </c>
      <c r="Z444" s="6" t="s">
        <v>108</v>
      </c>
      <c r="AA444" s="6" t="s">
        <v>83</v>
      </c>
      <c r="AB444" s="6">
        <v>3209.0974999999999</v>
      </c>
      <c r="AC444" s="6">
        <v>173.08</v>
      </c>
      <c r="AD444" s="6">
        <v>0</v>
      </c>
      <c r="AE444" s="6">
        <v>0</v>
      </c>
      <c r="AF444" s="6">
        <v>173.08</v>
      </c>
      <c r="AG444" s="6">
        <v>0</v>
      </c>
      <c r="AH444" s="6">
        <v>0</v>
      </c>
      <c r="AI444" s="6" t="s">
        <v>248</v>
      </c>
      <c r="AJ444" s="6" t="s">
        <v>1710</v>
      </c>
      <c r="AK444" s="6" t="s">
        <v>16</v>
      </c>
      <c r="AL444" s="6" t="s">
        <v>68</v>
      </c>
      <c r="AM444" s="6" t="s">
        <v>421</v>
      </c>
      <c r="AN444" s="6" t="s">
        <v>20</v>
      </c>
      <c r="AO444" s="6" t="s">
        <v>250</v>
      </c>
      <c r="AP444" s="6" t="s">
        <v>251</v>
      </c>
      <c r="AQ444" s="6" t="s">
        <v>33</v>
      </c>
    </row>
    <row r="445" spans="1:43" x14ac:dyDescent="0.25">
      <c r="A445" s="6">
        <v>22730879</v>
      </c>
      <c r="B445" s="6">
        <v>23528376</v>
      </c>
      <c r="C445" s="6" t="s">
        <v>378</v>
      </c>
      <c r="D445" s="14">
        <v>45881.68136574074</v>
      </c>
      <c r="E445" s="14">
        <v>45881.681481481479</v>
      </c>
      <c r="F445" s="6" t="s">
        <v>17</v>
      </c>
      <c r="G445" s="6" t="s">
        <v>17</v>
      </c>
      <c r="H445" s="6" t="s">
        <v>1707</v>
      </c>
      <c r="I445" s="6" t="s">
        <v>16</v>
      </c>
      <c r="J445" s="6" t="s">
        <v>1708</v>
      </c>
      <c r="K445" s="6" t="s">
        <v>366</v>
      </c>
      <c r="L445" s="6" t="s">
        <v>417</v>
      </c>
      <c r="M445" s="14">
        <v>45863.40625</v>
      </c>
      <c r="N445" s="6" t="s">
        <v>1709</v>
      </c>
      <c r="O445" s="6" t="s">
        <v>83</v>
      </c>
      <c r="P445" s="6" t="s">
        <v>272</v>
      </c>
      <c r="Q445" s="6" t="s">
        <v>361</v>
      </c>
      <c r="R445" s="6" t="s">
        <v>339</v>
      </c>
      <c r="S445" s="6" t="s">
        <v>7</v>
      </c>
      <c r="T445" s="6" t="s">
        <v>245</v>
      </c>
      <c r="U445" s="6" t="s">
        <v>172</v>
      </c>
      <c r="V445" s="6" t="s">
        <v>1704</v>
      </c>
      <c r="W445" s="6" t="s">
        <v>83</v>
      </c>
      <c r="X445" s="6" t="s">
        <v>247</v>
      </c>
      <c r="Y445" s="6">
        <v>2952834974</v>
      </c>
      <c r="Z445" s="6" t="s">
        <v>108</v>
      </c>
      <c r="AA445" s="6" t="s">
        <v>83</v>
      </c>
      <c r="AB445" s="6">
        <v>0</v>
      </c>
      <c r="AC445" s="6">
        <v>0</v>
      </c>
      <c r="AD445" s="6">
        <v>0</v>
      </c>
      <c r="AE445" s="6">
        <v>0</v>
      </c>
      <c r="AF445" s="6">
        <v>0</v>
      </c>
      <c r="AG445" s="6">
        <v>0</v>
      </c>
      <c r="AH445" s="6">
        <v>0</v>
      </c>
      <c r="AI445" s="6" t="s">
        <v>248</v>
      </c>
      <c r="AJ445" s="6" t="s">
        <v>1710</v>
      </c>
      <c r="AK445" s="6" t="s">
        <v>16</v>
      </c>
      <c r="AL445" s="6" t="s">
        <v>68</v>
      </c>
      <c r="AM445" s="6" t="s">
        <v>421</v>
      </c>
      <c r="AN445" s="6" t="s">
        <v>20</v>
      </c>
      <c r="AO445" s="6" t="s">
        <v>250</v>
      </c>
      <c r="AP445" s="6" t="s">
        <v>251</v>
      </c>
      <c r="AQ445" s="6" t="s">
        <v>33</v>
      </c>
    </row>
    <row r="446" spans="1:43" x14ac:dyDescent="0.25">
      <c r="A446" s="6">
        <v>22730879</v>
      </c>
      <c r="B446" s="6">
        <v>23528377</v>
      </c>
      <c r="C446" s="6" t="s">
        <v>426</v>
      </c>
      <c r="D446" s="14">
        <v>45881.68136574074</v>
      </c>
      <c r="E446" s="14">
        <v>45881.681481481479</v>
      </c>
      <c r="F446" s="6" t="s">
        <v>17</v>
      </c>
      <c r="G446" s="6" t="s">
        <v>17</v>
      </c>
      <c r="H446" s="6" t="s">
        <v>1707</v>
      </c>
      <c r="I446" s="6" t="s">
        <v>16</v>
      </c>
      <c r="J446" s="6" t="s">
        <v>1708</v>
      </c>
      <c r="K446" s="6" t="s">
        <v>366</v>
      </c>
      <c r="L446" s="6" t="s">
        <v>417</v>
      </c>
      <c r="M446" s="14">
        <v>45863.40625</v>
      </c>
      <c r="N446" s="6" t="s">
        <v>1709</v>
      </c>
      <c r="O446" s="6" t="s">
        <v>83</v>
      </c>
      <c r="P446" s="6" t="s">
        <v>272</v>
      </c>
      <c r="Q446" s="6" t="s">
        <v>361</v>
      </c>
      <c r="R446" s="6" t="s">
        <v>339</v>
      </c>
      <c r="S446" s="6" t="s">
        <v>7</v>
      </c>
      <c r="T446" s="6" t="s">
        <v>245</v>
      </c>
      <c r="U446" s="6" t="s">
        <v>172</v>
      </c>
      <c r="V446" s="6" t="s">
        <v>1704</v>
      </c>
      <c r="W446" s="6" t="s">
        <v>83</v>
      </c>
      <c r="X446" s="6" t="s">
        <v>247</v>
      </c>
      <c r="Y446" s="6">
        <v>2952834974</v>
      </c>
      <c r="Z446" s="6" t="s">
        <v>108</v>
      </c>
      <c r="AA446" s="6" t="s">
        <v>83</v>
      </c>
      <c r="AB446" s="6">
        <v>0</v>
      </c>
      <c r="AC446" s="6">
        <v>0</v>
      </c>
      <c r="AD446" s="6">
        <v>0</v>
      </c>
      <c r="AE446" s="6">
        <v>0</v>
      </c>
      <c r="AF446" s="6">
        <v>53.57</v>
      </c>
      <c r="AG446" s="6">
        <v>0</v>
      </c>
      <c r="AH446" s="6">
        <v>0</v>
      </c>
      <c r="AI446" s="6" t="s">
        <v>248</v>
      </c>
      <c r="AJ446" s="6" t="s">
        <v>1710</v>
      </c>
      <c r="AK446" s="6" t="s">
        <v>16</v>
      </c>
      <c r="AL446" s="6" t="s">
        <v>68</v>
      </c>
      <c r="AM446" s="6" t="s">
        <v>421</v>
      </c>
      <c r="AN446" s="6" t="s">
        <v>20</v>
      </c>
      <c r="AO446" s="6" t="s">
        <v>250</v>
      </c>
      <c r="AP446" s="6" t="s">
        <v>251</v>
      </c>
      <c r="AQ446" s="6" t="s">
        <v>33</v>
      </c>
    </row>
    <row r="447" spans="1:43" x14ac:dyDescent="0.25">
      <c r="A447" s="6">
        <v>22730882</v>
      </c>
      <c r="B447" s="6">
        <v>23528384</v>
      </c>
      <c r="C447" s="6" t="s">
        <v>237</v>
      </c>
      <c r="D447" s="14">
        <v>45881.681655092587</v>
      </c>
      <c r="E447" s="14">
        <v>45881.685659722221</v>
      </c>
      <c r="F447" s="6" t="s">
        <v>17</v>
      </c>
      <c r="G447" s="6" t="s">
        <v>17</v>
      </c>
      <c r="H447" s="6" t="s">
        <v>1711</v>
      </c>
      <c r="I447" s="6" t="s">
        <v>16</v>
      </c>
      <c r="J447" s="6" t="s">
        <v>1712</v>
      </c>
      <c r="K447" s="6" t="s">
        <v>366</v>
      </c>
      <c r="L447" s="6" t="s">
        <v>417</v>
      </c>
      <c r="M447" s="14">
        <v>45863.404861111107</v>
      </c>
      <c r="N447" s="6" t="s">
        <v>1713</v>
      </c>
      <c r="O447" s="6" t="s">
        <v>83</v>
      </c>
      <c r="P447" s="6" t="s">
        <v>272</v>
      </c>
      <c r="Q447" s="6" t="s">
        <v>243</v>
      </c>
      <c r="R447" s="6" t="s">
        <v>244</v>
      </c>
      <c r="S447" s="6" t="s">
        <v>7</v>
      </c>
      <c r="T447" s="6" t="s">
        <v>245</v>
      </c>
      <c r="U447" s="6" t="s">
        <v>172</v>
      </c>
      <c r="V447" s="6" t="s">
        <v>1704</v>
      </c>
      <c r="W447" s="6" t="s">
        <v>83</v>
      </c>
      <c r="X447" s="6" t="s">
        <v>247</v>
      </c>
      <c r="Y447" s="6">
        <v>2952834975</v>
      </c>
      <c r="Z447" s="6" t="s">
        <v>108</v>
      </c>
      <c r="AA447" s="6" t="s">
        <v>83</v>
      </c>
      <c r="AB447" s="6">
        <v>3209.0974999999999</v>
      </c>
      <c r="AC447" s="6">
        <v>0</v>
      </c>
      <c r="AD447" s="6">
        <v>493.98</v>
      </c>
      <c r="AE447" s="6">
        <v>0</v>
      </c>
      <c r="AF447" s="6">
        <v>173.08</v>
      </c>
      <c r="AG447" s="6">
        <v>0</v>
      </c>
      <c r="AH447" s="6">
        <v>0</v>
      </c>
      <c r="AI447" s="6" t="s">
        <v>248</v>
      </c>
      <c r="AJ447" s="6" t="s">
        <v>1714</v>
      </c>
      <c r="AK447" s="6" t="s">
        <v>16</v>
      </c>
      <c r="AL447" s="6" t="s">
        <v>68</v>
      </c>
      <c r="AM447" s="6" t="s">
        <v>421</v>
      </c>
      <c r="AN447" s="6" t="s">
        <v>20</v>
      </c>
      <c r="AO447" s="6" t="s">
        <v>250</v>
      </c>
      <c r="AP447" s="6" t="s">
        <v>251</v>
      </c>
      <c r="AQ447" s="6" t="s">
        <v>33</v>
      </c>
    </row>
    <row r="448" spans="1:43" x14ac:dyDescent="0.25">
      <c r="A448" s="6">
        <v>22730882</v>
      </c>
      <c r="B448" s="6">
        <v>23528385</v>
      </c>
      <c r="C448" s="6" t="s">
        <v>378</v>
      </c>
      <c r="D448" s="14">
        <v>45881.681655092587</v>
      </c>
      <c r="E448" s="14">
        <v>45881.685659722221</v>
      </c>
      <c r="F448" s="6" t="s">
        <v>17</v>
      </c>
      <c r="G448" s="6" t="s">
        <v>17</v>
      </c>
      <c r="H448" s="6" t="s">
        <v>1711</v>
      </c>
      <c r="I448" s="6" t="s">
        <v>16</v>
      </c>
      <c r="J448" s="6" t="s">
        <v>1712</v>
      </c>
      <c r="K448" s="6" t="s">
        <v>366</v>
      </c>
      <c r="L448" s="6" t="s">
        <v>417</v>
      </c>
      <c r="M448" s="14">
        <v>45863.404861111107</v>
      </c>
      <c r="N448" s="6" t="s">
        <v>1713</v>
      </c>
      <c r="O448" s="6" t="s">
        <v>83</v>
      </c>
      <c r="P448" s="6" t="s">
        <v>272</v>
      </c>
      <c r="Q448" s="6" t="s">
        <v>361</v>
      </c>
      <c r="R448" s="6" t="s">
        <v>339</v>
      </c>
      <c r="S448" s="6" t="s">
        <v>7</v>
      </c>
      <c r="T448" s="6" t="s">
        <v>245</v>
      </c>
      <c r="U448" s="6" t="s">
        <v>172</v>
      </c>
      <c r="V448" s="6" t="s">
        <v>1704</v>
      </c>
      <c r="W448" s="6" t="s">
        <v>83</v>
      </c>
      <c r="X448" s="6" t="s">
        <v>247</v>
      </c>
      <c r="Y448" s="6">
        <v>2952834975</v>
      </c>
      <c r="Z448" s="6" t="s">
        <v>108</v>
      </c>
      <c r="AA448" s="6" t="s">
        <v>83</v>
      </c>
      <c r="AB448" s="6">
        <v>0</v>
      </c>
      <c r="AC448" s="6">
        <v>0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248</v>
      </c>
      <c r="AJ448" s="6" t="s">
        <v>1714</v>
      </c>
      <c r="AK448" s="6" t="s">
        <v>16</v>
      </c>
      <c r="AL448" s="6" t="s">
        <v>68</v>
      </c>
      <c r="AM448" s="6" t="s">
        <v>421</v>
      </c>
      <c r="AN448" s="6" t="s">
        <v>20</v>
      </c>
      <c r="AO448" s="6" t="s">
        <v>250</v>
      </c>
      <c r="AP448" s="6" t="s">
        <v>251</v>
      </c>
      <c r="AQ448" s="6" t="s">
        <v>33</v>
      </c>
    </row>
    <row r="449" spans="1:43" x14ac:dyDescent="0.25">
      <c r="A449" s="6">
        <v>22730882</v>
      </c>
      <c r="B449" s="6">
        <v>23528386</v>
      </c>
      <c r="C449" s="6" t="s">
        <v>426</v>
      </c>
      <c r="D449" s="14">
        <v>45881.681655092587</v>
      </c>
      <c r="E449" s="14">
        <v>45881.685659722221</v>
      </c>
      <c r="F449" s="6" t="s">
        <v>17</v>
      </c>
      <c r="G449" s="6" t="s">
        <v>17</v>
      </c>
      <c r="H449" s="6" t="s">
        <v>1711</v>
      </c>
      <c r="I449" s="6" t="s">
        <v>16</v>
      </c>
      <c r="J449" s="6" t="s">
        <v>1712</v>
      </c>
      <c r="K449" s="6" t="s">
        <v>366</v>
      </c>
      <c r="L449" s="6" t="s">
        <v>417</v>
      </c>
      <c r="M449" s="14">
        <v>45863.404861111107</v>
      </c>
      <c r="N449" s="6" t="s">
        <v>1713</v>
      </c>
      <c r="O449" s="6" t="s">
        <v>83</v>
      </c>
      <c r="P449" s="6" t="s">
        <v>272</v>
      </c>
      <c r="Q449" s="6" t="s">
        <v>361</v>
      </c>
      <c r="R449" s="6" t="s">
        <v>339</v>
      </c>
      <c r="S449" s="6" t="s">
        <v>7</v>
      </c>
      <c r="T449" s="6" t="s">
        <v>245</v>
      </c>
      <c r="U449" s="6" t="s">
        <v>172</v>
      </c>
      <c r="V449" s="6" t="s">
        <v>1704</v>
      </c>
      <c r="W449" s="6" t="s">
        <v>83</v>
      </c>
      <c r="X449" s="6" t="s">
        <v>247</v>
      </c>
      <c r="Y449" s="6">
        <v>2952834975</v>
      </c>
      <c r="Z449" s="6" t="s">
        <v>108</v>
      </c>
      <c r="AA449" s="6" t="s">
        <v>83</v>
      </c>
      <c r="AB449" s="6">
        <v>0</v>
      </c>
      <c r="AC449" s="6">
        <v>0</v>
      </c>
      <c r="AD449" s="6">
        <v>0</v>
      </c>
      <c r="AE449" s="6">
        <v>0</v>
      </c>
      <c r="AF449" s="6">
        <v>53.57</v>
      </c>
      <c r="AG449" s="6">
        <v>0</v>
      </c>
      <c r="AH449" s="6">
        <v>0</v>
      </c>
      <c r="AI449" s="6" t="s">
        <v>248</v>
      </c>
      <c r="AJ449" s="6" t="s">
        <v>1714</v>
      </c>
      <c r="AK449" s="6" t="s">
        <v>16</v>
      </c>
      <c r="AL449" s="6" t="s">
        <v>68</v>
      </c>
      <c r="AM449" s="6" t="s">
        <v>421</v>
      </c>
      <c r="AN449" s="6" t="s">
        <v>20</v>
      </c>
      <c r="AO449" s="6" t="s">
        <v>250</v>
      </c>
      <c r="AP449" s="6" t="s">
        <v>251</v>
      </c>
      <c r="AQ449" s="6" t="s">
        <v>33</v>
      </c>
    </row>
    <row r="450" spans="1:43" x14ac:dyDescent="0.25">
      <c r="A450" s="6">
        <v>22707072</v>
      </c>
      <c r="B450" s="6">
        <v>23508507</v>
      </c>
      <c r="C450" s="6" t="s">
        <v>237</v>
      </c>
      <c r="D450" s="14">
        <v>45877.429120370369</v>
      </c>
      <c r="E450" s="14">
        <v>45877.429571759261</v>
      </c>
      <c r="F450" s="6" t="s">
        <v>19</v>
      </c>
      <c r="G450" s="6" t="s">
        <v>19</v>
      </c>
      <c r="H450" s="6" t="s">
        <v>1715</v>
      </c>
      <c r="I450" s="6" t="s">
        <v>16</v>
      </c>
      <c r="J450" s="6" t="s">
        <v>1716</v>
      </c>
      <c r="K450" s="6" t="s">
        <v>366</v>
      </c>
      <c r="L450" s="6" t="s">
        <v>417</v>
      </c>
      <c r="M450" s="14">
        <v>45876.540972222218</v>
      </c>
      <c r="N450" s="6" t="s">
        <v>1717</v>
      </c>
      <c r="O450" s="6" t="s">
        <v>83</v>
      </c>
      <c r="P450" s="6" t="s">
        <v>272</v>
      </c>
      <c r="Q450" s="6" t="s">
        <v>361</v>
      </c>
      <c r="R450" s="6" t="s">
        <v>339</v>
      </c>
      <c r="S450" s="6" t="s">
        <v>7</v>
      </c>
      <c r="T450" s="6" t="s">
        <v>245</v>
      </c>
      <c r="U450" s="6" t="s">
        <v>172</v>
      </c>
      <c r="V450" s="6" t="s">
        <v>1704</v>
      </c>
      <c r="W450" s="6" t="s">
        <v>83</v>
      </c>
      <c r="X450" s="6" t="s">
        <v>247</v>
      </c>
      <c r="Y450" s="6">
        <v>2952816553</v>
      </c>
      <c r="Z450" s="6" t="s">
        <v>108</v>
      </c>
      <c r="AA450" s="6" t="s">
        <v>83</v>
      </c>
      <c r="AB450" s="6">
        <v>0</v>
      </c>
      <c r="AC450" s="6">
        <v>0</v>
      </c>
      <c r="AD450" s="6">
        <v>450</v>
      </c>
      <c r="AE450" s="6">
        <v>0</v>
      </c>
      <c r="AF450" s="6">
        <v>67.209999999999994</v>
      </c>
      <c r="AG450" s="6">
        <v>0</v>
      </c>
      <c r="AH450" s="6">
        <v>0</v>
      </c>
      <c r="AI450" s="6" t="s">
        <v>248</v>
      </c>
      <c r="AJ450" s="6" t="s">
        <v>1718</v>
      </c>
      <c r="AK450" s="6" t="s">
        <v>16</v>
      </c>
      <c r="AL450" s="6" t="s">
        <v>51</v>
      </c>
      <c r="AM450" s="6" t="s">
        <v>342</v>
      </c>
      <c r="AN450" s="6" t="s">
        <v>26</v>
      </c>
      <c r="AO450" s="6" t="s">
        <v>250</v>
      </c>
      <c r="AP450" s="6" t="s">
        <v>262</v>
      </c>
      <c r="AQ450" s="6" t="s">
        <v>24</v>
      </c>
    </row>
    <row r="451" spans="1:43" x14ac:dyDescent="0.25">
      <c r="A451" s="6">
        <v>22677867</v>
      </c>
      <c r="B451" s="6">
        <v>23482464</v>
      </c>
      <c r="C451" s="6" t="s">
        <v>237</v>
      </c>
      <c r="D451" s="14">
        <v>45873.487233796302</v>
      </c>
      <c r="E451" s="14">
        <v>45874.31689814815</v>
      </c>
      <c r="F451" s="6" t="s">
        <v>21</v>
      </c>
      <c r="G451" s="6" t="s">
        <v>23</v>
      </c>
      <c r="H451" s="6" t="s">
        <v>1719</v>
      </c>
      <c r="I451" s="6" t="s">
        <v>16</v>
      </c>
      <c r="J451" s="6" t="s">
        <v>1720</v>
      </c>
      <c r="K451" s="6" t="s">
        <v>562</v>
      </c>
      <c r="L451" s="6" t="s">
        <v>562</v>
      </c>
      <c r="M451" s="14">
        <v>45873.39166666667</v>
      </c>
      <c r="N451" s="6" t="s">
        <v>1721</v>
      </c>
      <c r="O451" s="6" t="s">
        <v>83</v>
      </c>
      <c r="P451" s="6" t="s">
        <v>272</v>
      </c>
      <c r="Q451" s="6" t="s">
        <v>616</v>
      </c>
      <c r="R451" s="6" t="s">
        <v>616</v>
      </c>
      <c r="S451" s="6" t="s">
        <v>9</v>
      </c>
      <c r="T451" s="6" t="s">
        <v>245</v>
      </c>
      <c r="U451" s="6" t="s">
        <v>158</v>
      </c>
      <c r="V451" s="6" t="s">
        <v>1722</v>
      </c>
      <c r="W451" s="6" t="s">
        <v>353</v>
      </c>
      <c r="X451" s="6" t="s">
        <v>1723</v>
      </c>
      <c r="Y451" s="6" t="s">
        <v>83</v>
      </c>
      <c r="Z451" s="6" t="s">
        <v>98</v>
      </c>
      <c r="AA451" s="6" t="s">
        <v>83</v>
      </c>
      <c r="AB451" s="6">
        <v>0</v>
      </c>
      <c r="AC451" s="6">
        <v>0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 t="s">
        <v>248</v>
      </c>
      <c r="AJ451" s="6" t="s">
        <v>362</v>
      </c>
      <c r="AK451" s="6" t="s">
        <v>16</v>
      </c>
      <c r="AL451" s="6" t="s">
        <v>62</v>
      </c>
      <c r="AM451" s="6" t="s">
        <v>363</v>
      </c>
      <c r="AN451" s="6" t="s">
        <v>20</v>
      </c>
      <c r="AO451" s="6" t="s">
        <v>261</v>
      </c>
      <c r="AP451" s="6" t="s">
        <v>262</v>
      </c>
      <c r="AQ451" s="6" t="s">
        <v>30</v>
      </c>
    </row>
    <row r="452" spans="1:43" x14ac:dyDescent="0.25">
      <c r="A452" s="6">
        <v>22677868</v>
      </c>
      <c r="B452" s="6">
        <v>23482465</v>
      </c>
      <c r="C452" s="6" t="s">
        <v>237</v>
      </c>
      <c r="D452" s="14">
        <v>45873.487268518518</v>
      </c>
      <c r="E452" s="14">
        <v>45874.31689814815</v>
      </c>
      <c r="F452" s="6" t="s">
        <v>21</v>
      </c>
      <c r="G452" s="6" t="s">
        <v>23</v>
      </c>
      <c r="H452" s="6" t="s">
        <v>1724</v>
      </c>
      <c r="I452" s="6" t="s">
        <v>16</v>
      </c>
      <c r="J452" s="6" t="s">
        <v>1725</v>
      </c>
      <c r="K452" s="6" t="s">
        <v>562</v>
      </c>
      <c r="L452" s="6" t="s">
        <v>562</v>
      </c>
      <c r="M452" s="14">
        <v>45873.395833333343</v>
      </c>
      <c r="N452" s="6" t="s">
        <v>1726</v>
      </c>
      <c r="O452" s="6" t="s">
        <v>83</v>
      </c>
      <c r="P452" s="6" t="s">
        <v>272</v>
      </c>
      <c r="Q452" s="6" t="s">
        <v>616</v>
      </c>
      <c r="R452" s="6" t="s">
        <v>616</v>
      </c>
      <c r="S452" s="6" t="s">
        <v>9</v>
      </c>
      <c r="T452" s="6" t="s">
        <v>245</v>
      </c>
      <c r="U452" s="6" t="s">
        <v>158</v>
      </c>
      <c r="V452" s="6" t="s">
        <v>1722</v>
      </c>
      <c r="W452" s="6" t="s">
        <v>353</v>
      </c>
      <c r="X452" s="6" t="s">
        <v>1723</v>
      </c>
      <c r="Y452" s="6" t="s">
        <v>83</v>
      </c>
      <c r="Z452" s="6" t="s">
        <v>98</v>
      </c>
      <c r="AA452" s="6" t="s">
        <v>83</v>
      </c>
      <c r="AB452" s="6">
        <v>0</v>
      </c>
      <c r="AC452" s="6">
        <v>0</v>
      </c>
      <c r="AD452" s="6">
        <v>0</v>
      </c>
      <c r="AE452" s="6">
        <v>0</v>
      </c>
      <c r="AF452" s="6">
        <v>0</v>
      </c>
      <c r="AG452" s="6">
        <v>0</v>
      </c>
      <c r="AH452" s="6">
        <v>0</v>
      </c>
      <c r="AI452" s="6" t="s">
        <v>248</v>
      </c>
      <c r="AJ452" s="6" t="s">
        <v>362</v>
      </c>
      <c r="AK452" s="6" t="s">
        <v>16</v>
      </c>
      <c r="AL452" s="6" t="s">
        <v>62</v>
      </c>
      <c r="AM452" s="6" t="s">
        <v>363</v>
      </c>
      <c r="AN452" s="6" t="s">
        <v>20</v>
      </c>
      <c r="AO452" s="6" t="s">
        <v>261</v>
      </c>
      <c r="AP452" s="6" t="s">
        <v>262</v>
      </c>
      <c r="AQ452" s="6" t="s">
        <v>30</v>
      </c>
    </row>
    <row r="453" spans="1:43" x14ac:dyDescent="0.25">
      <c r="A453" s="6">
        <v>22731397</v>
      </c>
      <c r="B453" s="6">
        <v>23528863</v>
      </c>
      <c r="C453" s="6" t="s">
        <v>237</v>
      </c>
      <c r="D453" s="14">
        <v>45881.742951388893</v>
      </c>
      <c r="E453" s="14">
        <v>45882.223055555558</v>
      </c>
      <c r="F453" s="6" t="s">
        <v>17</v>
      </c>
      <c r="G453" s="6" t="s">
        <v>17</v>
      </c>
      <c r="H453" s="6" t="s">
        <v>1727</v>
      </c>
      <c r="I453" s="6" t="s">
        <v>16</v>
      </c>
      <c r="J453" s="6" t="s">
        <v>1728</v>
      </c>
      <c r="K453" s="6" t="s">
        <v>417</v>
      </c>
      <c r="L453" s="6" t="s">
        <v>417</v>
      </c>
      <c r="M453" s="14">
        <v>45881.620138888888</v>
      </c>
      <c r="N453" s="6" t="s">
        <v>1729</v>
      </c>
      <c r="O453" s="6" t="s">
        <v>83</v>
      </c>
      <c r="P453" s="6" t="s">
        <v>272</v>
      </c>
      <c r="Q453" s="6" t="s">
        <v>256</v>
      </c>
      <c r="R453" s="6" t="s">
        <v>256</v>
      </c>
      <c r="S453" s="6" t="s">
        <v>9</v>
      </c>
      <c r="T453" s="6" t="s">
        <v>245</v>
      </c>
      <c r="U453" s="6" t="s">
        <v>158</v>
      </c>
      <c r="V453" s="6" t="s">
        <v>1722</v>
      </c>
      <c r="W453" s="6" t="s">
        <v>353</v>
      </c>
      <c r="X453" s="6" t="s">
        <v>83</v>
      </c>
      <c r="Y453" s="6" t="s">
        <v>83</v>
      </c>
      <c r="Z453" s="6" t="s">
        <v>98</v>
      </c>
      <c r="AA453" s="6" t="s">
        <v>83</v>
      </c>
      <c r="AB453" s="6">
        <v>486.2</v>
      </c>
      <c r="AC453" s="6">
        <v>0</v>
      </c>
      <c r="AD453" s="6">
        <v>0</v>
      </c>
      <c r="AE453" s="6">
        <v>0</v>
      </c>
      <c r="AF453" s="6">
        <v>0</v>
      </c>
      <c r="AG453" s="6">
        <v>0</v>
      </c>
      <c r="AH453" s="6">
        <v>43.58</v>
      </c>
      <c r="AI453" s="6" t="s">
        <v>248</v>
      </c>
      <c r="AJ453" s="6" t="s">
        <v>259</v>
      </c>
      <c r="AK453" s="6" t="s">
        <v>16</v>
      </c>
      <c r="AL453" s="6" t="s">
        <v>50</v>
      </c>
      <c r="AM453" s="6" t="s">
        <v>260</v>
      </c>
      <c r="AN453" s="6" t="s">
        <v>20</v>
      </c>
      <c r="AO453" s="6" t="s">
        <v>250</v>
      </c>
      <c r="AP453" s="6" t="s">
        <v>251</v>
      </c>
      <c r="AQ453" s="6" t="s">
        <v>18</v>
      </c>
    </row>
    <row r="454" spans="1:43" x14ac:dyDescent="0.25">
      <c r="A454" s="6">
        <v>22709284</v>
      </c>
      <c r="B454" s="6">
        <v>23510695</v>
      </c>
      <c r="C454" s="6" t="s">
        <v>237</v>
      </c>
      <c r="D454" s="14">
        <v>45877.680659722217</v>
      </c>
      <c r="E454" s="14">
        <v>45878.223171296297</v>
      </c>
      <c r="F454" s="6" t="s">
        <v>19</v>
      </c>
      <c r="G454" s="6" t="s">
        <v>19</v>
      </c>
      <c r="H454" s="6" t="s">
        <v>1730</v>
      </c>
      <c r="I454" s="6" t="s">
        <v>16</v>
      </c>
      <c r="J454" s="6" t="s">
        <v>1731</v>
      </c>
      <c r="K454" s="6" t="s">
        <v>360</v>
      </c>
      <c r="L454" s="6" t="s">
        <v>360</v>
      </c>
      <c r="M454" s="14">
        <v>45876.559027777781</v>
      </c>
      <c r="N454" s="6" t="s">
        <v>1732</v>
      </c>
      <c r="O454" s="6" t="s">
        <v>83</v>
      </c>
      <c r="P454" s="6" t="s">
        <v>242</v>
      </c>
      <c r="Q454" s="6" t="s">
        <v>256</v>
      </c>
      <c r="R454" s="6" t="s">
        <v>256</v>
      </c>
      <c r="S454" s="6" t="s">
        <v>9</v>
      </c>
      <c r="T454" s="6" t="s">
        <v>245</v>
      </c>
      <c r="U454" s="6" t="s">
        <v>158</v>
      </c>
      <c r="V454" s="6" t="s">
        <v>1722</v>
      </c>
      <c r="W454" s="6" t="s">
        <v>353</v>
      </c>
      <c r="X454" s="6" t="s">
        <v>83</v>
      </c>
      <c r="Y454" s="6" t="s">
        <v>83</v>
      </c>
      <c r="Z454" s="6" t="s">
        <v>98</v>
      </c>
      <c r="AA454" s="6" t="s">
        <v>83</v>
      </c>
      <c r="AB454" s="6">
        <v>4422.6000000000004</v>
      </c>
      <c r="AC454" s="6">
        <v>819</v>
      </c>
      <c r="AD454" s="6">
        <v>0</v>
      </c>
      <c r="AE454" s="6">
        <v>0</v>
      </c>
      <c r="AF454" s="6">
        <v>0</v>
      </c>
      <c r="AG454" s="6">
        <v>0</v>
      </c>
      <c r="AH454" s="6">
        <v>27.4</v>
      </c>
      <c r="AI454" s="6" t="s">
        <v>248</v>
      </c>
      <c r="AJ454" s="6" t="s">
        <v>259</v>
      </c>
      <c r="AK454" s="6" t="s">
        <v>16</v>
      </c>
      <c r="AL454" s="6" t="s">
        <v>50</v>
      </c>
      <c r="AM454" s="6" t="s">
        <v>260</v>
      </c>
      <c r="AN454" s="6" t="s">
        <v>20</v>
      </c>
      <c r="AO454" s="6" t="s">
        <v>261</v>
      </c>
      <c r="AP454" s="6" t="s">
        <v>262</v>
      </c>
      <c r="AQ454" s="6" t="s">
        <v>30</v>
      </c>
    </row>
    <row r="455" spans="1:43" x14ac:dyDescent="0.25">
      <c r="A455" s="6">
        <v>22639240</v>
      </c>
      <c r="B455" s="6">
        <v>23450273</v>
      </c>
      <c r="C455" s="6" t="s">
        <v>237</v>
      </c>
      <c r="D455" s="14">
        <v>45866.688668981478</v>
      </c>
      <c r="E455" s="14">
        <v>45866.691724537042</v>
      </c>
      <c r="F455" s="46" t="s">
        <v>25</v>
      </c>
      <c r="G455" s="46" t="s">
        <v>25</v>
      </c>
      <c r="H455" s="6" t="s">
        <v>1733</v>
      </c>
      <c r="I455" s="6" t="s">
        <v>16</v>
      </c>
      <c r="J455" s="6" t="s">
        <v>1734</v>
      </c>
      <c r="K455" s="6" t="s">
        <v>569</v>
      </c>
      <c r="L455" s="6" t="s">
        <v>569</v>
      </c>
      <c r="M455" s="14">
        <v>45866.565972222219</v>
      </c>
      <c r="N455" s="6" t="s">
        <v>1735</v>
      </c>
      <c r="O455" s="6" t="s">
        <v>83</v>
      </c>
      <c r="P455" s="6" t="s">
        <v>272</v>
      </c>
      <c r="Q455" s="6" t="s">
        <v>243</v>
      </c>
      <c r="R455" s="6" t="s">
        <v>244</v>
      </c>
      <c r="S455" s="6" t="s">
        <v>9</v>
      </c>
      <c r="T455" s="6" t="s">
        <v>245</v>
      </c>
      <c r="U455" s="6" t="s">
        <v>183</v>
      </c>
      <c r="V455" s="6" t="s">
        <v>1736</v>
      </c>
      <c r="W455" s="6" t="s">
        <v>83</v>
      </c>
      <c r="X455" s="6" t="s">
        <v>83</v>
      </c>
      <c r="Y455" s="6" t="s">
        <v>83</v>
      </c>
      <c r="Z455" s="6" t="s">
        <v>120</v>
      </c>
      <c r="AA455" s="6" t="s">
        <v>83</v>
      </c>
      <c r="AB455" s="6">
        <v>758</v>
      </c>
      <c r="AC455" s="6">
        <v>0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 t="s">
        <v>248</v>
      </c>
      <c r="AJ455" s="6" t="s">
        <v>259</v>
      </c>
      <c r="AK455" s="6" t="s">
        <v>16</v>
      </c>
      <c r="AL455" s="6" t="s">
        <v>50</v>
      </c>
      <c r="AM455" s="6" t="s">
        <v>260</v>
      </c>
      <c r="AN455" s="6" t="s">
        <v>20</v>
      </c>
      <c r="AO455" s="6" t="s">
        <v>250</v>
      </c>
      <c r="AP455" s="6" t="s">
        <v>251</v>
      </c>
      <c r="AQ455" s="6" t="s">
        <v>18</v>
      </c>
    </row>
    <row r="456" spans="1:43" x14ac:dyDescent="0.25">
      <c r="A456" s="6">
        <v>22703434</v>
      </c>
      <c r="B456" s="6">
        <v>23505533</v>
      </c>
      <c r="C456" s="6" t="s">
        <v>237</v>
      </c>
      <c r="D456" s="14">
        <v>45876.784791666672</v>
      </c>
      <c r="E456" s="14">
        <v>45877.242129629631</v>
      </c>
      <c r="F456" s="6" t="s">
        <v>19</v>
      </c>
      <c r="G456" s="6" t="s">
        <v>21</v>
      </c>
      <c r="H456" s="6" t="s">
        <v>1737</v>
      </c>
      <c r="I456" s="6" t="s">
        <v>16</v>
      </c>
      <c r="J456" s="6" t="s">
        <v>1738</v>
      </c>
      <c r="K456" s="6" t="s">
        <v>360</v>
      </c>
      <c r="L456" s="6" t="s">
        <v>360</v>
      </c>
      <c r="M456" s="14">
        <v>45876.666666666657</v>
      </c>
      <c r="N456" s="6" t="s">
        <v>1737</v>
      </c>
      <c r="O456" s="6" t="s">
        <v>83</v>
      </c>
      <c r="P456" s="6" t="s">
        <v>242</v>
      </c>
      <c r="Q456" s="6" t="s">
        <v>256</v>
      </c>
      <c r="R456" s="6" t="s">
        <v>256</v>
      </c>
      <c r="S456" s="6" t="s">
        <v>7</v>
      </c>
      <c r="T456" s="6" t="s">
        <v>245</v>
      </c>
      <c r="U456" s="6" t="s">
        <v>149</v>
      </c>
      <c r="V456" s="6" t="s">
        <v>1739</v>
      </c>
      <c r="W456" s="6" t="s">
        <v>353</v>
      </c>
      <c r="X456" s="6" t="s">
        <v>306</v>
      </c>
      <c r="Y456" s="6">
        <v>2142913928</v>
      </c>
      <c r="Z456" s="6" t="s">
        <v>96</v>
      </c>
      <c r="AA456" s="6" t="s">
        <v>83</v>
      </c>
      <c r="AB456" s="6">
        <v>0</v>
      </c>
      <c r="AC456" s="6">
        <v>0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248</v>
      </c>
      <c r="AJ456" s="6" t="s">
        <v>1073</v>
      </c>
      <c r="AK456" s="6" t="s">
        <v>16</v>
      </c>
      <c r="AL456" s="6" t="s">
        <v>64</v>
      </c>
      <c r="AM456" s="6" t="s">
        <v>74</v>
      </c>
      <c r="AN456" s="6" t="s">
        <v>20</v>
      </c>
      <c r="AO456" s="6" t="s">
        <v>250</v>
      </c>
      <c r="AP456" s="6" t="s">
        <v>251</v>
      </c>
      <c r="AQ456" s="6" t="s">
        <v>18</v>
      </c>
    </row>
    <row r="457" spans="1:43" x14ac:dyDescent="0.25">
      <c r="A457" s="6">
        <v>22701015</v>
      </c>
      <c r="B457" s="6">
        <v>23503212</v>
      </c>
      <c r="C457" s="6" t="s">
        <v>237</v>
      </c>
      <c r="D457" s="14">
        <v>45876.545682870368</v>
      </c>
      <c r="E457" s="14">
        <v>45877.225277777783</v>
      </c>
      <c r="F457" s="6" t="s">
        <v>19</v>
      </c>
      <c r="G457" s="6" t="s">
        <v>21</v>
      </c>
      <c r="H457" s="6" t="s">
        <v>1740</v>
      </c>
      <c r="I457" s="6" t="s">
        <v>16</v>
      </c>
      <c r="J457" s="6" t="s">
        <v>1741</v>
      </c>
      <c r="K457" s="6" t="s">
        <v>360</v>
      </c>
      <c r="L457" s="6" t="s">
        <v>360</v>
      </c>
      <c r="M457" s="14">
        <v>45875.913888888892</v>
      </c>
      <c r="N457" s="6" t="s">
        <v>1740</v>
      </c>
      <c r="O457" s="6" t="s">
        <v>83</v>
      </c>
      <c r="P457" s="6" t="s">
        <v>242</v>
      </c>
      <c r="Q457" s="6" t="s">
        <v>256</v>
      </c>
      <c r="R457" s="6" t="s">
        <v>256</v>
      </c>
      <c r="S457" s="6" t="s">
        <v>7</v>
      </c>
      <c r="T457" s="6" t="s">
        <v>245</v>
      </c>
      <c r="U457" s="6" t="s">
        <v>149</v>
      </c>
      <c r="V457" s="6" t="s">
        <v>1742</v>
      </c>
      <c r="W457" s="6" t="s">
        <v>353</v>
      </c>
      <c r="X457" s="6" t="s">
        <v>306</v>
      </c>
      <c r="Y457" s="6">
        <v>2142860774</v>
      </c>
      <c r="Z457" s="6" t="s">
        <v>96</v>
      </c>
      <c r="AA457" s="6" t="s">
        <v>83</v>
      </c>
      <c r="AB457" s="6">
        <v>0</v>
      </c>
      <c r="AC457" s="6">
        <v>0</v>
      </c>
      <c r="AD457" s="6">
        <v>0</v>
      </c>
      <c r="AE457" s="6">
        <v>0</v>
      </c>
      <c r="AF457" s="6">
        <v>0</v>
      </c>
      <c r="AG457" s="6">
        <v>0</v>
      </c>
      <c r="AH457" s="6">
        <v>0</v>
      </c>
      <c r="AI457" s="6" t="s">
        <v>248</v>
      </c>
      <c r="AJ457" s="6" t="s">
        <v>1073</v>
      </c>
      <c r="AK457" s="6" t="s">
        <v>16</v>
      </c>
      <c r="AL457" s="6" t="s">
        <v>64</v>
      </c>
      <c r="AM457" s="6" t="s">
        <v>74</v>
      </c>
      <c r="AN457" s="6" t="s">
        <v>20</v>
      </c>
      <c r="AO457" s="6" t="s">
        <v>250</v>
      </c>
      <c r="AP457" s="6" t="s">
        <v>251</v>
      </c>
      <c r="AQ457" s="6" t="s">
        <v>18</v>
      </c>
    </row>
    <row r="458" spans="1:43" x14ac:dyDescent="0.25">
      <c r="A458" s="6">
        <v>22666258</v>
      </c>
      <c r="B458" s="6">
        <v>23474104</v>
      </c>
      <c r="C458" s="6" t="s">
        <v>237</v>
      </c>
      <c r="D458" s="14">
        <v>45870.733020833337</v>
      </c>
      <c r="E458" s="14">
        <v>45874.315081018518</v>
      </c>
      <c r="F458" s="6" t="s">
        <v>21</v>
      </c>
      <c r="G458" s="6" t="s">
        <v>23</v>
      </c>
      <c r="H458" s="6" t="s">
        <v>1743</v>
      </c>
      <c r="I458" s="6" t="s">
        <v>16</v>
      </c>
      <c r="J458" s="6" t="s">
        <v>1744</v>
      </c>
      <c r="K458" s="6" t="s">
        <v>360</v>
      </c>
      <c r="L458" s="6" t="s">
        <v>360</v>
      </c>
      <c r="M458" s="14">
        <v>45870.603472222218</v>
      </c>
      <c r="N458" s="6" t="s">
        <v>1743</v>
      </c>
      <c r="O458" s="6" t="s">
        <v>83</v>
      </c>
      <c r="P458" s="6" t="s">
        <v>242</v>
      </c>
      <c r="Q458" s="6" t="s">
        <v>256</v>
      </c>
      <c r="R458" s="6" t="s">
        <v>256</v>
      </c>
      <c r="S458" s="6" t="s">
        <v>7</v>
      </c>
      <c r="T458" s="6" t="s">
        <v>245</v>
      </c>
      <c r="U458" s="6" t="s">
        <v>149</v>
      </c>
      <c r="V458" s="6" t="s">
        <v>1739</v>
      </c>
      <c r="W458" s="6" t="s">
        <v>353</v>
      </c>
      <c r="X458" s="6" t="s">
        <v>306</v>
      </c>
      <c r="Y458" s="6">
        <v>214509971</v>
      </c>
      <c r="Z458" s="6" t="s">
        <v>96</v>
      </c>
      <c r="AA458" s="6" t="s">
        <v>83</v>
      </c>
      <c r="AB458" s="6">
        <v>0</v>
      </c>
      <c r="AC458" s="6">
        <v>0</v>
      </c>
      <c r="AD458" s="6">
        <v>0</v>
      </c>
      <c r="AE458" s="6">
        <v>0</v>
      </c>
      <c r="AF458" s="6">
        <v>0</v>
      </c>
      <c r="AG458" s="6">
        <v>0</v>
      </c>
      <c r="AH458" s="6">
        <v>0</v>
      </c>
      <c r="AI458" s="6" t="s">
        <v>248</v>
      </c>
      <c r="AJ458" s="6" t="s">
        <v>1073</v>
      </c>
      <c r="AK458" s="6" t="s">
        <v>16</v>
      </c>
      <c r="AL458" s="6" t="s">
        <v>64</v>
      </c>
      <c r="AM458" s="6" t="s">
        <v>74</v>
      </c>
      <c r="AN458" s="6" t="s">
        <v>20</v>
      </c>
      <c r="AO458" s="6" t="s">
        <v>250</v>
      </c>
      <c r="AP458" s="6" t="s">
        <v>251</v>
      </c>
      <c r="AQ458" s="6" t="s">
        <v>18</v>
      </c>
    </row>
    <row r="459" spans="1:43" x14ac:dyDescent="0.25">
      <c r="A459" s="6">
        <v>22663487</v>
      </c>
      <c r="B459" s="6">
        <v>23471535</v>
      </c>
      <c r="C459" s="6" t="s">
        <v>237</v>
      </c>
      <c r="D459" s="14">
        <v>45870.420648148152</v>
      </c>
      <c r="E459" s="14">
        <v>45874.315057870372</v>
      </c>
      <c r="F459" s="6" t="s">
        <v>21</v>
      </c>
      <c r="G459" s="6" t="s">
        <v>23</v>
      </c>
      <c r="H459" s="6" t="s">
        <v>1745</v>
      </c>
      <c r="I459" s="6" t="s">
        <v>16</v>
      </c>
      <c r="J459" s="6" t="s">
        <v>1746</v>
      </c>
      <c r="K459" s="6" t="s">
        <v>360</v>
      </c>
      <c r="L459" s="6" t="s">
        <v>360</v>
      </c>
      <c r="M459" s="14">
        <v>45869.712500000001</v>
      </c>
      <c r="N459" s="6" t="s">
        <v>1745</v>
      </c>
      <c r="O459" s="6" t="s">
        <v>83</v>
      </c>
      <c r="P459" s="6" t="s">
        <v>242</v>
      </c>
      <c r="Q459" s="6" t="s">
        <v>256</v>
      </c>
      <c r="R459" s="6" t="s">
        <v>256</v>
      </c>
      <c r="S459" s="6" t="s">
        <v>7</v>
      </c>
      <c r="T459" s="6" t="s">
        <v>245</v>
      </c>
      <c r="U459" s="6" t="s">
        <v>149</v>
      </c>
      <c r="V459" s="6" t="s">
        <v>1739</v>
      </c>
      <c r="W459" s="6" t="s">
        <v>353</v>
      </c>
      <c r="X459" s="6" t="s">
        <v>306</v>
      </c>
      <c r="Y459" s="6">
        <v>2142457250</v>
      </c>
      <c r="Z459" s="6" t="s">
        <v>96</v>
      </c>
      <c r="AA459" s="6" t="s">
        <v>83</v>
      </c>
      <c r="AB459" s="6">
        <v>0</v>
      </c>
      <c r="AC459" s="6">
        <v>0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248</v>
      </c>
      <c r="AJ459" s="6" t="s">
        <v>1747</v>
      </c>
      <c r="AK459" s="6" t="s">
        <v>16</v>
      </c>
      <c r="AL459" s="6" t="s">
        <v>58</v>
      </c>
      <c r="AM459" s="6" t="s">
        <v>74</v>
      </c>
      <c r="AN459" s="6" t="s">
        <v>20</v>
      </c>
      <c r="AO459" s="6" t="s">
        <v>250</v>
      </c>
      <c r="AP459" s="6" t="s">
        <v>251</v>
      </c>
      <c r="AQ459" s="6" t="s">
        <v>18</v>
      </c>
    </row>
    <row r="460" spans="1:43" x14ac:dyDescent="0.25">
      <c r="A460" s="6">
        <v>22732386</v>
      </c>
      <c r="B460" s="6">
        <v>23529824</v>
      </c>
      <c r="C460" s="6" t="s">
        <v>237</v>
      </c>
      <c r="D460" s="14">
        <v>45881.780370370368</v>
      </c>
      <c r="E460" s="14">
        <v>45881.799895833326</v>
      </c>
      <c r="F460" s="6" t="s">
        <v>17</v>
      </c>
      <c r="G460" s="6" t="s">
        <v>17</v>
      </c>
      <c r="H460" s="6" t="s">
        <v>1748</v>
      </c>
      <c r="I460" s="6" t="s">
        <v>253</v>
      </c>
      <c r="J460" s="6" t="s">
        <v>1749</v>
      </c>
      <c r="K460" s="6" t="s">
        <v>1750</v>
      </c>
      <c r="L460" s="6" t="s">
        <v>1750</v>
      </c>
      <c r="M460" s="14">
        <v>45881.750694444447</v>
      </c>
      <c r="N460" s="6">
        <v>17120</v>
      </c>
      <c r="O460" s="6" t="s">
        <v>83</v>
      </c>
      <c r="P460" s="6" t="s">
        <v>272</v>
      </c>
      <c r="Q460" s="6" t="s">
        <v>256</v>
      </c>
      <c r="R460" s="6" t="s">
        <v>256</v>
      </c>
      <c r="S460" s="6" t="s">
        <v>7</v>
      </c>
      <c r="T460" s="6" t="s">
        <v>245</v>
      </c>
      <c r="U460" s="6" t="s">
        <v>192</v>
      </c>
      <c r="V460" s="6" t="s">
        <v>1751</v>
      </c>
      <c r="W460" s="6" t="s">
        <v>83</v>
      </c>
      <c r="X460" s="6" t="s">
        <v>851</v>
      </c>
      <c r="Y460" s="6">
        <v>2971622843</v>
      </c>
      <c r="Z460" s="6" t="s">
        <v>124</v>
      </c>
      <c r="AA460" s="6" t="s">
        <v>83</v>
      </c>
      <c r="AB460" s="6">
        <v>4119.6000000000004</v>
      </c>
      <c r="AC460" s="6">
        <v>0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1752</v>
      </c>
      <c r="AJ460" s="6" t="s">
        <v>1753</v>
      </c>
      <c r="AK460" s="6" t="s">
        <v>12</v>
      </c>
      <c r="AL460" s="6" t="s">
        <v>51</v>
      </c>
      <c r="AM460" s="6" t="s">
        <v>342</v>
      </c>
      <c r="AN460" s="6" t="s">
        <v>26</v>
      </c>
      <c r="AO460" s="6" t="s">
        <v>250</v>
      </c>
      <c r="AP460" s="6" t="s">
        <v>262</v>
      </c>
      <c r="AQ460" s="6" t="s">
        <v>24</v>
      </c>
    </row>
    <row r="461" spans="1:43" x14ac:dyDescent="0.25">
      <c r="A461" s="6">
        <v>22646034</v>
      </c>
      <c r="B461" s="6">
        <v>23456182</v>
      </c>
      <c r="C461" s="6" t="s">
        <v>237</v>
      </c>
      <c r="D461" s="14">
        <v>45867.671643518523</v>
      </c>
      <c r="E461" s="14">
        <v>45867.702164351853</v>
      </c>
      <c r="F461" s="6" t="s">
        <v>23</v>
      </c>
      <c r="G461" s="6" t="s">
        <v>23</v>
      </c>
      <c r="H461" s="6">
        <v>19351827</v>
      </c>
      <c r="I461" s="6" t="s">
        <v>13</v>
      </c>
      <c r="J461" s="6" t="s">
        <v>1754</v>
      </c>
      <c r="K461" s="6" t="s">
        <v>605</v>
      </c>
      <c r="L461" s="6" t="s">
        <v>605</v>
      </c>
      <c r="M461" s="14">
        <v>45867.583333333343</v>
      </c>
      <c r="N461" s="6">
        <v>4573938</v>
      </c>
      <c r="O461" s="6" t="s">
        <v>83</v>
      </c>
      <c r="P461" s="6" t="s">
        <v>272</v>
      </c>
      <c r="Q461" s="6" t="s">
        <v>243</v>
      </c>
      <c r="R461" s="6" t="s">
        <v>244</v>
      </c>
      <c r="S461" s="6" t="s">
        <v>9</v>
      </c>
      <c r="T461" s="6" t="s">
        <v>245</v>
      </c>
      <c r="U461" s="6" t="s">
        <v>145</v>
      </c>
      <c r="V461" s="6" t="s">
        <v>1755</v>
      </c>
      <c r="W461" s="6" t="s">
        <v>83</v>
      </c>
      <c r="X461" s="6" t="s">
        <v>1756</v>
      </c>
      <c r="Y461" s="6" t="s">
        <v>83</v>
      </c>
      <c r="Z461" s="6" t="s">
        <v>90</v>
      </c>
      <c r="AA461" s="6" t="s">
        <v>83</v>
      </c>
      <c r="AB461" s="6">
        <v>338</v>
      </c>
      <c r="AC461" s="6">
        <v>16.899999999999999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 t="s">
        <v>1757</v>
      </c>
      <c r="AJ461" s="6" t="s">
        <v>1758</v>
      </c>
      <c r="AK461" s="6" t="s">
        <v>13</v>
      </c>
      <c r="AL461" s="6" t="s">
        <v>56</v>
      </c>
      <c r="AM461" s="6" t="s">
        <v>331</v>
      </c>
      <c r="AN461" s="6" t="s">
        <v>20</v>
      </c>
      <c r="AO461" s="6" t="s">
        <v>250</v>
      </c>
      <c r="AP461" s="6" t="s">
        <v>251</v>
      </c>
      <c r="AQ461" s="6" t="s">
        <v>18</v>
      </c>
    </row>
    <row r="462" spans="1:43" x14ac:dyDescent="0.25">
      <c r="A462" s="6">
        <v>22646070</v>
      </c>
      <c r="B462" s="6">
        <v>23456209</v>
      </c>
      <c r="C462" s="6" t="s">
        <v>237</v>
      </c>
      <c r="D462" s="14">
        <v>45867.678101851852</v>
      </c>
      <c r="E462" s="14">
        <v>45867.702372685177</v>
      </c>
      <c r="F462" s="6" t="s">
        <v>23</v>
      </c>
      <c r="G462" s="6" t="s">
        <v>23</v>
      </c>
      <c r="H462" s="6">
        <v>19352264</v>
      </c>
      <c r="I462" s="6" t="s">
        <v>13</v>
      </c>
      <c r="J462" s="6" t="s">
        <v>1759</v>
      </c>
      <c r="K462" s="6" t="s">
        <v>605</v>
      </c>
      <c r="L462" s="6" t="s">
        <v>605</v>
      </c>
      <c r="M462" s="14">
        <v>45867.590277777781</v>
      </c>
      <c r="N462" s="6">
        <v>4573950</v>
      </c>
      <c r="O462" s="6" t="s">
        <v>83</v>
      </c>
      <c r="P462" s="6" t="s">
        <v>272</v>
      </c>
      <c r="Q462" s="6" t="s">
        <v>243</v>
      </c>
      <c r="R462" s="6" t="s">
        <v>244</v>
      </c>
      <c r="S462" s="6" t="s">
        <v>9</v>
      </c>
      <c r="T462" s="6" t="s">
        <v>245</v>
      </c>
      <c r="U462" s="6" t="s">
        <v>145</v>
      </c>
      <c r="V462" s="6" t="s">
        <v>1755</v>
      </c>
      <c r="W462" s="6" t="s">
        <v>83</v>
      </c>
      <c r="X462" s="6" t="s">
        <v>1756</v>
      </c>
      <c r="Y462" s="6" t="s">
        <v>83</v>
      </c>
      <c r="Z462" s="6" t="s">
        <v>90</v>
      </c>
      <c r="AA462" s="6" t="s">
        <v>83</v>
      </c>
      <c r="AB462" s="6">
        <v>338</v>
      </c>
      <c r="AC462" s="6">
        <v>16.899999999999999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1760</v>
      </c>
      <c r="AJ462" s="6" t="s">
        <v>1758</v>
      </c>
      <c r="AK462" s="6" t="s">
        <v>13</v>
      </c>
      <c r="AL462" s="6" t="s">
        <v>56</v>
      </c>
      <c r="AM462" s="6" t="s">
        <v>331</v>
      </c>
      <c r="AN462" s="6" t="s">
        <v>20</v>
      </c>
      <c r="AO462" s="6" t="s">
        <v>250</v>
      </c>
      <c r="AP462" s="6" t="s">
        <v>251</v>
      </c>
      <c r="AQ462" s="6" t="s">
        <v>18</v>
      </c>
    </row>
    <row r="463" spans="1:43" x14ac:dyDescent="0.25">
      <c r="A463" s="6">
        <v>22729895</v>
      </c>
      <c r="B463" s="6">
        <v>23527422</v>
      </c>
      <c r="C463" s="6" t="s">
        <v>237</v>
      </c>
      <c r="D463" s="14">
        <v>45881.53802083333</v>
      </c>
      <c r="E463" s="14">
        <v>45881.538437499999</v>
      </c>
      <c r="F463" s="6" t="s">
        <v>17</v>
      </c>
      <c r="G463" s="6" t="s">
        <v>17</v>
      </c>
      <c r="H463" s="6" t="s">
        <v>1761</v>
      </c>
      <c r="I463" s="6" t="s">
        <v>13</v>
      </c>
      <c r="J463" s="6" t="s">
        <v>1762</v>
      </c>
      <c r="K463" s="6" t="s">
        <v>1763</v>
      </c>
      <c r="L463" s="6" t="s">
        <v>1763</v>
      </c>
      <c r="M463" s="14">
        <v>45881.53125</v>
      </c>
      <c r="N463" s="6">
        <v>4580746</v>
      </c>
      <c r="O463" s="6" t="s">
        <v>1764</v>
      </c>
      <c r="P463" s="6" t="s">
        <v>272</v>
      </c>
      <c r="Q463" s="6" t="s">
        <v>243</v>
      </c>
      <c r="R463" s="6" t="s">
        <v>244</v>
      </c>
      <c r="S463" s="6" t="s">
        <v>8</v>
      </c>
      <c r="T463" s="6" t="s">
        <v>245</v>
      </c>
      <c r="U463" s="6" t="s">
        <v>145</v>
      </c>
      <c r="V463" s="6" t="s">
        <v>1755</v>
      </c>
      <c r="W463" s="6" t="s">
        <v>83</v>
      </c>
      <c r="X463" s="6" t="s">
        <v>83</v>
      </c>
      <c r="Y463" s="6" t="s">
        <v>83</v>
      </c>
      <c r="Z463" s="6" t="s">
        <v>90</v>
      </c>
      <c r="AA463" s="6" t="s">
        <v>83</v>
      </c>
      <c r="AB463" s="6">
        <v>322.27999999999997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1765</v>
      </c>
      <c r="AJ463" s="6" t="s">
        <v>259</v>
      </c>
      <c r="AK463" s="6" t="s">
        <v>13</v>
      </c>
      <c r="AL463" s="6" t="s">
        <v>50</v>
      </c>
      <c r="AM463" s="6" t="s">
        <v>260</v>
      </c>
      <c r="AN463" s="6" t="s">
        <v>20</v>
      </c>
      <c r="AO463" s="6" t="s">
        <v>250</v>
      </c>
      <c r="AP463" s="6" t="s">
        <v>251</v>
      </c>
      <c r="AQ463" s="6" t="s">
        <v>18</v>
      </c>
    </row>
    <row r="464" spans="1:43" x14ac:dyDescent="0.25">
      <c r="A464" s="6">
        <v>22729856</v>
      </c>
      <c r="B464" s="6">
        <v>23527388</v>
      </c>
      <c r="C464" s="6" t="s">
        <v>237</v>
      </c>
      <c r="D464" s="14">
        <v>45881.530798611107</v>
      </c>
      <c r="E464" s="14">
        <v>45881.5315162037</v>
      </c>
      <c r="F464" s="6" t="s">
        <v>17</v>
      </c>
      <c r="G464" s="6" t="s">
        <v>17</v>
      </c>
      <c r="H464" s="6" t="s">
        <v>1766</v>
      </c>
      <c r="I464" s="6" t="s">
        <v>13</v>
      </c>
      <c r="J464" s="6" t="s">
        <v>1767</v>
      </c>
      <c r="K464" s="6" t="s">
        <v>1763</v>
      </c>
      <c r="L464" s="6" t="s">
        <v>1763</v>
      </c>
      <c r="M464" s="14">
        <v>45881.525000000001</v>
      </c>
      <c r="N464" s="6">
        <v>4580142</v>
      </c>
      <c r="O464" s="6" t="s">
        <v>1768</v>
      </c>
      <c r="P464" s="6" t="s">
        <v>272</v>
      </c>
      <c r="Q464" s="6" t="s">
        <v>243</v>
      </c>
      <c r="R464" s="6" t="s">
        <v>244</v>
      </c>
      <c r="S464" s="6" t="s">
        <v>8</v>
      </c>
      <c r="T464" s="6" t="s">
        <v>245</v>
      </c>
      <c r="U464" s="6" t="s">
        <v>145</v>
      </c>
      <c r="V464" s="6" t="s">
        <v>1755</v>
      </c>
      <c r="W464" s="6" t="s">
        <v>83</v>
      </c>
      <c r="X464" s="6" t="s">
        <v>83</v>
      </c>
      <c r="Y464" s="6" t="s">
        <v>83</v>
      </c>
      <c r="Z464" s="6" t="s">
        <v>90</v>
      </c>
      <c r="AA464" s="6" t="s">
        <v>83</v>
      </c>
      <c r="AB464" s="6">
        <v>934.4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1769</v>
      </c>
      <c r="AJ464" s="6" t="s">
        <v>259</v>
      </c>
      <c r="AK464" s="6" t="s">
        <v>13</v>
      </c>
      <c r="AL464" s="6" t="s">
        <v>50</v>
      </c>
      <c r="AM464" s="6" t="s">
        <v>260</v>
      </c>
      <c r="AN464" s="6" t="s">
        <v>20</v>
      </c>
      <c r="AO464" s="6" t="s">
        <v>250</v>
      </c>
      <c r="AP464" s="6" t="s">
        <v>251</v>
      </c>
      <c r="AQ464" s="6" t="s">
        <v>18</v>
      </c>
    </row>
    <row r="465" spans="1:43" x14ac:dyDescent="0.25">
      <c r="A465" s="6">
        <v>22680436</v>
      </c>
      <c r="B465" s="6">
        <v>23484905</v>
      </c>
      <c r="C465" s="6" t="s">
        <v>237</v>
      </c>
      <c r="D465" s="14">
        <v>45873.753240740742</v>
      </c>
      <c r="E465" s="14">
        <v>45873.761041666658</v>
      </c>
      <c r="F465" s="6" t="s">
        <v>23</v>
      </c>
      <c r="G465" s="6" t="s">
        <v>23</v>
      </c>
      <c r="H465" s="6" t="s">
        <v>1770</v>
      </c>
      <c r="I465" s="6" t="s">
        <v>253</v>
      </c>
      <c r="J465" s="6" t="s">
        <v>1771</v>
      </c>
      <c r="K465" s="6" t="s">
        <v>1772</v>
      </c>
      <c r="L465" s="6" t="s">
        <v>1772</v>
      </c>
      <c r="M465" s="14">
        <v>45873.60833333333</v>
      </c>
      <c r="N465" s="6">
        <v>79826</v>
      </c>
      <c r="O465" s="6" t="s">
        <v>83</v>
      </c>
      <c r="P465" s="6" t="s">
        <v>272</v>
      </c>
      <c r="Q465" s="6" t="s">
        <v>616</v>
      </c>
      <c r="R465" s="6" t="s">
        <v>616</v>
      </c>
      <c r="S465" s="6" t="s">
        <v>9</v>
      </c>
      <c r="T465" s="6" t="s">
        <v>245</v>
      </c>
      <c r="U465" s="6" t="s">
        <v>137</v>
      </c>
      <c r="V465" s="6" t="s">
        <v>1773</v>
      </c>
      <c r="W465" s="6" t="s">
        <v>83</v>
      </c>
      <c r="X465" s="6" t="s">
        <v>83</v>
      </c>
      <c r="Y465" s="6" t="s">
        <v>83</v>
      </c>
      <c r="Z465" s="6" t="s">
        <v>81</v>
      </c>
      <c r="AA465" s="6" t="s">
        <v>83</v>
      </c>
      <c r="AB465" s="6">
        <v>1616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1774</v>
      </c>
      <c r="AJ465" s="6" t="s">
        <v>259</v>
      </c>
      <c r="AK465" s="6" t="s">
        <v>12</v>
      </c>
      <c r="AL465" s="6" t="s">
        <v>50</v>
      </c>
      <c r="AM465" s="6" t="s">
        <v>260</v>
      </c>
      <c r="AN465" s="6" t="s">
        <v>20</v>
      </c>
      <c r="AO465" s="6" t="s">
        <v>250</v>
      </c>
      <c r="AP465" s="6" t="s">
        <v>251</v>
      </c>
      <c r="AQ465" s="6" t="s">
        <v>18</v>
      </c>
    </row>
    <row r="466" spans="1:43" x14ac:dyDescent="0.25">
      <c r="A466" s="6">
        <v>22702790</v>
      </c>
      <c r="B466" s="6">
        <v>23504914</v>
      </c>
      <c r="C466" s="6" t="s">
        <v>237</v>
      </c>
      <c r="D466" s="14">
        <v>45876.758923611109</v>
      </c>
      <c r="E466" s="14">
        <v>45880.607974537037</v>
      </c>
      <c r="F466" s="6" t="s">
        <v>17</v>
      </c>
      <c r="G466" s="6" t="s">
        <v>21</v>
      </c>
      <c r="H466" s="6" t="s">
        <v>1775</v>
      </c>
      <c r="I466" s="6" t="s">
        <v>253</v>
      </c>
      <c r="J466" s="6" t="s">
        <v>1776</v>
      </c>
      <c r="K466" s="6" t="s">
        <v>1777</v>
      </c>
      <c r="L466" s="6" t="s">
        <v>1777</v>
      </c>
      <c r="M466" s="14">
        <v>45876.572222222218</v>
      </c>
      <c r="N466" s="6">
        <v>79043</v>
      </c>
      <c r="O466" s="6" t="s">
        <v>83</v>
      </c>
      <c r="P466" s="6" t="s">
        <v>272</v>
      </c>
      <c r="Q466" s="6" t="s">
        <v>616</v>
      </c>
      <c r="R466" s="6" t="s">
        <v>616</v>
      </c>
      <c r="S466" s="6" t="s">
        <v>9</v>
      </c>
      <c r="T466" s="6" t="s">
        <v>449</v>
      </c>
      <c r="U466" s="6" t="s">
        <v>137</v>
      </c>
      <c r="V466" s="6" t="s">
        <v>1773</v>
      </c>
      <c r="W466" s="6" t="s">
        <v>83</v>
      </c>
      <c r="X466" s="6" t="s">
        <v>83</v>
      </c>
      <c r="Y466" s="6" t="s">
        <v>83</v>
      </c>
      <c r="Z466" s="6" t="s">
        <v>81</v>
      </c>
      <c r="AA466" s="6" t="s">
        <v>83</v>
      </c>
      <c r="AB466" s="6">
        <v>550</v>
      </c>
      <c r="AC466" s="6">
        <v>0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 t="s">
        <v>1778</v>
      </c>
      <c r="AJ466" s="6" t="s">
        <v>259</v>
      </c>
      <c r="AK466" s="6" t="s">
        <v>12</v>
      </c>
      <c r="AL466" s="6" t="s">
        <v>50</v>
      </c>
      <c r="AM466" s="6" t="s">
        <v>260</v>
      </c>
      <c r="AN466" s="6" t="s">
        <v>20</v>
      </c>
      <c r="AO466" s="6" t="s">
        <v>250</v>
      </c>
      <c r="AP466" s="6" t="s">
        <v>251</v>
      </c>
      <c r="AQ466" s="6" t="s">
        <v>18</v>
      </c>
    </row>
    <row r="467" spans="1:43" x14ac:dyDescent="0.25">
      <c r="A467" s="6">
        <v>22702713</v>
      </c>
      <c r="B467" s="6">
        <v>23504838</v>
      </c>
      <c r="C467" s="6" t="s">
        <v>237</v>
      </c>
      <c r="D467" s="14">
        <v>45876.755428240736</v>
      </c>
      <c r="E467" s="14">
        <v>45876.762499999997</v>
      </c>
      <c r="F467" s="6" t="s">
        <v>21</v>
      </c>
      <c r="G467" s="6" t="s">
        <v>21</v>
      </c>
      <c r="H467" s="6" t="s">
        <v>1779</v>
      </c>
      <c r="I467" s="6" t="s">
        <v>253</v>
      </c>
      <c r="J467" s="6" t="s">
        <v>1780</v>
      </c>
      <c r="K467" s="6" t="s">
        <v>1251</v>
      </c>
      <c r="L467" s="6" t="s">
        <v>1251</v>
      </c>
      <c r="M467" s="14">
        <v>45876.736111111109</v>
      </c>
      <c r="N467" s="6">
        <v>80526</v>
      </c>
      <c r="O467" s="6" t="s">
        <v>83</v>
      </c>
      <c r="P467" s="6" t="s">
        <v>272</v>
      </c>
      <c r="Q467" s="6" t="s">
        <v>616</v>
      </c>
      <c r="R467" s="6" t="s">
        <v>616</v>
      </c>
      <c r="S467" s="6" t="s">
        <v>9</v>
      </c>
      <c r="T467" s="6" t="s">
        <v>245</v>
      </c>
      <c r="U467" s="6" t="s">
        <v>137</v>
      </c>
      <c r="V467" s="6" t="s">
        <v>1773</v>
      </c>
      <c r="W467" s="6" t="s">
        <v>83</v>
      </c>
      <c r="X467" s="6" t="s">
        <v>83</v>
      </c>
      <c r="Y467" s="6" t="s">
        <v>83</v>
      </c>
      <c r="Z467" s="6" t="s">
        <v>81</v>
      </c>
      <c r="AA467" s="6" t="s">
        <v>83</v>
      </c>
      <c r="AB467" s="6">
        <v>640</v>
      </c>
      <c r="AC467" s="6">
        <v>0</v>
      </c>
      <c r="AD467" s="6">
        <v>0</v>
      </c>
      <c r="AE467" s="6">
        <v>0</v>
      </c>
      <c r="AF467" s="6">
        <v>0</v>
      </c>
      <c r="AG467" s="6">
        <v>32</v>
      </c>
      <c r="AH467" s="6">
        <v>0</v>
      </c>
      <c r="AI467" s="6" t="s">
        <v>1781</v>
      </c>
      <c r="AJ467" s="6" t="s">
        <v>259</v>
      </c>
      <c r="AK467" s="6" t="s">
        <v>12</v>
      </c>
      <c r="AL467" s="6" t="s">
        <v>50</v>
      </c>
      <c r="AM467" s="6" t="s">
        <v>260</v>
      </c>
      <c r="AN467" s="6" t="s">
        <v>20</v>
      </c>
      <c r="AO467" s="6" t="s">
        <v>250</v>
      </c>
      <c r="AP467" s="6" t="s">
        <v>251</v>
      </c>
      <c r="AQ467" s="6" t="s">
        <v>18</v>
      </c>
    </row>
    <row r="468" spans="1:43" x14ac:dyDescent="0.25">
      <c r="A468" s="6">
        <v>22721831</v>
      </c>
      <c r="B468" s="6">
        <v>23520193</v>
      </c>
      <c r="C468" s="6" t="s">
        <v>237</v>
      </c>
      <c r="D468" s="14">
        <v>45880.501863425918</v>
      </c>
      <c r="E468" s="14">
        <v>45880.50472222222</v>
      </c>
      <c r="F468" s="6" t="s">
        <v>17</v>
      </c>
      <c r="G468" s="6" t="s">
        <v>17</v>
      </c>
      <c r="H468" s="6" t="s">
        <v>1782</v>
      </c>
      <c r="I468" s="6" t="s">
        <v>253</v>
      </c>
      <c r="J468" s="6" t="s">
        <v>1783</v>
      </c>
      <c r="K468" s="6" t="s">
        <v>255</v>
      </c>
      <c r="L468" s="6" t="s">
        <v>255</v>
      </c>
      <c r="M468" s="14">
        <v>45880.470833333333</v>
      </c>
      <c r="N468" s="6">
        <v>81131</v>
      </c>
      <c r="O468" s="6" t="s">
        <v>83</v>
      </c>
      <c r="P468" s="6" t="s">
        <v>242</v>
      </c>
      <c r="Q468" s="6" t="s">
        <v>616</v>
      </c>
      <c r="R468" s="6" t="s">
        <v>616</v>
      </c>
      <c r="S468" s="6" t="s">
        <v>9</v>
      </c>
      <c r="T468" s="6" t="s">
        <v>245</v>
      </c>
      <c r="U468" s="6" t="s">
        <v>137</v>
      </c>
      <c r="V468" s="6" t="s">
        <v>1773</v>
      </c>
      <c r="W468" s="6" t="s">
        <v>83</v>
      </c>
      <c r="X468" s="6" t="s">
        <v>83</v>
      </c>
      <c r="Y468" s="6" t="s">
        <v>83</v>
      </c>
      <c r="Z468" s="6" t="s">
        <v>81</v>
      </c>
      <c r="AA468" s="6" t="s">
        <v>83</v>
      </c>
      <c r="AB468" s="6">
        <v>280</v>
      </c>
      <c r="AC468" s="6">
        <v>0</v>
      </c>
      <c r="AD468" s="6">
        <v>0</v>
      </c>
      <c r="AE468" s="6">
        <v>0</v>
      </c>
      <c r="AF468" s="6">
        <v>0</v>
      </c>
      <c r="AG468" s="6">
        <v>5.6</v>
      </c>
      <c r="AH468" s="6">
        <v>0</v>
      </c>
      <c r="AI468" s="6" t="s">
        <v>1784</v>
      </c>
      <c r="AJ468" s="6" t="s">
        <v>259</v>
      </c>
      <c r="AK468" s="6" t="s">
        <v>12</v>
      </c>
      <c r="AL468" s="6" t="s">
        <v>50</v>
      </c>
      <c r="AM468" s="6" t="s">
        <v>260</v>
      </c>
      <c r="AN468" s="6" t="s">
        <v>20</v>
      </c>
      <c r="AO468" s="6" t="s">
        <v>261</v>
      </c>
      <c r="AP468" s="6" t="s">
        <v>262</v>
      </c>
      <c r="AQ468" s="6" t="s">
        <v>30</v>
      </c>
    </row>
    <row r="469" spans="1:43" x14ac:dyDescent="0.25">
      <c r="A469" s="6">
        <v>22724248</v>
      </c>
      <c r="B469" s="6">
        <v>23522494</v>
      </c>
      <c r="C469" s="6" t="s">
        <v>237</v>
      </c>
      <c r="D469" s="14">
        <v>45880.753796296303</v>
      </c>
      <c r="E469" s="14">
        <v>45880.763333333343</v>
      </c>
      <c r="F469" s="6" t="s">
        <v>17</v>
      </c>
      <c r="G469" s="6" t="s">
        <v>17</v>
      </c>
      <c r="H469" s="6" t="s">
        <v>1785</v>
      </c>
      <c r="I469" s="6" t="s">
        <v>253</v>
      </c>
      <c r="J469" s="6" t="s">
        <v>1786</v>
      </c>
      <c r="K469" s="6" t="s">
        <v>1787</v>
      </c>
      <c r="L469" s="6" t="s">
        <v>1787</v>
      </c>
      <c r="M469" s="14">
        <v>45880.719444444447</v>
      </c>
      <c r="N469" s="6">
        <v>81021</v>
      </c>
      <c r="O469" s="6" t="s">
        <v>83</v>
      </c>
      <c r="P469" s="6" t="s">
        <v>272</v>
      </c>
      <c r="Q469" s="6" t="s">
        <v>616</v>
      </c>
      <c r="R469" s="6" t="s">
        <v>616</v>
      </c>
      <c r="S469" s="6" t="s">
        <v>9</v>
      </c>
      <c r="T469" s="6" t="s">
        <v>245</v>
      </c>
      <c r="U469" s="6" t="s">
        <v>137</v>
      </c>
      <c r="V469" s="6" t="s">
        <v>1773</v>
      </c>
      <c r="W469" s="6" t="s">
        <v>83</v>
      </c>
      <c r="X469" s="6" t="s">
        <v>83</v>
      </c>
      <c r="Y469" s="6" t="s">
        <v>83</v>
      </c>
      <c r="Z469" s="6" t="s">
        <v>81</v>
      </c>
      <c r="AA469" s="6" t="s">
        <v>83</v>
      </c>
      <c r="AB469" s="6">
        <v>232</v>
      </c>
      <c r="AC469" s="6">
        <v>0</v>
      </c>
      <c r="AD469" s="6">
        <v>0</v>
      </c>
      <c r="AE469" s="6">
        <v>0</v>
      </c>
      <c r="AF469" s="6">
        <v>0</v>
      </c>
      <c r="AG469" s="6">
        <v>11.6</v>
      </c>
      <c r="AH469" s="6">
        <v>0</v>
      </c>
      <c r="AI469" s="6" t="s">
        <v>1788</v>
      </c>
      <c r="AJ469" s="6" t="s">
        <v>259</v>
      </c>
      <c r="AK469" s="6" t="s">
        <v>12</v>
      </c>
      <c r="AL469" s="6" t="s">
        <v>50</v>
      </c>
      <c r="AM469" s="6" t="s">
        <v>260</v>
      </c>
      <c r="AN469" s="6" t="s">
        <v>20</v>
      </c>
      <c r="AO469" s="6" t="s">
        <v>250</v>
      </c>
      <c r="AP469" s="6" t="s">
        <v>251</v>
      </c>
      <c r="AQ469" s="6" t="s">
        <v>18</v>
      </c>
    </row>
    <row r="470" spans="1:43" x14ac:dyDescent="0.25">
      <c r="A470" s="6">
        <v>22695418</v>
      </c>
      <c r="B470" s="6">
        <v>23498275</v>
      </c>
      <c r="C470" s="6" t="s">
        <v>237</v>
      </c>
      <c r="D470" s="14">
        <v>45875.757754629631</v>
      </c>
      <c r="E470" s="14">
        <v>45875.772199074083</v>
      </c>
      <c r="F470" s="6" t="s">
        <v>21</v>
      </c>
      <c r="G470" s="6" t="s">
        <v>21</v>
      </c>
      <c r="H470" s="6" t="s">
        <v>1789</v>
      </c>
      <c r="I470" s="6" t="s">
        <v>253</v>
      </c>
      <c r="J470" s="6" t="s">
        <v>1790</v>
      </c>
      <c r="K470" s="6" t="s">
        <v>783</v>
      </c>
      <c r="L470" s="6" t="s">
        <v>783</v>
      </c>
      <c r="M470" s="14">
        <v>45875.624305555553</v>
      </c>
      <c r="N470" s="6">
        <v>79691</v>
      </c>
      <c r="O470" s="6" t="s">
        <v>83</v>
      </c>
      <c r="P470" s="6" t="s">
        <v>272</v>
      </c>
      <c r="Q470" s="6" t="s">
        <v>616</v>
      </c>
      <c r="R470" s="6" t="s">
        <v>616</v>
      </c>
      <c r="S470" s="6" t="s">
        <v>9</v>
      </c>
      <c r="T470" s="6" t="s">
        <v>245</v>
      </c>
      <c r="U470" s="6" t="s">
        <v>137</v>
      </c>
      <c r="V470" s="6" t="s">
        <v>1773</v>
      </c>
      <c r="W470" s="6" t="s">
        <v>83</v>
      </c>
      <c r="X470" s="6" t="s">
        <v>83</v>
      </c>
      <c r="Y470" s="6" t="s">
        <v>83</v>
      </c>
      <c r="Z470" s="6" t="s">
        <v>81</v>
      </c>
      <c r="AA470" s="6" t="s">
        <v>83</v>
      </c>
      <c r="AB470" s="6">
        <v>306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1791</v>
      </c>
      <c r="AJ470" s="6" t="s">
        <v>259</v>
      </c>
      <c r="AK470" s="6" t="s">
        <v>12</v>
      </c>
      <c r="AL470" s="6" t="s">
        <v>50</v>
      </c>
      <c r="AM470" s="6" t="s">
        <v>260</v>
      </c>
      <c r="AN470" s="6" t="s">
        <v>20</v>
      </c>
      <c r="AO470" s="6" t="s">
        <v>250</v>
      </c>
      <c r="AP470" s="6" t="s">
        <v>251</v>
      </c>
      <c r="AQ470" s="6" t="s">
        <v>18</v>
      </c>
    </row>
    <row r="471" spans="1:43" x14ac:dyDescent="0.25">
      <c r="A471" s="6">
        <v>22702771</v>
      </c>
      <c r="B471" s="6">
        <v>23504897</v>
      </c>
      <c r="C471" s="6" t="s">
        <v>237</v>
      </c>
      <c r="D471" s="14">
        <v>45876.75818287037</v>
      </c>
      <c r="E471" s="14">
        <v>45876.771724537037</v>
      </c>
      <c r="F471" s="6" t="s">
        <v>21</v>
      </c>
      <c r="G471" s="6" t="s">
        <v>21</v>
      </c>
      <c r="H471" s="6" t="s">
        <v>1792</v>
      </c>
      <c r="I471" s="6" t="s">
        <v>253</v>
      </c>
      <c r="J471" s="6" t="s">
        <v>1793</v>
      </c>
      <c r="K471" s="6" t="s">
        <v>783</v>
      </c>
      <c r="L471" s="6" t="s">
        <v>783</v>
      </c>
      <c r="M471" s="14">
        <v>45876.628472222219</v>
      </c>
      <c r="N471" s="6">
        <v>79890</v>
      </c>
      <c r="O471" s="6" t="s">
        <v>83</v>
      </c>
      <c r="P471" s="6" t="s">
        <v>272</v>
      </c>
      <c r="Q471" s="6" t="s">
        <v>616</v>
      </c>
      <c r="R471" s="6" t="s">
        <v>616</v>
      </c>
      <c r="S471" s="6" t="s">
        <v>9</v>
      </c>
      <c r="T471" s="6" t="s">
        <v>245</v>
      </c>
      <c r="U471" s="6" t="s">
        <v>137</v>
      </c>
      <c r="V471" s="6" t="s">
        <v>1773</v>
      </c>
      <c r="W471" s="6" t="s">
        <v>83</v>
      </c>
      <c r="X471" s="6" t="s">
        <v>83</v>
      </c>
      <c r="Y471" s="6" t="s">
        <v>83</v>
      </c>
      <c r="Z471" s="6" t="s">
        <v>81</v>
      </c>
      <c r="AA471" s="6" t="s">
        <v>83</v>
      </c>
      <c r="AB471" s="6">
        <v>640</v>
      </c>
      <c r="AC471" s="6">
        <v>0</v>
      </c>
      <c r="AD471" s="6">
        <v>0</v>
      </c>
      <c r="AE471" s="6">
        <v>0</v>
      </c>
      <c r="AF471" s="6">
        <v>0</v>
      </c>
      <c r="AG471" s="6">
        <v>32</v>
      </c>
      <c r="AH471" s="6">
        <v>0</v>
      </c>
      <c r="AI471" s="6" t="s">
        <v>1794</v>
      </c>
      <c r="AJ471" s="6" t="s">
        <v>259</v>
      </c>
      <c r="AK471" s="6" t="s">
        <v>12</v>
      </c>
      <c r="AL471" s="6" t="s">
        <v>50</v>
      </c>
      <c r="AM471" s="6" t="s">
        <v>260</v>
      </c>
      <c r="AN471" s="6" t="s">
        <v>20</v>
      </c>
      <c r="AO471" s="6" t="s">
        <v>250</v>
      </c>
      <c r="AP471" s="6" t="s">
        <v>251</v>
      </c>
      <c r="AQ471" s="6" t="s">
        <v>18</v>
      </c>
    </row>
    <row r="472" spans="1:43" x14ac:dyDescent="0.25">
      <c r="A472" s="6">
        <v>22687912</v>
      </c>
      <c r="B472" s="6">
        <v>23491564</v>
      </c>
      <c r="C472" s="6" t="s">
        <v>237</v>
      </c>
      <c r="D472" s="14">
        <v>45874.752905092602</v>
      </c>
      <c r="E472" s="14">
        <v>45874.764745370368</v>
      </c>
      <c r="F472" s="6" t="s">
        <v>21</v>
      </c>
      <c r="G472" s="6" t="s">
        <v>21</v>
      </c>
      <c r="H472" s="6" t="s">
        <v>1795</v>
      </c>
      <c r="I472" s="6" t="s">
        <v>253</v>
      </c>
      <c r="J472" s="6" t="s">
        <v>1796</v>
      </c>
      <c r="K472" s="6" t="s">
        <v>1797</v>
      </c>
      <c r="L472" s="6" t="s">
        <v>1797</v>
      </c>
      <c r="M472" s="14">
        <v>45874.656944444447</v>
      </c>
      <c r="N472" s="6">
        <v>80263</v>
      </c>
      <c r="O472" s="6" t="s">
        <v>83</v>
      </c>
      <c r="P472" s="6" t="s">
        <v>242</v>
      </c>
      <c r="Q472" s="6" t="s">
        <v>616</v>
      </c>
      <c r="R472" s="6" t="s">
        <v>616</v>
      </c>
      <c r="S472" s="6" t="s">
        <v>9</v>
      </c>
      <c r="T472" s="6" t="s">
        <v>245</v>
      </c>
      <c r="U472" s="6" t="s">
        <v>137</v>
      </c>
      <c r="V472" s="6" t="s">
        <v>1773</v>
      </c>
      <c r="W472" s="6" t="s">
        <v>83</v>
      </c>
      <c r="X472" s="6" t="s">
        <v>83</v>
      </c>
      <c r="Y472" s="6" t="s">
        <v>83</v>
      </c>
      <c r="Z472" s="6" t="s">
        <v>81</v>
      </c>
      <c r="AA472" s="6" t="s">
        <v>83</v>
      </c>
      <c r="AB472" s="6">
        <v>329.67</v>
      </c>
      <c r="AC472" s="6">
        <v>0</v>
      </c>
      <c r="AD472" s="6">
        <v>0</v>
      </c>
      <c r="AE472" s="6">
        <v>0</v>
      </c>
      <c r="AF472" s="6">
        <v>0</v>
      </c>
      <c r="AG472" s="6">
        <v>0</v>
      </c>
      <c r="AH472" s="6">
        <v>0</v>
      </c>
      <c r="AI472" s="6" t="s">
        <v>1798</v>
      </c>
      <c r="AJ472" s="6" t="s">
        <v>259</v>
      </c>
      <c r="AK472" s="6" t="s">
        <v>12</v>
      </c>
      <c r="AL472" s="6" t="s">
        <v>50</v>
      </c>
      <c r="AM472" s="6" t="s">
        <v>260</v>
      </c>
      <c r="AN472" s="6" t="s">
        <v>20</v>
      </c>
      <c r="AO472" s="6" t="s">
        <v>261</v>
      </c>
      <c r="AP472" s="6" t="s">
        <v>262</v>
      </c>
      <c r="AQ472" s="6" t="s">
        <v>30</v>
      </c>
    </row>
    <row r="473" spans="1:43" x14ac:dyDescent="0.25">
      <c r="A473" s="6">
        <v>22707641</v>
      </c>
      <c r="B473" s="6">
        <v>23509095</v>
      </c>
      <c r="C473" s="6" t="s">
        <v>237</v>
      </c>
      <c r="D473" s="14">
        <v>45877.502812500003</v>
      </c>
      <c r="E473" s="14">
        <v>45881.451643518521</v>
      </c>
      <c r="F473" s="6" t="s">
        <v>17</v>
      </c>
      <c r="G473" s="6" t="s">
        <v>19</v>
      </c>
      <c r="H473" s="6" t="s">
        <v>1799</v>
      </c>
      <c r="I473" s="6" t="s">
        <v>253</v>
      </c>
      <c r="J473" s="6" t="s">
        <v>1800</v>
      </c>
      <c r="K473" s="6" t="s">
        <v>1801</v>
      </c>
      <c r="L473" s="6" t="s">
        <v>1801</v>
      </c>
      <c r="M473" s="14">
        <v>45877.477777777778</v>
      </c>
      <c r="N473" s="6">
        <v>80624</v>
      </c>
      <c r="O473" s="6" t="s">
        <v>83</v>
      </c>
      <c r="P473" s="6" t="s">
        <v>272</v>
      </c>
      <c r="Q473" s="6" t="s">
        <v>616</v>
      </c>
      <c r="R473" s="6" t="s">
        <v>616</v>
      </c>
      <c r="S473" s="6" t="s">
        <v>9</v>
      </c>
      <c r="T473" s="6" t="s">
        <v>449</v>
      </c>
      <c r="U473" s="6" t="s">
        <v>137</v>
      </c>
      <c r="V473" s="6" t="s">
        <v>1773</v>
      </c>
      <c r="W473" s="6" t="s">
        <v>83</v>
      </c>
      <c r="X473" s="6" t="s">
        <v>83</v>
      </c>
      <c r="Y473" s="6" t="s">
        <v>83</v>
      </c>
      <c r="Z473" s="6" t="s">
        <v>81</v>
      </c>
      <c r="AA473" s="6" t="s">
        <v>83</v>
      </c>
      <c r="AB473" s="6">
        <v>824.1</v>
      </c>
      <c r="AC473" s="6">
        <v>0</v>
      </c>
      <c r="AD473" s="6">
        <v>0</v>
      </c>
      <c r="AE473" s="6">
        <v>0</v>
      </c>
      <c r="AF473" s="6">
        <v>0</v>
      </c>
      <c r="AG473" s="6">
        <v>0</v>
      </c>
      <c r="AH473" s="6">
        <v>0</v>
      </c>
      <c r="AI473" s="6" t="s">
        <v>1802</v>
      </c>
      <c r="AJ473" s="6" t="s">
        <v>259</v>
      </c>
      <c r="AK473" s="6" t="s">
        <v>12</v>
      </c>
      <c r="AL473" s="6" t="s">
        <v>50</v>
      </c>
      <c r="AM473" s="6" t="s">
        <v>260</v>
      </c>
      <c r="AN473" s="6" t="s">
        <v>20</v>
      </c>
      <c r="AO473" s="6" t="s">
        <v>250</v>
      </c>
      <c r="AP473" s="6" t="s">
        <v>251</v>
      </c>
      <c r="AQ473" s="6" t="s">
        <v>18</v>
      </c>
    </row>
    <row r="474" spans="1:43" x14ac:dyDescent="0.25">
      <c r="A474" s="6">
        <v>22733952</v>
      </c>
      <c r="B474" s="6">
        <v>23531236</v>
      </c>
      <c r="C474" s="6" t="s">
        <v>237</v>
      </c>
      <c r="D474" s="14">
        <v>45882.012766203698</v>
      </c>
      <c r="E474" s="14">
        <v>45882.028252314813</v>
      </c>
      <c r="F474" s="6" t="s">
        <v>17</v>
      </c>
      <c r="G474" s="6" t="s">
        <v>17</v>
      </c>
      <c r="H474" s="6" t="s">
        <v>1803</v>
      </c>
      <c r="I474" s="6" t="s">
        <v>253</v>
      </c>
      <c r="J474" s="6" t="s">
        <v>1804</v>
      </c>
      <c r="K474" s="6" t="s">
        <v>1323</v>
      </c>
      <c r="L474" s="6" t="s">
        <v>1323</v>
      </c>
      <c r="M474" s="14">
        <v>45881.796527777777</v>
      </c>
      <c r="N474" s="6">
        <v>21963</v>
      </c>
      <c r="O474" s="6" t="s">
        <v>1805</v>
      </c>
      <c r="P474" s="6" t="s">
        <v>272</v>
      </c>
      <c r="Q474" s="6" t="s">
        <v>243</v>
      </c>
      <c r="R474" s="6" t="s">
        <v>244</v>
      </c>
      <c r="S474" s="6" t="s">
        <v>8</v>
      </c>
      <c r="T474" s="6" t="s">
        <v>245</v>
      </c>
      <c r="U474" s="6" t="s">
        <v>142</v>
      </c>
      <c r="V474" s="6" t="s">
        <v>1806</v>
      </c>
      <c r="W474" s="6" t="s">
        <v>83</v>
      </c>
      <c r="X474" s="6" t="s">
        <v>83</v>
      </c>
      <c r="Y474" s="6" t="s">
        <v>83</v>
      </c>
      <c r="Z474" s="6" t="s">
        <v>86</v>
      </c>
      <c r="AA474" s="6" t="s">
        <v>83</v>
      </c>
      <c r="AB474" s="6">
        <v>748</v>
      </c>
      <c r="AC474" s="6">
        <v>0</v>
      </c>
      <c r="AD474" s="6">
        <v>0</v>
      </c>
      <c r="AE474" s="6">
        <v>0</v>
      </c>
      <c r="AF474" s="6">
        <v>0</v>
      </c>
      <c r="AG474" s="6">
        <v>0</v>
      </c>
      <c r="AH474" s="6">
        <v>0</v>
      </c>
      <c r="AI474" s="6" t="s">
        <v>1807</v>
      </c>
      <c r="AJ474" s="6" t="s">
        <v>259</v>
      </c>
      <c r="AK474" s="6" t="s">
        <v>12</v>
      </c>
      <c r="AL474" s="6" t="s">
        <v>50</v>
      </c>
      <c r="AM474" s="6" t="s">
        <v>260</v>
      </c>
      <c r="AN474" s="6" t="s">
        <v>20</v>
      </c>
      <c r="AO474" s="6" t="s">
        <v>250</v>
      </c>
      <c r="AP474" s="6" t="s">
        <v>251</v>
      </c>
      <c r="AQ474" s="6" t="s">
        <v>18</v>
      </c>
    </row>
    <row r="475" spans="1:43" x14ac:dyDescent="0.25">
      <c r="A475" s="6">
        <v>22729701</v>
      </c>
      <c r="B475" s="6">
        <v>23527247</v>
      </c>
      <c r="C475" s="6" t="s">
        <v>237</v>
      </c>
      <c r="D475" s="14">
        <v>45881.523726851847</v>
      </c>
      <c r="E475" s="14">
        <v>45882.257187499999</v>
      </c>
      <c r="F475" s="6" t="s">
        <v>17</v>
      </c>
      <c r="G475" s="6" t="s">
        <v>17</v>
      </c>
      <c r="H475" s="6" t="s">
        <v>1808</v>
      </c>
      <c r="I475" s="6" t="s">
        <v>253</v>
      </c>
      <c r="J475" s="6" t="s">
        <v>1809</v>
      </c>
      <c r="K475" s="6" t="s">
        <v>1810</v>
      </c>
      <c r="L475" s="6" t="s">
        <v>1323</v>
      </c>
      <c r="M475" s="14">
        <v>45880.902777777781</v>
      </c>
      <c r="N475" s="6">
        <v>22299</v>
      </c>
      <c r="O475" s="6" t="s">
        <v>83</v>
      </c>
      <c r="P475" s="6" t="s">
        <v>272</v>
      </c>
      <c r="Q475" s="6" t="s">
        <v>243</v>
      </c>
      <c r="R475" s="6" t="s">
        <v>244</v>
      </c>
      <c r="S475" s="6" t="s">
        <v>3</v>
      </c>
      <c r="T475" s="6" t="s">
        <v>245</v>
      </c>
      <c r="U475" s="6" t="s">
        <v>142</v>
      </c>
      <c r="V475" s="6" t="s">
        <v>1811</v>
      </c>
      <c r="W475" s="6" t="s">
        <v>83</v>
      </c>
      <c r="X475" s="6" t="s">
        <v>83</v>
      </c>
      <c r="Y475" s="6" t="s">
        <v>83</v>
      </c>
      <c r="Z475" s="6" t="s">
        <v>86</v>
      </c>
      <c r="AA475" s="6" t="s">
        <v>83</v>
      </c>
      <c r="AB475" s="6">
        <v>113.79</v>
      </c>
      <c r="AC475" s="6">
        <v>0</v>
      </c>
      <c r="AD475" s="6">
        <v>0</v>
      </c>
      <c r="AE475" s="6">
        <v>0</v>
      </c>
      <c r="AF475" s="6">
        <v>0</v>
      </c>
      <c r="AG475" s="6">
        <v>0</v>
      </c>
      <c r="AH475" s="6">
        <v>0</v>
      </c>
      <c r="AI475" s="6" t="s">
        <v>1812</v>
      </c>
      <c r="AJ475" s="6" t="s">
        <v>259</v>
      </c>
      <c r="AK475" s="6" t="s">
        <v>12</v>
      </c>
      <c r="AL475" s="6" t="s">
        <v>50</v>
      </c>
      <c r="AM475" s="6" t="s">
        <v>260</v>
      </c>
      <c r="AN475" s="6" t="s">
        <v>20</v>
      </c>
      <c r="AO475" s="6" t="s">
        <v>250</v>
      </c>
      <c r="AP475" s="6" t="s">
        <v>251</v>
      </c>
      <c r="AQ475" s="6" t="s">
        <v>18</v>
      </c>
    </row>
    <row r="476" spans="1:43" x14ac:dyDescent="0.25">
      <c r="A476" s="6">
        <v>22688697</v>
      </c>
      <c r="B476" s="6">
        <v>23492340</v>
      </c>
      <c r="C476" s="6" t="s">
        <v>237</v>
      </c>
      <c r="D476" s="14">
        <v>45874.778645833343</v>
      </c>
      <c r="E476" s="14">
        <v>45874.794594907413</v>
      </c>
      <c r="F476" s="6" t="s">
        <v>21</v>
      </c>
      <c r="G476" s="6" t="s">
        <v>21</v>
      </c>
      <c r="H476" s="6" t="s">
        <v>1813</v>
      </c>
      <c r="I476" s="6" t="s">
        <v>253</v>
      </c>
      <c r="J476" s="6" t="s">
        <v>1814</v>
      </c>
      <c r="K476" s="6" t="s">
        <v>1492</v>
      </c>
      <c r="L476" s="6" t="s">
        <v>1492</v>
      </c>
      <c r="M476" s="14">
        <v>45874.570833333331</v>
      </c>
      <c r="N476" s="6">
        <v>21209</v>
      </c>
      <c r="O476" s="6" t="s">
        <v>83</v>
      </c>
      <c r="P476" s="6" t="s">
        <v>242</v>
      </c>
      <c r="Q476" s="6" t="s">
        <v>256</v>
      </c>
      <c r="R476" s="6" t="s">
        <v>424</v>
      </c>
      <c r="S476" s="6" t="s">
        <v>7</v>
      </c>
      <c r="T476" s="6" t="s">
        <v>245</v>
      </c>
      <c r="U476" s="6" t="s">
        <v>142</v>
      </c>
      <c r="V476" s="6" t="s">
        <v>1815</v>
      </c>
      <c r="W476" s="6" t="s">
        <v>83</v>
      </c>
      <c r="X476" s="6" t="s">
        <v>306</v>
      </c>
      <c r="Y476" s="6">
        <v>2142011770</v>
      </c>
      <c r="Z476" s="6" t="s">
        <v>86</v>
      </c>
      <c r="AA476" s="6" t="s">
        <v>83</v>
      </c>
      <c r="AB476" s="6">
        <v>2651.8</v>
      </c>
      <c r="AC476" s="6">
        <v>0</v>
      </c>
      <c r="AD476" s="6">
        <v>0</v>
      </c>
      <c r="AE476" s="6">
        <v>0</v>
      </c>
      <c r="AF476" s="6">
        <v>0</v>
      </c>
      <c r="AG476" s="6">
        <v>0</v>
      </c>
      <c r="AH476" s="6">
        <v>0</v>
      </c>
      <c r="AI476" s="6" t="s">
        <v>1816</v>
      </c>
      <c r="AJ476" s="6" t="s">
        <v>1817</v>
      </c>
      <c r="AK476" s="6" t="s">
        <v>12</v>
      </c>
      <c r="AL476" s="6" t="s">
        <v>51</v>
      </c>
      <c r="AM476" s="6" t="s">
        <v>342</v>
      </c>
      <c r="AN476" s="6" t="s">
        <v>26</v>
      </c>
      <c r="AO476" s="6" t="s">
        <v>250</v>
      </c>
      <c r="AP476" s="6" t="s">
        <v>262</v>
      </c>
      <c r="AQ476" s="6" t="s">
        <v>24</v>
      </c>
    </row>
    <row r="477" spans="1:43" x14ac:dyDescent="0.25">
      <c r="A477" s="6">
        <v>22733949</v>
      </c>
      <c r="B477" s="6">
        <v>23531233</v>
      </c>
      <c r="C477" s="6" t="s">
        <v>237</v>
      </c>
      <c r="D477" s="14">
        <v>45882.012650462973</v>
      </c>
      <c r="E477" s="14">
        <v>45882.025300925918</v>
      </c>
      <c r="F477" s="6" t="s">
        <v>17</v>
      </c>
      <c r="G477" s="6" t="s">
        <v>17</v>
      </c>
      <c r="H477" s="6" t="s">
        <v>1818</v>
      </c>
      <c r="I477" s="6" t="s">
        <v>253</v>
      </c>
      <c r="J477" s="6" t="s">
        <v>1819</v>
      </c>
      <c r="K477" s="6" t="s">
        <v>255</v>
      </c>
      <c r="L477" s="6" t="s">
        <v>255</v>
      </c>
      <c r="M477" s="14">
        <v>45881.762499999997</v>
      </c>
      <c r="N477" s="6">
        <v>22317</v>
      </c>
      <c r="O477" s="6" t="s">
        <v>83</v>
      </c>
      <c r="P477" s="6" t="s">
        <v>242</v>
      </c>
      <c r="Q477" s="6" t="s">
        <v>256</v>
      </c>
      <c r="R477" s="6" t="s">
        <v>256</v>
      </c>
      <c r="S477" s="6" t="s">
        <v>9</v>
      </c>
      <c r="T477" s="6" t="s">
        <v>245</v>
      </c>
      <c r="U477" s="6" t="s">
        <v>142</v>
      </c>
      <c r="V477" s="6" t="s">
        <v>1820</v>
      </c>
      <c r="W477" s="6" t="s">
        <v>83</v>
      </c>
      <c r="X477" s="6" t="s">
        <v>83</v>
      </c>
      <c r="Y477" s="6" t="s">
        <v>83</v>
      </c>
      <c r="Z477" s="6" t="s">
        <v>86</v>
      </c>
      <c r="AA477" s="6" t="s">
        <v>83</v>
      </c>
      <c r="AB477" s="6">
        <v>333</v>
      </c>
      <c r="AC477" s="6">
        <v>0</v>
      </c>
      <c r="AD477" s="6">
        <v>0</v>
      </c>
      <c r="AE477" s="6">
        <v>0</v>
      </c>
      <c r="AF477" s="6">
        <v>0</v>
      </c>
      <c r="AG477" s="6">
        <v>0</v>
      </c>
      <c r="AH477" s="6">
        <v>0</v>
      </c>
      <c r="AI477" s="6" t="s">
        <v>1821</v>
      </c>
      <c r="AJ477" s="6" t="s">
        <v>259</v>
      </c>
      <c r="AK477" s="6" t="s">
        <v>12</v>
      </c>
      <c r="AL477" s="6" t="s">
        <v>50</v>
      </c>
      <c r="AM477" s="6" t="s">
        <v>260</v>
      </c>
      <c r="AN477" s="6" t="s">
        <v>20</v>
      </c>
      <c r="AO477" s="6" t="s">
        <v>261</v>
      </c>
      <c r="AP477" s="6" t="s">
        <v>262</v>
      </c>
      <c r="AQ477" s="6" t="s">
        <v>30</v>
      </c>
    </row>
    <row r="478" spans="1:43" x14ac:dyDescent="0.25">
      <c r="A478" s="6">
        <v>22726989</v>
      </c>
      <c r="B478" s="6">
        <v>23525065</v>
      </c>
      <c r="C478" s="6" t="s">
        <v>237</v>
      </c>
      <c r="D478" s="14">
        <v>45881.010648148149</v>
      </c>
      <c r="E478" s="14">
        <v>45881.028634259259</v>
      </c>
      <c r="F478" s="6" t="s">
        <v>17</v>
      </c>
      <c r="G478" s="6" t="s">
        <v>17</v>
      </c>
      <c r="H478" s="6" t="s">
        <v>1822</v>
      </c>
      <c r="I478" s="6" t="s">
        <v>253</v>
      </c>
      <c r="J478" s="6" t="s">
        <v>1823</v>
      </c>
      <c r="K478" s="6" t="s">
        <v>255</v>
      </c>
      <c r="L478" s="6" t="s">
        <v>255</v>
      </c>
      <c r="M478" s="14">
        <v>45880.852083333331</v>
      </c>
      <c r="N478" s="6">
        <v>22306</v>
      </c>
      <c r="O478" s="6" t="s">
        <v>83</v>
      </c>
      <c r="P478" s="6" t="s">
        <v>242</v>
      </c>
      <c r="Q478" s="6" t="s">
        <v>256</v>
      </c>
      <c r="R478" s="6" t="s">
        <v>256</v>
      </c>
      <c r="S478" s="6" t="s">
        <v>9</v>
      </c>
      <c r="T478" s="6" t="s">
        <v>245</v>
      </c>
      <c r="U478" s="6" t="s">
        <v>142</v>
      </c>
      <c r="V478" s="6" t="s">
        <v>1820</v>
      </c>
      <c r="W478" s="6" t="s">
        <v>83</v>
      </c>
      <c r="X478" s="6" t="s">
        <v>83</v>
      </c>
      <c r="Y478" s="6" t="s">
        <v>83</v>
      </c>
      <c r="Z478" s="6" t="s">
        <v>86</v>
      </c>
      <c r="AA478" s="6" t="s">
        <v>83</v>
      </c>
      <c r="AB478" s="6">
        <v>1600</v>
      </c>
      <c r="AC478" s="6">
        <v>0</v>
      </c>
      <c r="AD478" s="6">
        <v>0</v>
      </c>
      <c r="AE478" s="6">
        <v>0</v>
      </c>
      <c r="AF478" s="6">
        <v>0</v>
      </c>
      <c r="AG478" s="6">
        <v>208</v>
      </c>
      <c r="AH478" s="6">
        <v>0</v>
      </c>
      <c r="AI478" s="6" t="s">
        <v>1824</v>
      </c>
      <c r="AJ478" s="6" t="s">
        <v>259</v>
      </c>
      <c r="AK478" s="6" t="s">
        <v>12</v>
      </c>
      <c r="AL478" s="6" t="s">
        <v>50</v>
      </c>
      <c r="AM478" s="6" t="s">
        <v>260</v>
      </c>
      <c r="AN478" s="6" t="s">
        <v>20</v>
      </c>
      <c r="AO478" s="6" t="s">
        <v>261</v>
      </c>
      <c r="AP478" s="6" t="s">
        <v>262</v>
      </c>
      <c r="AQ478" s="6" t="s">
        <v>30</v>
      </c>
    </row>
    <row r="479" spans="1:43" x14ac:dyDescent="0.25">
      <c r="A479" s="6">
        <v>22726990</v>
      </c>
      <c r="B479" s="6">
        <v>23525066</v>
      </c>
      <c r="C479" s="6" t="s">
        <v>237</v>
      </c>
      <c r="D479" s="14">
        <v>45881.010694444441</v>
      </c>
      <c r="E479" s="14">
        <v>45881.028645833343</v>
      </c>
      <c r="F479" s="6" t="s">
        <v>17</v>
      </c>
      <c r="G479" s="6" t="s">
        <v>17</v>
      </c>
      <c r="H479" s="6" t="s">
        <v>1825</v>
      </c>
      <c r="I479" s="6" t="s">
        <v>253</v>
      </c>
      <c r="J479" s="6" t="s">
        <v>1826</v>
      </c>
      <c r="K479" s="6" t="s">
        <v>255</v>
      </c>
      <c r="L479" s="6" t="s">
        <v>255</v>
      </c>
      <c r="M479" s="14">
        <v>45880.841666666667</v>
      </c>
      <c r="N479" s="6">
        <v>22305</v>
      </c>
      <c r="O479" s="6" t="s">
        <v>83</v>
      </c>
      <c r="P479" s="6" t="s">
        <v>242</v>
      </c>
      <c r="Q479" s="6" t="s">
        <v>256</v>
      </c>
      <c r="R479" s="6" t="s">
        <v>256</v>
      </c>
      <c r="S479" s="6" t="s">
        <v>9</v>
      </c>
      <c r="T479" s="6" t="s">
        <v>245</v>
      </c>
      <c r="U479" s="6" t="s">
        <v>142</v>
      </c>
      <c r="V479" s="6" t="s">
        <v>1820</v>
      </c>
      <c r="W479" s="6" t="s">
        <v>83</v>
      </c>
      <c r="X479" s="6" t="s">
        <v>83</v>
      </c>
      <c r="Y479" s="6" t="s">
        <v>83</v>
      </c>
      <c r="Z479" s="6" t="s">
        <v>86</v>
      </c>
      <c r="AA479" s="6" t="s">
        <v>83</v>
      </c>
      <c r="AB479" s="6">
        <v>1600</v>
      </c>
      <c r="AC479" s="6">
        <v>0</v>
      </c>
      <c r="AD479" s="6">
        <v>0</v>
      </c>
      <c r="AE479" s="6">
        <v>0</v>
      </c>
      <c r="AF479" s="6">
        <v>0</v>
      </c>
      <c r="AG479" s="6">
        <v>208</v>
      </c>
      <c r="AH479" s="6">
        <v>0</v>
      </c>
      <c r="AI479" s="6" t="s">
        <v>1827</v>
      </c>
      <c r="AJ479" s="6" t="s">
        <v>259</v>
      </c>
      <c r="AK479" s="6" t="s">
        <v>12</v>
      </c>
      <c r="AL479" s="6" t="s">
        <v>50</v>
      </c>
      <c r="AM479" s="6" t="s">
        <v>260</v>
      </c>
      <c r="AN479" s="6" t="s">
        <v>20</v>
      </c>
      <c r="AO479" s="6" t="s">
        <v>261</v>
      </c>
      <c r="AP479" s="6" t="s">
        <v>262</v>
      </c>
      <c r="AQ479" s="6" t="s">
        <v>30</v>
      </c>
    </row>
    <row r="480" spans="1:43" x14ac:dyDescent="0.25">
      <c r="A480" s="6">
        <v>22726991</v>
      </c>
      <c r="B480" s="6">
        <v>23525067</v>
      </c>
      <c r="C480" s="6" t="s">
        <v>237</v>
      </c>
      <c r="D480" s="14">
        <v>45881.010740740741</v>
      </c>
      <c r="E480" s="14">
        <v>45881.028645833343</v>
      </c>
      <c r="F480" s="6" t="s">
        <v>17</v>
      </c>
      <c r="G480" s="6" t="s">
        <v>17</v>
      </c>
      <c r="H480" s="6" t="s">
        <v>1828</v>
      </c>
      <c r="I480" s="6" t="s">
        <v>253</v>
      </c>
      <c r="J480" s="6" t="s">
        <v>1829</v>
      </c>
      <c r="K480" s="6" t="s">
        <v>255</v>
      </c>
      <c r="L480" s="6" t="s">
        <v>255</v>
      </c>
      <c r="M480" s="14">
        <v>45880.852083333331</v>
      </c>
      <c r="N480" s="6">
        <v>22304</v>
      </c>
      <c r="O480" s="6" t="s">
        <v>83</v>
      </c>
      <c r="P480" s="6" t="s">
        <v>242</v>
      </c>
      <c r="Q480" s="6" t="s">
        <v>256</v>
      </c>
      <c r="R480" s="6" t="s">
        <v>256</v>
      </c>
      <c r="S480" s="6" t="s">
        <v>9</v>
      </c>
      <c r="T480" s="6" t="s">
        <v>245</v>
      </c>
      <c r="U480" s="6" t="s">
        <v>142</v>
      </c>
      <c r="V480" s="6" t="s">
        <v>1820</v>
      </c>
      <c r="W480" s="6" t="s">
        <v>83</v>
      </c>
      <c r="X480" s="6" t="s">
        <v>83</v>
      </c>
      <c r="Y480" s="6" t="s">
        <v>83</v>
      </c>
      <c r="Z480" s="6" t="s">
        <v>86</v>
      </c>
      <c r="AA480" s="6" t="s">
        <v>83</v>
      </c>
      <c r="AB480" s="6">
        <v>1600</v>
      </c>
      <c r="AC480" s="6">
        <v>0</v>
      </c>
      <c r="AD480" s="6">
        <v>0</v>
      </c>
      <c r="AE480" s="6">
        <v>0</v>
      </c>
      <c r="AF480" s="6">
        <v>0</v>
      </c>
      <c r="AG480" s="6">
        <v>208</v>
      </c>
      <c r="AH480" s="6">
        <v>0</v>
      </c>
      <c r="AI480" s="6" t="s">
        <v>1830</v>
      </c>
      <c r="AJ480" s="6" t="s">
        <v>259</v>
      </c>
      <c r="AK480" s="6" t="s">
        <v>12</v>
      </c>
      <c r="AL480" s="6" t="s">
        <v>50</v>
      </c>
      <c r="AM480" s="6" t="s">
        <v>260</v>
      </c>
      <c r="AN480" s="6" t="s">
        <v>20</v>
      </c>
      <c r="AO480" s="6" t="s">
        <v>261</v>
      </c>
      <c r="AP480" s="6" t="s">
        <v>262</v>
      </c>
      <c r="AQ480" s="6" t="s">
        <v>30</v>
      </c>
    </row>
    <row r="481" spans="1:43" x14ac:dyDescent="0.25">
      <c r="A481" s="6">
        <v>22726997</v>
      </c>
      <c r="B481" s="6">
        <v>23525073</v>
      </c>
      <c r="C481" s="6" t="s">
        <v>237</v>
      </c>
      <c r="D481" s="14">
        <v>45881.010937500003</v>
      </c>
      <c r="E481" s="14">
        <v>45881.028645833343</v>
      </c>
      <c r="F481" s="6" t="s">
        <v>17</v>
      </c>
      <c r="G481" s="6" t="s">
        <v>17</v>
      </c>
      <c r="H481" s="6" t="s">
        <v>1831</v>
      </c>
      <c r="I481" s="6" t="s">
        <v>253</v>
      </c>
      <c r="J481" s="6" t="s">
        <v>1832</v>
      </c>
      <c r="K481" s="6" t="s">
        <v>255</v>
      </c>
      <c r="L481" s="6" t="s">
        <v>255</v>
      </c>
      <c r="M481" s="14">
        <v>45880.823611111111</v>
      </c>
      <c r="N481" s="6">
        <v>22271</v>
      </c>
      <c r="O481" s="6" t="s">
        <v>83</v>
      </c>
      <c r="P481" s="6" t="s">
        <v>242</v>
      </c>
      <c r="Q481" s="6" t="s">
        <v>256</v>
      </c>
      <c r="R481" s="6" t="s">
        <v>256</v>
      </c>
      <c r="S481" s="6" t="s">
        <v>9</v>
      </c>
      <c r="T481" s="6" t="s">
        <v>245</v>
      </c>
      <c r="U481" s="6" t="s">
        <v>142</v>
      </c>
      <c r="V481" s="6" t="s">
        <v>1833</v>
      </c>
      <c r="W481" s="6" t="s">
        <v>83</v>
      </c>
      <c r="X481" s="6" t="s">
        <v>83</v>
      </c>
      <c r="Y481" s="6" t="s">
        <v>83</v>
      </c>
      <c r="Z481" s="6" t="s">
        <v>86</v>
      </c>
      <c r="AA481" s="6" t="s">
        <v>83</v>
      </c>
      <c r="AB481" s="6">
        <v>108</v>
      </c>
      <c r="AC481" s="6">
        <v>0</v>
      </c>
      <c r="AD481" s="6">
        <v>0</v>
      </c>
      <c r="AE481" s="6">
        <v>0</v>
      </c>
      <c r="AF481" s="6">
        <v>0</v>
      </c>
      <c r="AG481" s="6">
        <v>4.32</v>
      </c>
      <c r="AH481" s="6">
        <v>0</v>
      </c>
      <c r="AI481" s="6" t="s">
        <v>1834</v>
      </c>
      <c r="AJ481" s="6" t="s">
        <v>259</v>
      </c>
      <c r="AK481" s="6" t="s">
        <v>12</v>
      </c>
      <c r="AL481" s="6" t="s">
        <v>50</v>
      </c>
      <c r="AM481" s="6" t="s">
        <v>260</v>
      </c>
      <c r="AN481" s="6" t="s">
        <v>20</v>
      </c>
      <c r="AO481" s="6" t="s">
        <v>261</v>
      </c>
      <c r="AP481" s="6" t="s">
        <v>262</v>
      </c>
      <c r="AQ481" s="6" t="s">
        <v>30</v>
      </c>
    </row>
    <row r="482" spans="1:43" x14ac:dyDescent="0.25">
      <c r="A482" s="6">
        <v>22683082</v>
      </c>
      <c r="B482" s="6">
        <v>23487429</v>
      </c>
      <c r="C482" s="6" t="s">
        <v>237</v>
      </c>
      <c r="D482" s="14">
        <v>45874.011030092603</v>
      </c>
      <c r="E482" s="14">
        <v>45874.028124999997</v>
      </c>
      <c r="F482" s="6" t="s">
        <v>21</v>
      </c>
      <c r="G482" s="6" t="s">
        <v>21</v>
      </c>
      <c r="H482" s="6" t="s">
        <v>1835</v>
      </c>
      <c r="I482" s="6" t="s">
        <v>253</v>
      </c>
      <c r="J482" s="6" t="s">
        <v>1836</v>
      </c>
      <c r="K482" s="6" t="s">
        <v>255</v>
      </c>
      <c r="L482" s="6" t="s">
        <v>255</v>
      </c>
      <c r="M482" s="14">
        <v>45873.786805555559</v>
      </c>
      <c r="N482" s="6">
        <v>4698</v>
      </c>
      <c r="O482" s="6" t="s">
        <v>83</v>
      </c>
      <c r="P482" s="6" t="s">
        <v>272</v>
      </c>
      <c r="Q482" s="6" t="s">
        <v>616</v>
      </c>
      <c r="R482" s="6" t="s">
        <v>616</v>
      </c>
      <c r="S482" s="6" t="s">
        <v>9</v>
      </c>
      <c r="T482" s="6" t="s">
        <v>245</v>
      </c>
      <c r="U482" s="6" t="s">
        <v>162</v>
      </c>
      <c r="V482" s="6" t="s">
        <v>1837</v>
      </c>
      <c r="W482" s="6" t="s">
        <v>83</v>
      </c>
      <c r="X482" s="6" t="s">
        <v>83</v>
      </c>
      <c r="Y482" s="6" t="s">
        <v>83</v>
      </c>
      <c r="Z482" s="6" t="s">
        <v>103</v>
      </c>
      <c r="AA482" s="6" t="s">
        <v>83</v>
      </c>
      <c r="AB482" s="6">
        <v>7945.89</v>
      </c>
      <c r="AC482" s="6">
        <v>0</v>
      </c>
      <c r="AD482" s="6">
        <v>0</v>
      </c>
      <c r="AE482" s="6">
        <v>0</v>
      </c>
      <c r="AF482" s="6">
        <v>0</v>
      </c>
      <c r="AG482" s="6">
        <v>81.44</v>
      </c>
      <c r="AH482" s="6">
        <v>0</v>
      </c>
      <c r="AI482" s="6" t="s">
        <v>1838</v>
      </c>
      <c r="AJ482" s="6" t="s">
        <v>259</v>
      </c>
      <c r="AK482" s="6" t="s">
        <v>12</v>
      </c>
      <c r="AL482" s="6" t="s">
        <v>50</v>
      </c>
      <c r="AM482" s="6" t="s">
        <v>260</v>
      </c>
      <c r="AN482" s="6" t="s">
        <v>20</v>
      </c>
      <c r="AO482" s="6" t="s">
        <v>250</v>
      </c>
      <c r="AP482" s="6" t="s">
        <v>251</v>
      </c>
      <c r="AQ482" s="6" t="s">
        <v>18</v>
      </c>
    </row>
    <row r="483" spans="1:43" x14ac:dyDescent="0.25">
      <c r="A483" s="6">
        <v>22690270</v>
      </c>
      <c r="B483" s="6">
        <v>23493788</v>
      </c>
      <c r="C483" s="6" t="s">
        <v>237</v>
      </c>
      <c r="D483" s="14">
        <v>45875.007743055547</v>
      </c>
      <c r="E483" s="14">
        <v>45875.011504629627</v>
      </c>
      <c r="F483" s="6" t="s">
        <v>21</v>
      </c>
      <c r="G483" s="6" t="s">
        <v>21</v>
      </c>
      <c r="H483" s="6" t="s">
        <v>1839</v>
      </c>
      <c r="I483" s="6" t="s">
        <v>253</v>
      </c>
      <c r="J483" s="6" t="s">
        <v>1840</v>
      </c>
      <c r="K483" s="6" t="s">
        <v>1841</v>
      </c>
      <c r="L483" s="6" t="s">
        <v>1841</v>
      </c>
      <c r="M483" s="14">
        <v>45874.777083333327</v>
      </c>
      <c r="N483" s="6">
        <v>4723</v>
      </c>
      <c r="O483" s="6" t="s">
        <v>83</v>
      </c>
      <c r="P483" s="6" t="s">
        <v>272</v>
      </c>
      <c r="Q483" s="6" t="s">
        <v>616</v>
      </c>
      <c r="R483" s="6" t="s">
        <v>616</v>
      </c>
      <c r="S483" s="6" t="s">
        <v>9</v>
      </c>
      <c r="T483" s="6" t="s">
        <v>245</v>
      </c>
      <c r="U483" s="6" t="s">
        <v>162</v>
      </c>
      <c r="V483" s="6" t="s">
        <v>1837</v>
      </c>
      <c r="W483" s="6" t="s">
        <v>83</v>
      </c>
      <c r="X483" s="6" t="s">
        <v>83</v>
      </c>
      <c r="Y483" s="6" t="s">
        <v>83</v>
      </c>
      <c r="Z483" s="6" t="s">
        <v>103</v>
      </c>
      <c r="AA483" s="6" t="s">
        <v>83</v>
      </c>
      <c r="AB483" s="6">
        <v>7951.68</v>
      </c>
      <c r="AC483" s="6">
        <v>0</v>
      </c>
      <c r="AD483" s="6">
        <v>0</v>
      </c>
      <c r="AE483" s="6">
        <v>0</v>
      </c>
      <c r="AF483" s="6">
        <v>0</v>
      </c>
      <c r="AG483" s="6">
        <v>81.7</v>
      </c>
      <c r="AH483" s="6">
        <v>0</v>
      </c>
      <c r="AI483" s="6" t="s">
        <v>1842</v>
      </c>
      <c r="AJ483" s="6" t="s">
        <v>259</v>
      </c>
      <c r="AK483" s="6" t="s">
        <v>12</v>
      </c>
      <c r="AL483" s="6" t="s">
        <v>50</v>
      </c>
      <c r="AM483" s="6" t="s">
        <v>260</v>
      </c>
      <c r="AN483" s="6" t="s">
        <v>20</v>
      </c>
      <c r="AO483" s="6" t="s">
        <v>250</v>
      </c>
      <c r="AP483" s="6" t="s">
        <v>251</v>
      </c>
      <c r="AQ483" s="6" t="s">
        <v>18</v>
      </c>
    </row>
    <row r="484" spans="1:43" x14ac:dyDescent="0.25">
      <c r="A484" s="6">
        <v>22695828</v>
      </c>
      <c r="B484" s="6">
        <v>23498680</v>
      </c>
      <c r="C484" s="6" t="s">
        <v>237</v>
      </c>
      <c r="D484" s="14">
        <v>45875.771018518521</v>
      </c>
      <c r="E484" s="14">
        <v>45875.795844907407</v>
      </c>
      <c r="F484" s="6" t="s">
        <v>21</v>
      </c>
      <c r="G484" s="6" t="s">
        <v>21</v>
      </c>
      <c r="H484" s="6" t="s">
        <v>1843</v>
      </c>
      <c r="I484" s="6" t="s">
        <v>253</v>
      </c>
      <c r="J484" s="6" t="s">
        <v>1844</v>
      </c>
      <c r="K484" s="6" t="s">
        <v>1841</v>
      </c>
      <c r="L484" s="6" t="s">
        <v>1841</v>
      </c>
      <c r="M484" s="14">
        <v>45875.72152777778</v>
      </c>
      <c r="N484" s="6">
        <v>4744</v>
      </c>
      <c r="O484" s="6" t="s">
        <v>83</v>
      </c>
      <c r="P484" s="6" t="s">
        <v>272</v>
      </c>
      <c r="Q484" s="6" t="s">
        <v>616</v>
      </c>
      <c r="R484" s="6" t="s">
        <v>616</v>
      </c>
      <c r="S484" s="6" t="s">
        <v>9</v>
      </c>
      <c r="T484" s="6" t="s">
        <v>245</v>
      </c>
      <c r="U484" s="6" t="s">
        <v>162</v>
      </c>
      <c r="V484" s="6" t="s">
        <v>1837</v>
      </c>
      <c r="W484" s="6" t="s">
        <v>83</v>
      </c>
      <c r="X484" s="6" t="s">
        <v>83</v>
      </c>
      <c r="Y484" s="6" t="s">
        <v>83</v>
      </c>
      <c r="Z484" s="6" t="s">
        <v>103</v>
      </c>
      <c r="AA484" s="6" t="s">
        <v>83</v>
      </c>
      <c r="AB484" s="6">
        <v>8009.52</v>
      </c>
      <c r="AC484" s="6">
        <v>0</v>
      </c>
      <c r="AD484" s="6">
        <v>0</v>
      </c>
      <c r="AE484" s="6">
        <v>0</v>
      </c>
      <c r="AF484" s="6">
        <v>0</v>
      </c>
      <c r="AG484" s="6">
        <v>81.11</v>
      </c>
      <c r="AH484" s="6">
        <v>0</v>
      </c>
      <c r="AI484" s="6" t="s">
        <v>1845</v>
      </c>
      <c r="AJ484" s="6" t="s">
        <v>259</v>
      </c>
      <c r="AK484" s="6" t="s">
        <v>12</v>
      </c>
      <c r="AL484" s="6" t="s">
        <v>50</v>
      </c>
      <c r="AM484" s="6" t="s">
        <v>260</v>
      </c>
      <c r="AN484" s="6" t="s">
        <v>20</v>
      </c>
      <c r="AO484" s="6" t="s">
        <v>250</v>
      </c>
      <c r="AP484" s="6" t="s">
        <v>251</v>
      </c>
      <c r="AQ484" s="6" t="s">
        <v>18</v>
      </c>
    </row>
    <row r="485" spans="1:43" x14ac:dyDescent="0.25">
      <c r="A485" s="6">
        <v>22726907</v>
      </c>
      <c r="B485" s="6">
        <v>23524993</v>
      </c>
      <c r="C485" s="6" t="s">
        <v>237</v>
      </c>
      <c r="D485" s="14">
        <v>45881.008379629631</v>
      </c>
      <c r="E485" s="14">
        <v>45881.024560185193</v>
      </c>
      <c r="F485" s="6" t="s">
        <v>17</v>
      </c>
      <c r="G485" s="6" t="s">
        <v>17</v>
      </c>
      <c r="H485" s="6" t="s">
        <v>1846</v>
      </c>
      <c r="I485" s="6" t="s">
        <v>253</v>
      </c>
      <c r="J485" s="6" t="s">
        <v>1847</v>
      </c>
      <c r="K485" s="6" t="s">
        <v>255</v>
      </c>
      <c r="L485" s="6" t="s">
        <v>255</v>
      </c>
      <c r="M485" s="14">
        <v>45880.765972222223</v>
      </c>
      <c r="N485" s="6">
        <v>39486</v>
      </c>
      <c r="O485" s="6" t="s">
        <v>83</v>
      </c>
      <c r="P485" s="6" t="s">
        <v>242</v>
      </c>
      <c r="Q485" s="6" t="s">
        <v>256</v>
      </c>
      <c r="R485" s="6" t="s">
        <v>256</v>
      </c>
      <c r="S485" s="6" t="s">
        <v>9</v>
      </c>
      <c r="T485" s="6" t="s">
        <v>245</v>
      </c>
      <c r="U485" s="6" t="s">
        <v>134</v>
      </c>
      <c r="V485" s="6" t="s">
        <v>1848</v>
      </c>
      <c r="W485" s="6" t="s">
        <v>83</v>
      </c>
      <c r="X485" s="6" t="s">
        <v>83</v>
      </c>
      <c r="Y485" s="6" t="s">
        <v>83</v>
      </c>
      <c r="Z485" s="6" t="s">
        <v>75</v>
      </c>
      <c r="AA485" s="6" t="s">
        <v>83</v>
      </c>
      <c r="AB485" s="6">
        <v>415</v>
      </c>
      <c r="AC485" s="6">
        <v>0</v>
      </c>
      <c r="AD485" s="6">
        <v>0</v>
      </c>
      <c r="AE485" s="6">
        <v>0</v>
      </c>
      <c r="AF485" s="6">
        <v>0</v>
      </c>
      <c r="AG485" s="6">
        <v>65.150000000000006</v>
      </c>
      <c r="AH485" s="6">
        <v>0</v>
      </c>
      <c r="AI485" s="6" t="s">
        <v>1849</v>
      </c>
      <c r="AJ485" s="6" t="s">
        <v>259</v>
      </c>
      <c r="AK485" s="6" t="s">
        <v>12</v>
      </c>
      <c r="AL485" s="6" t="s">
        <v>50</v>
      </c>
      <c r="AM485" s="6" t="s">
        <v>260</v>
      </c>
      <c r="AN485" s="6" t="s">
        <v>20</v>
      </c>
      <c r="AO485" s="6" t="s">
        <v>261</v>
      </c>
      <c r="AP485" s="6" t="s">
        <v>262</v>
      </c>
      <c r="AQ485" s="6" t="s">
        <v>30</v>
      </c>
    </row>
    <row r="486" spans="1:43" x14ac:dyDescent="0.25">
      <c r="A486" s="6">
        <v>22729528</v>
      </c>
      <c r="B486" s="6">
        <v>23527080</v>
      </c>
      <c r="C486" s="6" t="s">
        <v>237</v>
      </c>
      <c r="D486" s="14">
        <v>45881.516041666669</v>
      </c>
      <c r="E486" s="14">
        <v>45881.542442129627</v>
      </c>
      <c r="F486" s="6" t="s">
        <v>17</v>
      </c>
      <c r="G486" s="6" t="s">
        <v>17</v>
      </c>
      <c r="H486" s="6" t="s">
        <v>1850</v>
      </c>
      <c r="I486" s="6" t="s">
        <v>253</v>
      </c>
      <c r="J486" s="6" t="s">
        <v>1851</v>
      </c>
      <c r="K486" s="6" t="s">
        <v>255</v>
      </c>
      <c r="L486" s="6" t="s">
        <v>255</v>
      </c>
      <c r="M486" s="14">
        <v>45881.421527777777</v>
      </c>
      <c r="N486" s="6">
        <v>39500</v>
      </c>
      <c r="O486" s="6" t="s">
        <v>83</v>
      </c>
      <c r="P486" s="6" t="s">
        <v>242</v>
      </c>
      <c r="Q486" s="6" t="s">
        <v>256</v>
      </c>
      <c r="R486" s="6" t="s">
        <v>256</v>
      </c>
      <c r="S486" s="6" t="s">
        <v>9</v>
      </c>
      <c r="T486" s="6" t="s">
        <v>245</v>
      </c>
      <c r="U486" s="6" t="s">
        <v>134</v>
      </c>
      <c r="V486" s="6" t="s">
        <v>1852</v>
      </c>
      <c r="W486" s="6" t="s">
        <v>83</v>
      </c>
      <c r="X486" s="6" t="s">
        <v>83</v>
      </c>
      <c r="Y486" s="6" t="s">
        <v>83</v>
      </c>
      <c r="Z486" s="6" t="s">
        <v>75</v>
      </c>
      <c r="AA486" s="6" t="s">
        <v>83</v>
      </c>
      <c r="AB486" s="6">
        <v>178</v>
      </c>
      <c r="AC486" s="6">
        <v>0</v>
      </c>
      <c r="AD486" s="6">
        <v>0</v>
      </c>
      <c r="AE486" s="6">
        <v>0</v>
      </c>
      <c r="AF486" s="6">
        <v>0</v>
      </c>
      <c r="AG486" s="6">
        <v>5.34</v>
      </c>
      <c r="AH486" s="6">
        <v>0</v>
      </c>
      <c r="AI486" s="6" t="s">
        <v>1853</v>
      </c>
      <c r="AJ486" s="6" t="s">
        <v>259</v>
      </c>
      <c r="AK486" s="6" t="s">
        <v>12</v>
      </c>
      <c r="AL486" s="6" t="s">
        <v>50</v>
      </c>
      <c r="AM486" s="6" t="s">
        <v>260</v>
      </c>
      <c r="AN486" s="6" t="s">
        <v>20</v>
      </c>
      <c r="AO486" s="6" t="s">
        <v>261</v>
      </c>
      <c r="AP486" s="6" t="s">
        <v>262</v>
      </c>
      <c r="AQ486" s="6" t="s">
        <v>30</v>
      </c>
    </row>
    <row r="487" spans="1:43" x14ac:dyDescent="0.25">
      <c r="A487" s="6">
        <v>22729530</v>
      </c>
      <c r="B487" s="6">
        <v>23527081</v>
      </c>
      <c r="C487" s="6" t="s">
        <v>237</v>
      </c>
      <c r="D487" s="14">
        <v>45881.516111111108</v>
      </c>
      <c r="E487" s="14">
        <v>45881.542442129627</v>
      </c>
      <c r="F487" s="6" t="s">
        <v>17</v>
      </c>
      <c r="G487" s="6" t="s">
        <v>17</v>
      </c>
      <c r="H487" s="6" t="s">
        <v>1854</v>
      </c>
      <c r="I487" s="6" t="s">
        <v>253</v>
      </c>
      <c r="J487" s="6" t="s">
        <v>1855</v>
      </c>
      <c r="K487" s="6" t="s">
        <v>255</v>
      </c>
      <c r="L487" s="6" t="s">
        <v>255</v>
      </c>
      <c r="M487" s="14">
        <v>45881.421527777777</v>
      </c>
      <c r="N487" s="6">
        <v>39499</v>
      </c>
      <c r="O487" s="6" t="s">
        <v>83</v>
      </c>
      <c r="P487" s="6" t="s">
        <v>242</v>
      </c>
      <c r="Q487" s="6" t="s">
        <v>256</v>
      </c>
      <c r="R487" s="6" t="s">
        <v>256</v>
      </c>
      <c r="S487" s="6" t="s">
        <v>9</v>
      </c>
      <c r="T487" s="6" t="s">
        <v>245</v>
      </c>
      <c r="U487" s="6" t="s">
        <v>134</v>
      </c>
      <c r="V487" s="6" t="s">
        <v>1852</v>
      </c>
      <c r="W487" s="6" t="s">
        <v>83</v>
      </c>
      <c r="X487" s="6" t="s">
        <v>83</v>
      </c>
      <c r="Y487" s="6" t="s">
        <v>83</v>
      </c>
      <c r="Z487" s="6" t="s">
        <v>75</v>
      </c>
      <c r="AA487" s="6" t="s">
        <v>83</v>
      </c>
      <c r="AB487" s="6">
        <v>178</v>
      </c>
      <c r="AC487" s="6">
        <v>0</v>
      </c>
      <c r="AD487" s="6">
        <v>0</v>
      </c>
      <c r="AE487" s="6">
        <v>0</v>
      </c>
      <c r="AF487" s="6">
        <v>0</v>
      </c>
      <c r="AG487" s="6">
        <v>5.34</v>
      </c>
      <c r="AH487" s="6">
        <v>0</v>
      </c>
      <c r="AI487" s="6" t="s">
        <v>1856</v>
      </c>
      <c r="AJ487" s="6" t="s">
        <v>259</v>
      </c>
      <c r="AK487" s="6" t="s">
        <v>12</v>
      </c>
      <c r="AL487" s="6" t="s">
        <v>50</v>
      </c>
      <c r="AM487" s="6" t="s">
        <v>260</v>
      </c>
      <c r="AN487" s="6" t="s">
        <v>20</v>
      </c>
      <c r="AO487" s="6" t="s">
        <v>261</v>
      </c>
      <c r="AP487" s="6" t="s">
        <v>262</v>
      </c>
      <c r="AQ487" s="6" t="s">
        <v>30</v>
      </c>
    </row>
    <row r="488" spans="1:43" x14ac:dyDescent="0.25">
      <c r="A488" s="6">
        <v>22729531</v>
      </c>
      <c r="B488" s="6">
        <v>23527082</v>
      </c>
      <c r="C488" s="6" t="s">
        <v>237</v>
      </c>
      <c r="D488" s="14">
        <v>45881.516180555547</v>
      </c>
      <c r="E488" s="14">
        <v>45881.542453703703</v>
      </c>
      <c r="F488" s="6" t="s">
        <v>17</v>
      </c>
      <c r="G488" s="6" t="s">
        <v>17</v>
      </c>
      <c r="H488" s="6" t="s">
        <v>1857</v>
      </c>
      <c r="I488" s="6" t="s">
        <v>253</v>
      </c>
      <c r="J488" s="6" t="s">
        <v>1858</v>
      </c>
      <c r="K488" s="6" t="s">
        <v>255</v>
      </c>
      <c r="L488" s="6" t="s">
        <v>255</v>
      </c>
      <c r="M488" s="14">
        <v>45881.421527777777</v>
      </c>
      <c r="N488" s="6">
        <v>39498</v>
      </c>
      <c r="O488" s="6" t="s">
        <v>83</v>
      </c>
      <c r="P488" s="6" t="s">
        <v>242</v>
      </c>
      <c r="Q488" s="6" t="s">
        <v>256</v>
      </c>
      <c r="R488" s="6" t="s">
        <v>256</v>
      </c>
      <c r="S488" s="6" t="s">
        <v>9</v>
      </c>
      <c r="T488" s="6" t="s">
        <v>245</v>
      </c>
      <c r="U488" s="6" t="s">
        <v>134</v>
      </c>
      <c r="V488" s="6" t="s">
        <v>1852</v>
      </c>
      <c r="W488" s="6" t="s">
        <v>83</v>
      </c>
      <c r="X488" s="6" t="s">
        <v>83</v>
      </c>
      <c r="Y488" s="6" t="s">
        <v>83</v>
      </c>
      <c r="Z488" s="6" t="s">
        <v>75</v>
      </c>
      <c r="AA488" s="6" t="s">
        <v>83</v>
      </c>
      <c r="AB488" s="6">
        <v>178</v>
      </c>
      <c r="AC488" s="6">
        <v>0</v>
      </c>
      <c r="AD488" s="6">
        <v>0</v>
      </c>
      <c r="AE488" s="6">
        <v>0</v>
      </c>
      <c r="AF488" s="6">
        <v>0</v>
      </c>
      <c r="AG488" s="6">
        <v>5.34</v>
      </c>
      <c r="AH488" s="6">
        <v>0</v>
      </c>
      <c r="AI488" s="6" t="s">
        <v>1859</v>
      </c>
      <c r="AJ488" s="6" t="s">
        <v>259</v>
      </c>
      <c r="AK488" s="6" t="s">
        <v>12</v>
      </c>
      <c r="AL488" s="6" t="s">
        <v>50</v>
      </c>
      <c r="AM488" s="6" t="s">
        <v>260</v>
      </c>
      <c r="AN488" s="6" t="s">
        <v>20</v>
      </c>
      <c r="AO488" s="6" t="s">
        <v>261</v>
      </c>
      <c r="AP488" s="6" t="s">
        <v>262</v>
      </c>
      <c r="AQ488" s="6" t="s">
        <v>30</v>
      </c>
    </row>
    <row r="489" spans="1:43" x14ac:dyDescent="0.25">
      <c r="A489" s="6">
        <v>22729532</v>
      </c>
      <c r="B489" s="6">
        <v>23527084</v>
      </c>
      <c r="C489" s="6" t="s">
        <v>237</v>
      </c>
      <c r="D489" s="14">
        <v>45881.516226851847</v>
      </c>
      <c r="E489" s="14">
        <v>45881.54246527778</v>
      </c>
      <c r="F489" s="6" t="s">
        <v>17</v>
      </c>
      <c r="G489" s="6" t="s">
        <v>17</v>
      </c>
      <c r="H489" s="6" t="s">
        <v>1860</v>
      </c>
      <c r="I489" s="6" t="s">
        <v>253</v>
      </c>
      <c r="J489" s="6" t="s">
        <v>1861</v>
      </c>
      <c r="K489" s="6" t="s">
        <v>255</v>
      </c>
      <c r="L489" s="6" t="s">
        <v>255</v>
      </c>
      <c r="M489" s="14">
        <v>45881.376388888893</v>
      </c>
      <c r="N489" s="6">
        <v>39497</v>
      </c>
      <c r="O489" s="6" t="s">
        <v>638</v>
      </c>
      <c r="P489" s="6" t="s">
        <v>242</v>
      </c>
      <c r="Q489" s="6" t="s">
        <v>243</v>
      </c>
      <c r="R489" s="6" t="s">
        <v>244</v>
      </c>
      <c r="S489" s="6" t="s">
        <v>8</v>
      </c>
      <c r="T489" s="6" t="s">
        <v>245</v>
      </c>
      <c r="U489" s="6" t="s">
        <v>134</v>
      </c>
      <c r="V489" s="6" t="s">
        <v>1848</v>
      </c>
      <c r="W489" s="6" t="s">
        <v>83</v>
      </c>
      <c r="X489" s="6" t="s">
        <v>83</v>
      </c>
      <c r="Y489" s="6" t="s">
        <v>83</v>
      </c>
      <c r="Z489" s="6" t="s">
        <v>75</v>
      </c>
      <c r="AA489" s="6" t="s">
        <v>83</v>
      </c>
      <c r="AB489" s="6">
        <v>183.12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>
        <v>0</v>
      </c>
      <c r="AI489" s="6" t="s">
        <v>1862</v>
      </c>
      <c r="AJ489" s="6" t="s">
        <v>259</v>
      </c>
      <c r="AK489" s="6" t="s">
        <v>12</v>
      </c>
      <c r="AL489" s="6" t="s">
        <v>50</v>
      </c>
      <c r="AM489" s="6" t="s">
        <v>260</v>
      </c>
      <c r="AN489" s="6" t="s">
        <v>20</v>
      </c>
      <c r="AO489" s="6" t="s">
        <v>250</v>
      </c>
      <c r="AP489" s="6" t="s">
        <v>251</v>
      </c>
      <c r="AQ489" s="6" t="s">
        <v>18</v>
      </c>
    </row>
    <row r="490" spans="1:43" x14ac:dyDescent="0.25">
      <c r="A490" s="6">
        <v>22734744</v>
      </c>
      <c r="B490" s="6">
        <v>23531713</v>
      </c>
      <c r="C490" s="6" t="s">
        <v>237</v>
      </c>
      <c r="D490" s="14">
        <v>45882.251967592587</v>
      </c>
      <c r="E490" s="14">
        <v>45882.253784722219</v>
      </c>
      <c r="F490" s="6" t="s">
        <v>17</v>
      </c>
      <c r="G490" s="6" t="s">
        <v>17</v>
      </c>
      <c r="H490" s="6" t="s">
        <v>1863</v>
      </c>
      <c r="I490" s="6" t="s">
        <v>253</v>
      </c>
      <c r="J490" s="6" t="s">
        <v>1847</v>
      </c>
      <c r="K490" s="6" t="s">
        <v>255</v>
      </c>
      <c r="L490" s="6" t="s">
        <v>255</v>
      </c>
      <c r="M490" s="14">
        <v>45881.77847222222</v>
      </c>
      <c r="N490" s="6">
        <v>39627</v>
      </c>
      <c r="O490" s="6" t="s">
        <v>83</v>
      </c>
      <c r="P490" s="6" t="s">
        <v>242</v>
      </c>
      <c r="Q490" s="6" t="s">
        <v>256</v>
      </c>
      <c r="R490" s="6" t="s">
        <v>256</v>
      </c>
      <c r="S490" s="6" t="s">
        <v>9</v>
      </c>
      <c r="T490" s="6" t="s">
        <v>245</v>
      </c>
      <c r="U490" s="6" t="s">
        <v>134</v>
      </c>
      <c r="V490" s="6" t="s">
        <v>1848</v>
      </c>
      <c r="W490" s="6" t="s">
        <v>83</v>
      </c>
      <c r="X490" s="6" t="s">
        <v>83</v>
      </c>
      <c r="Y490" s="6" t="s">
        <v>83</v>
      </c>
      <c r="Z490" s="6" t="s">
        <v>75</v>
      </c>
      <c r="AA490" s="6" t="s">
        <v>83</v>
      </c>
      <c r="AB490" s="6">
        <v>1580</v>
      </c>
      <c r="AC490" s="6">
        <v>0</v>
      </c>
      <c r="AD490" s="6">
        <v>0</v>
      </c>
      <c r="AE490" s="6">
        <v>0</v>
      </c>
      <c r="AF490" s="6">
        <v>0</v>
      </c>
      <c r="AG490" s="6">
        <v>248.6</v>
      </c>
      <c r="AH490" s="6">
        <v>0</v>
      </c>
      <c r="AI490" s="6" t="s">
        <v>1864</v>
      </c>
      <c r="AJ490" s="6" t="s">
        <v>259</v>
      </c>
      <c r="AK490" s="6" t="s">
        <v>12</v>
      </c>
      <c r="AL490" s="6" t="s">
        <v>50</v>
      </c>
      <c r="AM490" s="6" t="s">
        <v>260</v>
      </c>
      <c r="AN490" s="6" t="s">
        <v>20</v>
      </c>
      <c r="AO490" s="6" t="s">
        <v>261</v>
      </c>
      <c r="AP490" s="6" t="s">
        <v>262</v>
      </c>
      <c r="AQ490" s="6" t="s">
        <v>30</v>
      </c>
    </row>
    <row r="491" spans="1:43" x14ac:dyDescent="0.25">
      <c r="A491" s="6">
        <v>22585270</v>
      </c>
      <c r="B491" s="6">
        <v>23406972</v>
      </c>
      <c r="C491" s="6" t="s">
        <v>237</v>
      </c>
      <c r="D491" s="14">
        <v>45856.590868055559</v>
      </c>
      <c r="E491" s="14">
        <v>45873.548831018517</v>
      </c>
      <c r="F491" s="6" t="s">
        <v>23</v>
      </c>
      <c r="G491" s="6" t="s">
        <v>27</v>
      </c>
      <c r="H491" s="6" t="s">
        <v>1865</v>
      </c>
      <c r="I491" s="6" t="s">
        <v>253</v>
      </c>
      <c r="J491" s="6" t="s">
        <v>1866</v>
      </c>
      <c r="K491" s="6" t="s">
        <v>255</v>
      </c>
      <c r="L491" s="6" t="s">
        <v>255</v>
      </c>
      <c r="M491" s="14">
        <v>45856.503472222219</v>
      </c>
      <c r="N491" s="6">
        <v>37762</v>
      </c>
      <c r="O491" s="6" t="s">
        <v>83</v>
      </c>
      <c r="P491" s="6" t="s">
        <v>242</v>
      </c>
      <c r="Q491" s="6" t="s">
        <v>243</v>
      </c>
      <c r="R491" s="6" t="s">
        <v>244</v>
      </c>
      <c r="S491" s="6" t="s">
        <v>9</v>
      </c>
      <c r="T491" s="6" t="s">
        <v>449</v>
      </c>
      <c r="U491" s="6" t="s">
        <v>134</v>
      </c>
      <c r="V491" s="6" t="s">
        <v>1848</v>
      </c>
      <c r="W491" s="6" t="s">
        <v>83</v>
      </c>
      <c r="X491" s="6" t="s">
        <v>1867</v>
      </c>
      <c r="Y491" s="6" t="s">
        <v>83</v>
      </c>
      <c r="Z491" s="6" t="s">
        <v>75</v>
      </c>
      <c r="AA491" s="6" t="s">
        <v>83</v>
      </c>
      <c r="AB491" s="6">
        <v>741</v>
      </c>
      <c r="AC491" s="6">
        <v>0</v>
      </c>
      <c r="AD491" s="6">
        <v>0</v>
      </c>
      <c r="AE491" s="6">
        <v>0</v>
      </c>
      <c r="AF491" s="6">
        <v>0</v>
      </c>
      <c r="AG491" s="6">
        <v>37.049999999999997</v>
      </c>
      <c r="AH491" s="6">
        <v>0</v>
      </c>
      <c r="AI491" s="6" t="s">
        <v>1868</v>
      </c>
      <c r="AJ491" s="6" t="s">
        <v>1869</v>
      </c>
      <c r="AK491" s="6" t="s">
        <v>12</v>
      </c>
      <c r="AL491" s="6" t="s">
        <v>56</v>
      </c>
      <c r="AM491" s="6" t="s">
        <v>331</v>
      </c>
      <c r="AN491" s="6" t="s">
        <v>20</v>
      </c>
      <c r="AO491" s="6" t="s">
        <v>250</v>
      </c>
      <c r="AP491" s="6" t="s">
        <v>251</v>
      </c>
      <c r="AQ491" s="6" t="s">
        <v>18</v>
      </c>
    </row>
    <row r="492" spans="1:43" x14ac:dyDescent="0.25">
      <c r="A492" s="6">
        <v>22543021</v>
      </c>
      <c r="B492" s="6">
        <v>23369176</v>
      </c>
      <c r="C492" s="6" t="s">
        <v>237</v>
      </c>
      <c r="D492" s="14">
        <v>45848.510254629633</v>
      </c>
      <c r="E492" s="14">
        <v>45848.528113425928</v>
      </c>
      <c r="F492" s="46" t="s">
        <v>29</v>
      </c>
      <c r="G492" s="46" t="s">
        <v>29</v>
      </c>
      <c r="H492" s="6" t="s">
        <v>1870</v>
      </c>
      <c r="I492" s="6" t="s">
        <v>253</v>
      </c>
      <c r="J492" s="6" t="s">
        <v>1871</v>
      </c>
      <c r="K492" s="6" t="s">
        <v>255</v>
      </c>
      <c r="L492" s="6" t="s">
        <v>255</v>
      </c>
      <c r="M492" s="14">
        <v>45848.399305555547</v>
      </c>
      <c r="N492" s="6">
        <v>36965</v>
      </c>
      <c r="O492" s="6" t="s">
        <v>1872</v>
      </c>
      <c r="P492" s="6" t="s">
        <v>242</v>
      </c>
      <c r="Q492" s="6" t="s">
        <v>243</v>
      </c>
      <c r="R492" s="6" t="s">
        <v>244</v>
      </c>
      <c r="S492" s="6" t="s">
        <v>8</v>
      </c>
      <c r="T492" s="6" t="s">
        <v>245</v>
      </c>
      <c r="U492" s="6" t="s">
        <v>134</v>
      </c>
      <c r="V492" s="6" t="s">
        <v>1873</v>
      </c>
      <c r="W492" s="6" t="s">
        <v>83</v>
      </c>
      <c r="X492" s="6" t="s">
        <v>83</v>
      </c>
      <c r="Y492" s="6" t="s">
        <v>83</v>
      </c>
      <c r="Z492" s="6" t="s">
        <v>75</v>
      </c>
      <c r="AA492" s="6" t="s">
        <v>83</v>
      </c>
      <c r="AB492" s="6">
        <v>674.2835</v>
      </c>
      <c r="AC492" s="6">
        <v>0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1874</v>
      </c>
      <c r="AJ492" s="6" t="s">
        <v>259</v>
      </c>
      <c r="AK492" s="6" t="s">
        <v>12</v>
      </c>
      <c r="AL492" s="6" t="s">
        <v>50</v>
      </c>
      <c r="AM492" s="6" t="s">
        <v>260</v>
      </c>
      <c r="AN492" s="6" t="s">
        <v>20</v>
      </c>
      <c r="AO492" s="6" t="s">
        <v>250</v>
      </c>
      <c r="AP492" s="6" t="s">
        <v>251</v>
      </c>
      <c r="AQ492" s="6" t="s">
        <v>18</v>
      </c>
    </row>
    <row r="493" spans="1:43" x14ac:dyDescent="0.25">
      <c r="A493" s="6">
        <v>22730305</v>
      </c>
      <c r="B493" s="6">
        <v>23527819</v>
      </c>
      <c r="C493" s="6" t="s">
        <v>237</v>
      </c>
      <c r="D493" s="14">
        <v>45881.600300925929</v>
      </c>
      <c r="E493" s="14">
        <v>45881.601226851853</v>
      </c>
      <c r="F493" s="6" t="s">
        <v>17</v>
      </c>
      <c r="G493" s="6" t="s">
        <v>17</v>
      </c>
      <c r="H493" s="6" t="s">
        <v>1875</v>
      </c>
      <c r="I493" s="6" t="s">
        <v>15</v>
      </c>
      <c r="J493" s="6" t="s">
        <v>1876</v>
      </c>
      <c r="K493" s="6" t="s">
        <v>934</v>
      </c>
      <c r="L493" s="6" t="s">
        <v>934</v>
      </c>
      <c r="M493" s="14">
        <v>45880.656944444447</v>
      </c>
      <c r="N493" s="6">
        <v>30855</v>
      </c>
      <c r="O493" s="6" t="s">
        <v>966</v>
      </c>
      <c r="P493" s="6" t="s">
        <v>272</v>
      </c>
      <c r="Q493" s="6" t="s">
        <v>243</v>
      </c>
      <c r="R493" s="6" t="s">
        <v>244</v>
      </c>
      <c r="S493" s="6" t="s">
        <v>8</v>
      </c>
      <c r="T493" s="6" t="s">
        <v>245</v>
      </c>
      <c r="U493" s="6" t="s">
        <v>134</v>
      </c>
      <c r="V493" s="6" t="s">
        <v>1877</v>
      </c>
      <c r="W493" s="6" t="s">
        <v>83</v>
      </c>
      <c r="X493" s="6" t="s">
        <v>1878</v>
      </c>
      <c r="Y493" s="6" t="s">
        <v>83</v>
      </c>
      <c r="Z493" s="6" t="s">
        <v>75</v>
      </c>
      <c r="AA493" s="6" t="s">
        <v>83</v>
      </c>
      <c r="AB493" s="6">
        <v>24280.44</v>
      </c>
      <c r="AC493" s="6">
        <v>0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1879</v>
      </c>
      <c r="AJ493" s="6" t="s">
        <v>307</v>
      </c>
      <c r="AK493" s="6" t="s">
        <v>15</v>
      </c>
      <c r="AL493" s="6" t="s">
        <v>60</v>
      </c>
      <c r="AM493" s="6" t="s">
        <v>308</v>
      </c>
      <c r="AN493" s="6" t="s">
        <v>26</v>
      </c>
      <c r="AO493" s="6" t="s">
        <v>250</v>
      </c>
      <c r="AP493" s="6" t="s">
        <v>251</v>
      </c>
      <c r="AQ493" s="6" t="s">
        <v>94</v>
      </c>
    </row>
    <row r="494" spans="1:43" x14ac:dyDescent="0.25">
      <c r="A494" s="6">
        <v>22651123</v>
      </c>
      <c r="B494" s="6">
        <v>23460705</v>
      </c>
      <c r="C494" s="6" t="s">
        <v>237</v>
      </c>
      <c r="D494" s="14">
        <v>45868.530810185177</v>
      </c>
      <c r="E494" s="14">
        <v>45868.546284722222</v>
      </c>
      <c r="F494" s="6" t="s">
        <v>23</v>
      </c>
      <c r="G494" s="6" t="s">
        <v>23</v>
      </c>
      <c r="H494" s="6" t="s">
        <v>1880</v>
      </c>
      <c r="I494" s="6" t="s">
        <v>253</v>
      </c>
      <c r="J494" s="6" t="s">
        <v>1881</v>
      </c>
      <c r="K494" s="6" t="s">
        <v>866</v>
      </c>
      <c r="L494" s="6" t="s">
        <v>866</v>
      </c>
      <c r="M494" s="14">
        <v>45867.757638888892</v>
      </c>
      <c r="N494" s="6">
        <v>38484</v>
      </c>
      <c r="O494" s="6" t="s">
        <v>83</v>
      </c>
      <c r="P494" s="6" t="s">
        <v>272</v>
      </c>
      <c r="Q494" s="6" t="s">
        <v>243</v>
      </c>
      <c r="R494" s="6" t="s">
        <v>244</v>
      </c>
      <c r="S494" s="6" t="s">
        <v>3</v>
      </c>
      <c r="T494" s="6" t="s">
        <v>245</v>
      </c>
      <c r="U494" s="6" t="s">
        <v>134</v>
      </c>
      <c r="V494" s="6" t="s">
        <v>1882</v>
      </c>
      <c r="W494" s="6" t="s">
        <v>83</v>
      </c>
      <c r="X494" s="6" t="s">
        <v>83</v>
      </c>
      <c r="Y494" s="6" t="s">
        <v>83</v>
      </c>
      <c r="Z494" s="6" t="s">
        <v>75</v>
      </c>
      <c r="AA494" s="6" t="s">
        <v>83</v>
      </c>
      <c r="AB494" s="6">
        <v>2497.9499999999998</v>
      </c>
      <c r="AC494" s="6">
        <v>0</v>
      </c>
      <c r="AD494" s="6">
        <v>0</v>
      </c>
      <c r="AE494" s="6">
        <v>0</v>
      </c>
      <c r="AF494" s="6">
        <v>0</v>
      </c>
      <c r="AG494" s="6">
        <v>0</v>
      </c>
      <c r="AH494" s="6">
        <v>0</v>
      </c>
      <c r="AI494" s="6" t="s">
        <v>1883</v>
      </c>
      <c r="AJ494" s="6" t="s">
        <v>259</v>
      </c>
      <c r="AK494" s="6" t="s">
        <v>12</v>
      </c>
      <c r="AL494" s="6" t="s">
        <v>50</v>
      </c>
      <c r="AM494" s="6" t="s">
        <v>260</v>
      </c>
      <c r="AN494" s="6" t="s">
        <v>20</v>
      </c>
      <c r="AO494" s="6" t="s">
        <v>250</v>
      </c>
      <c r="AP494" s="6" t="s">
        <v>251</v>
      </c>
      <c r="AQ494" s="6" t="s">
        <v>18</v>
      </c>
    </row>
    <row r="495" spans="1:43" x14ac:dyDescent="0.25">
      <c r="A495" s="6">
        <v>22647132</v>
      </c>
      <c r="B495" s="6">
        <v>23457207</v>
      </c>
      <c r="C495" s="6" t="s">
        <v>237</v>
      </c>
      <c r="D495" s="14">
        <v>45867.768240740741</v>
      </c>
      <c r="E495" s="14">
        <v>45867.987083333333</v>
      </c>
      <c r="F495" s="6" t="s">
        <v>23</v>
      </c>
      <c r="G495" s="6" t="s">
        <v>23</v>
      </c>
      <c r="H495" s="6" t="s">
        <v>1884</v>
      </c>
      <c r="I495" s="6" t="s">
        <v>253</v>
      </c>
      <c r="J495" s="6" t="s">
        <v>1885</v>
      </c>
      <c r="K495" s="6" t="s">
        <v>1886</v>
      </c>
      <c r="L495" s="6" t="s">
        <v>1886</v>
      </c>
      <c r="M495" s="14">
        <v>45867.626388888893</v>
      </c>
      <c r="N495" s="6">
        <v>38477</v>
      </c>
      <c r="O495" s="6" t="s">
        <v>83</v>
      </c>
      <c r="P495" s="6" t="s">
        <v>272</v>
      </c>
      <c r="Q495" s="6" t="s">
        <v>243</v>
      </c>
      <c r="R495" s="6" t="s">
        <v>244</v>
      </c>
      <c r="S495" s="6" t="s">
        <v>3</v>
      </c>
      <c r="T495" s="6" t="s">
        <v>245</v>
      </c>
      <c r="U495" s="6" t="s">
        <v>134</v>
      </c>
      <c r="V495" s="6" t="s">
        <v>1882</v>
      </c>
      <c r="W495" s="6" t="s">
        <v>83</v>
      </c>
      <c r="X495" s="6" t="s">
        <v>83</v>
      </c>
      <c r="Y495" s="6" t="s">
        <v>83</v>
      </c>
      <c r="Z495" s="6" t="s">
        <v>75</v>
      </c>
      <c r="AA495" s="6" t="s">
        <v>83</v>
      </c>
      <c r="AB495" s="6">
        <v>50</v>
      </c>
      <c r="AC495" s="6">
        <v>0</v>
      </c>
      <c r="AD495" s="6">
        <v>0</v>
      </c>
      <c r="AE495" s="6">
        <v>0</v>
      </c>
      <c r="AF495" s="6">
        <v>0</v>
      </c>
      <c r="AG495" s="6">
        <v>0</v>
      </c>
      <c r="AH495" s="6">
        <v>0</v>
      </c>
      <c r="AI495" s="6" t="s">
        <v>1887</v>
      </c>
      <c r="AJ495" s="6" t="s">
        <v>259</v>
      </c>
      <c r="AK495" s="6" t="s">
        <v>12</v>
      </c>
      <c r="AL495" s="6" t="s">
        <v>50</v>
      </c>
      <c r="AM495" s="6" t="s">
        <v>260</v>
      </c>
      <c r="AN495" s="6" t="s">
        <v>20</v>
      </c>
      <c r="AO495" s="6" t="s">
        <v>250</v>
      </c>
      <c r="AP495" s="6" t="s">
        <v>251</v>
      </c>
      <c r="AQ495" s="6" t="s">
        <v>18</v>
      </c>
    </row>
    <row r="496" spans="1:43" x14ac:dyDescent="0.25">
      <c r="A496" s="6">
        <v>22627061</v>
      </c>
      <c r="B496" s="6">
        <v>23441593</v>
      </c>
      <c r="C496" s="6" t="s">
        <v>237</v>
      </c>
      <c r="D496" s="14">
        <v>45863.769849537042</v>
      </c>
      <c r="E496" s="14">
        <v>45863.79587962963</v>
      </c>
      <c r="F496" s="46" t="s">
        <v>25</v>
      </c>
      <c r="G496" s="46" t="s">
        <v>25</v>
      </c>
      <c r="H496" s="6" t="s">
        <v>1888</v>
      </c>
      <c r="I496" s="6" t="s">
        <v>253</v>
      </c>
      <c r="J496" s="6" t="s">
        <v>1885</v>
      </c>
      <c r="K496" s="6" t="s">
        <v>1886</v>
      </c>
      <c r="L496" s="6" t="s">
        <v>1886</v>
      </c>
      <c r="M496" s="14">
        <v>45863.743750000001</v>
      </c>
      <c r="N496" s="6">
        <v>38265</v>
      </c>
      <c r="O496" s="6" t="s">
        <v>83</v>
      </c>
      <c r="P496" s="6" t="s">
        <v>272</v>
      </c>
      <c r="Q496" s="6" t="s">
        <v>243</v>
      </c>
      <c r="R496" s="6" t="s">
        <v>244</v>
      </c>
      <c r="S496" s="6" t="s">
        <v>3</v>
      </c>
      <c r="T496" s="6" t="s">
        <v>245</v>
      </c>
      <c r="U496" s="6" t="s">
        <v>134</v>
      </c>
      <c r="V496" s="6" t="s">
        <v>1882</v>
      </c>
      <c r="W496" s="6" t="s">
        <v>83</v>
      </c>
      <c r="X496" s="6" t="s">
        <v>83</v>
      </c>
      <c r="Y496" s="6" t="s">
        <v>83</v>
      </c>
      <c r="Z496" s="6" t="s">
        <v>75</v>
      </c>
      <c r="AA496" s="6" t="s">
        <v>83</v>
      </c>
      <c r="AB496" s="6">
        <v>2350</v>
      </c>
      <c r="AC496" s="6">
        <v>0</v>
      </c>
      <c r="AD496" s="6">
        <v>0</v>
      </c>
      <c r="AE496" s="6">
        <v>0</v>
      </c>
      <c r="AF496" s="6">
        <v>0</v>
      </c>
      <c r="AG496" s="6">
        <v>0</v>
      </c>
      <c r="AH496" s="6">
        <v>0</v>
      </c>
      <c r="AI496" s="6" t="s">
        <v>1889</v>
      </c>
      <c r="AJ496" s="6" t="s">
        <v>259</v>
      </c>
      <c r="AK496" s="6" t="s">
        <v>12</v>
      </c>
      <c r="AL496" s="6" t="s">
        <v>50</v>
      </c>
      <c r="AM496" s="6" t="s">
        <v>260</v>
      </c>
      <c r="AN496" s="6" t="s">
        <v>20</v>
      </c>
      <c r="AO496" s="6" t="s">
        <v>250</v>
      </c>
      <c r="AP496" s="6" t="s">
        <v>251</v>
      </c>
      <c r="AQ496" s="6" t="s">
        <v>18</v>
      </c>
    </row>
    <row r="497" spans="1:43" x14ac:dyDescent="0.25">
      <c r="A497" s="6">
        <v>22732667</v>
      </c>
      <c r="B497" s="6">
        <v>23530095</v>
      </c>
      <c r="C497" s="6" t="s">
        <v>237</v>
      </c>
      <c r="D497" s="14">
        <v>45881.79446759259</v>
      </c>
      <c r="E497" s="14">
        <v>45881.855509259258</v>
      </c>
      <c r="F497" s="6" t="s">
        <v>17</v>
      </c>
      <c r="G497" s="6" t="s">
        <v>17</v>
      </c>
      <c r="H497" s="6" t="s">
        <v>1890</v>
      </c>
      <c r="I497" s="6" t="s">
        <v>253</v>
      </c>
      <c r="J497" s="6" t="s">
        <v>1891</v>
      </c>
      <c r="K497" s="6" t="s">
        <v>255</v>
      </c>
      <c r="L497" s="6" t="s">
        <v>255</v>
      </c>
      <c r="M497" s="14">
        <v>45881.588194444441</v>
      </c>
      <c r="N497" s="6">
        <v>25782</v>
      </c>
      <c r="O497" s="6" t="s">
        <v>1892</v>
      </c>
      <c r="P497" s="6" t="s">
        <v>242</v>
      </c>
      <c r="Q497" s="6" t="s">
        <v>243</v>
      </c>
      <c r="R497" s="6" t="s">
        <v>244</v>
      </c>
      <c r="S497" s="6" t="s">
        <v>8</v>
      </c>
      <c r="T497" s="6" t="s">
        <v>245</v>
      </c>
      <c r="U497" s="6" t="s">
        <v>136</v>
      </c>
      <c r="V497" s="6" t="s">
        <v>1893</v>
      </c>
      <c r="W497" s="6" t="s">
        <v>83</v>
      </c>
      <c r="X497" s="6" t="s">
        <v>83</v>
      </c>
      <c r="Y497" s="6" t="s">
        <v>83</v>
      </c>
      <c r="Z497" s="6" t="s">
        <v>79</v>
      </c>
      <c r="AA497" s="6" t="s">
        <v>83</v>
      </c>
      <c r="AB497" s="6">
        <v>156.465</v>
      </c>
      <c r="AC497" s="6">
        <v>0</v>
      </c>
      <c r="AD497" s="6">
        <v>0</v>
      </c>
      <c r="AE497" s="6">
        <v>0</v>
      </c>
      <c r="AF497" s="6">
        <v>0</v>
      </c>
      <c r="AG497" s="6">
        <v>0</v>
      </c>
      <c r="AH497" s="6">
        <v>0</v>
      </c>
      <c r="AI497" s="6" t="s">
        <v>1894</v>
      </c>
      <c r="AJ497" s="6" t="s">
        <v>259</v>
      </c>
      <c r="AK497" s="6" t="s">
        <v>12</v>
      </c>
      <c r="AL497" s="6" t="s">
        <v>50</v>
      </c>
      <c r="AM497" s="6" t="s">
        <v>260</v>
      </c>
      <c r="AN497" s="6" t="s">
        <v>20</v>
      </c>
      <c r="AO497" s="6" t="s">
        <v>250</v>
      </c>
      <c r="AP497" s="6" t="s">
        <v>251</v>
      </c>
      <c r="AQ497" s="6" t="s">
        <v>18</v>
      </c>
    </row>
    <row r="498" spans="1:43" x14ac:dyDescent="0.25">
      <c r="A498" s="6">
        <v>22708215</v>
      </c>
      <c r="B498" s="6">
        <v>23509652</v>
      </c>
      <c r="C498" s="6" t="s">
        <v>237</v>
      </c>
      <c r="D498" s="14">
        <v>45877.528900462959</v>
      </c>
      <c r="E498" s="14">
        <v>45877.553263888891</v>
      </c>
      <c r="F498" s="6" t="s">
        <v>19</v>
      </c>
      <c r="G498" s="6" t="s">
        <v>19</v>
      </c>
      <c r="H498" s="6" t="s">
        <v>1895</v>
      </c>
      <c r="I498" s="6" t="s">
        <v>253</v>
      </c>
      <c r="J498" s="6" t="s">
        <v>1896</v>
      </c>
      <c r="K498" s="6" t="s">
        <v>1897</v>
      </c>
      <c r="L498" s="6" t="s">
        <v>1897</v>
      </c>
      <c r="M498" s="14">
        <v>45877.393055555563</v>
      </c>
      <c r="N498" s="6">
        <v>25308</v>
      </c>
      <c r="O498" s="6" t="s">
        <v>83</v>
      </c>
      <c r="P498" s="6" t="s">
        <v>272</v>
      </c>
      <c r="Q498" s="6" t="s">
        <v>243</v>
      </c>
      <c r="R498" s="6" t="s">
        <v>244</v>
      </c>
      <c r="S498" s="6" t="s">
        <v>9</v>
      </c>
      <c r="T498" s="6" t="s">
        <v>245</v>
      </c>
      <c r="U498" s="6" t="s">
        <v>136</v>
      </c>
      <c r="V498" s="6" t="s">
        <v>1898</v>
      </c>
      <c r="W498" s="6" t="s">
        <v>83</v>
      </c>
      <c r="X498" s="6" t="s">
        <v>83</v>
      </c>
      <c r="Y498" s="6" t="s">
        <v>83</v>
      </c>
      <c r="Z498" s="6" t="s">
        <v>79</v>
      </c>
      <c r="AA498" s="6" t="s">
        <v>83</v>
      </c>
      <c r="AB498" s="6">
        <v>1950</v>
      </c>
      <c r="AC498" s="6">
        <v>0</v>
      </c>
      <c r="AD498" s="6">
        <v>0</v>
      </c>
      <c r="AE498" s="6">
        <v>0</v>
      </c>
      <c r="AF498" s="6">
        <v>0</v>
      </c>
      <c r="AG498" s="6">
        <v>0</v>
      </c>
      <c r="AH498" s="6">
        <v>0</v>
      </c>
      <c r="AI498" s="6" t="s">
        <v>1899</v>
      </c>
      <c r="AJ498" s="6" t="s">
        <v>259</v>
      </c>
      <c r="AK498" s="6" t="s">
        <v>12</v>
      </c>
      <c r="AL498" s="6" t="s">
        <v>50</v>
      </c>
      <c r="AM498" s="6" t="s">
        <v>260</v>
      </c>
      <c r="AN498" s="6" t="s">
        <v>20</v>
      </c>
      <c r="AO498" s="6" t="s">
        <v>250</v>
      </c>
      <c r="AP498" s="6" t="s">
        <v>251</v>
      </c>
      <c r="AQ498" s="6" t="s">
        <v>18</v>
      </c>
    </row>
    <row r="499" spans="1:43" x14ac:dyDescent="0.25">
      <c r="A499" s="6">
        <v>22688920</v>
      </c>
      <c r="B499" s="6">
        <v>23492546</v>
      </c>
      <c r="C499" s="6" t="s">
        <v>237</v>
      </c>
      <c r="D499" s="14">
        <v>45874.788969907408</v>
      </c>
      <c r="E499" s="14">
        <v>45874.851215277777</v>
      </c>
      <c r="F499" s="6" t="s">
        <v>21</v>
      </c>
      <c r="G499" s="6" t="s">
        <v>21</v>
      </c>
      <c r="H499" s="6" t="s">
        <v>1900</v>
      </c>
      <c r="I499" s="6" t="s">
        <v>253</v>
      </c>
      <c r="J499" s="6" t="s">
        <v>1901</v>
      </c>
      <c r="K499" s="6" t="s">
        <v>1902</v>
      </c>
      <c r="L499" s="6" t="s">
        <v>1902</v>
      </c>
      <c r="M499" s="14">
        <v>45874.572916666657</v>
      </c>
      <c r="N499" s="6">
        <v>24266</v>
      </c>
      <c r="O499" s="6" t="s">
        <v>83</v>
      </c>
      <c r="P499" s="6" t="s">
        <v>272</v>
      </c>
      <c r="Q499" s="6" t="s">
        <v>256</v>
      </c>
      <c r="R499" s="6" t="s">
        <v>256</v>
      </c>
      <c r="S499" s="6" t="s">
        <v>9</v>
      </c>
      <c r="T499" s="6" t="s">
        <v>245</v>
      </c>
      <c r="U499" s="6" t="s">
        <v>136</v>
      </c>
      <c r="V499" s="6" t="s">
        <v>1893</v>
      </c>
      <c r="W499" s="6" t="s">
        <v>83</v>
      </c>
      <c r="X499" s="6" t="s">
        <v>83</v>
      </c>
      <c r="Y499" s="6" t="s">
        <v>83</v>
      </c>
      <c r="Z499" s="6" t="s">
        <v>79</v>
      </c>
      <c r="AA499" s="6" t="s">
        <v>83</v>
      </c>
      <c r="AB499" s="6">
        <v>870</v>
      </c>
      <c r="AC499" s="6">
        <v>0</v>
      </c>
      <c r="AD499" s="6">
        <v>0</v>
      </c>
      <c r="AE499" s="6">
        <v>0</v>
      </c>
      <c r="AF499" s="6">
        <v>0</v>
      </c>
      <c r="AG499" s="6">
        <v>0</v>
      </c>
      <c r="AH499" s="6">
        <v>0</v>
      </c>
      <c r="AI499" s="6" t="s">
        <v>1903</v>
      </c>
      <c r="AJ499" s="6" t="s">
        <v>259</v>
      </c>
      <c r="AK499" s="6" t="s">
        <v>12</v>
      </c>
      <c r="AL499" s="6" t="s">
        <v>50</v>
      </c>
      <c r="AM499" s="6" t="s">
        <v>260</v>
      </c>
      <c r="AN499" s="6" t="s">
        <v>20</v>
      </c>
      <c r="AO499" s="6" t="s">
        <v>250</v>
      </c>
      <c r="AP499" s="6" t="s">
        <v>251</v>
      </c>
      <c r="AQ499" s="6" t="s">
        <v>18</v>
      </c>
    </row>
    <row r="500" spans="1:43" x14ac:dyDescent="0.25">
      <c r="A500" s="6">
        <v>22730512</v>
      </c>
      <c r="B500" s="6">
        <v>23527997</v>
      </c>
      <c r="C500" s="6" t="s">
        <v>237</v>
      </c>
      <c r="D500" s="14">
        <v>45881.629178240742</v>
      </c>
      <c r="E500" s="14">
        <v>45882.148379629631</v>
      </c>
      <c r="F500" s="6" t="s">
        <v>17</v>
      </c>
      <c r="G500" s="6" t="s">
        <v>17</v>
      </c>
      <c r="H500" s="6" t="s">
        <v>1904</v>
      </c>
      <c r="I500" s="6" t="s">
        <v>13</v>
      </c>
      <c r="J500" s="6" t="s">
        <v>1905</v>
      </c>
      <c r="K500" s="6" t="s">
        <v>1906</v>
      </c>
      <c r="L500" s="6" t="s">
        <v>1906</v>
      </c>
      <c r="M500" s="14">
        <v>45881</v>
      </c>
      <c r="N500" s="6">
        <v>4580264</v>
      </c>
      <c r="O500" s="6" t="s">
        <v>83</v>
      </c>
      <c r="P500" s="6" t="s">
        <v>272</v>
      </c>
      <c r="Q500" s="6" t="s">
        <v>616</v>
      </c>
      <c r="R500" s="6" t="s">
        <v>616</v>
      </c>
      <c r="S500" s="6" t="s">
        <v>9</v>
      </c>
      <c r="T500" s="6" t="s">
        <v>245</v>
      </c>
      <c r="U500" s="6" t="s">
        <v>138</v>
      </c>
      <c r="V500" s="6" t="s">
        <v>1907</v>
      </c>
      <c r="W500" s="6" t="s">
        <v>83</v>
      </c>
      <c r="X500" s="6" t="s">
        <v>83</v>
      </c>
      <c r="Y500" s="6" t="s">
        <v>83</v>
      </c>
      <c r="Z500" s="6" t="s">
        <v>85</v>
      </c>
      <c r="AA500" s="6" t="s">
        <v>83</v>
      </c>
      <c r="AB500" s="6">
        <v>125</v>
      </c>
      <c r="AC500" s="6">
        <v>0</v>
      </c>
      <c r="AD500" s="6">
        <v>0</v>
      </c>
      <c r="AE500" s="6">
        <v>0</v>
      </c>
      <c r="AF500" s="6">
        <v>0</v>
      </c>
      <c r="AG500" s="6">
        <v>0</v>
      </c>
      <c r="AH500" s="6">
        <v>0</v>
      </c>
      <c r="AI500" s="6" t="s">
        <v>1908</v>
      </c>
      <c r="AJ500" s="6" t="s">
        <v>259</v>
      </c>
      <c r="AK500" s="6" t="s">
        <v>13</v>
      </c>
      <c r="AL500" s="6" t="s">
        <v>50</v>
      </c>
      <c r="AM500" s="6" t="s">
        <v>260</v>
      </c>
      <c r="AN500" s="6" t="s">
        <v>20</v>
      </c>
      <c r="AO500" s="6" t="s">
        <v>261</v>
      </c>
      <c r="AP500" s="6" t="s">
        <v>262</v>
      </c>
      <c r="AQ500" s="6" t="s">
        <v>30</v>
      </c>
    </row>
    <row r="501" spans="1:43" x14ac:dyDescent="0.25">
      <c r="A501" s="6">
        <v>22625813</v>
      </c>
      <c r="B501" s="6">
        <v>23440422</v>
      </c>
      <c r="C501" s="6" t="s">
        <v>237</v>
      </c>
      <c r="D501" s="14">
        <v>45863.663576388892</v>
      </c>
      <c r="E501" s="14">
        <v>45868.343402777777</v>
      </c>
      <c r="F501" s="6" t="s">
        <v>23</v>
      </c>
      <c r="G501" s="6" t="s">
        <v>25</v>
      </c>
      <c r="H501" s="6">
        <v>19314360</v>
      </c>
      <c r="I501" s="6" t="s">
        <v>13</v>
      </c>
      <c r="J501" s="6" t="s">
        <v>1909</v>
      </c>
      <c r="K501" s="6" t="s">
        <v>605</v>
      </c>
      <c r="L501" s="6" t="s">
        <v>605</v>
      </c>
      <c r="M501" s="14">
        <v>45863.647916666669</v>
      </c>
      <c r="N501" s="6">
        <v>4572443</v>
      </c>
      <c r="O501" s="6" t="s">
        <v>83</v>
      </c>
      <c r="P501" s="6" t="s">
        <v>242</v>
      </c>
      <c r="Q501" s="6" t="s">
        <v>256</v>
      </c>
      <c r="R501" s="6" t="s">
        <v>256</v>
      </c>
      <c r="S501" s="6" t="s">
        <v>9</v>
      </c>
      <c r="T501" s="6" t="s">
        <v>245</v>
      </c>
      <c r="U501" s="6" t="s">
        <v>138</v>
      </c>
      <c r="V501" s="6" t="s">
        <v>1910</v>
      </c>
      <c r="W501" s="6" t="s">
        <v>83</v>
      </c>
      <c r="X501" s="6" t="s">
        <v>1911</v>
      </c>
      <c r="Y501" s="6" t="s">
        <v>83</v>
      </c>
      <c r="Z501" s="6" t="s">
        <v>85</v>
      </c>
      <c r="AA501" s="6" t="s">
        <v>83</v>
      </c>
      <c r="AB501" s="6">
        <v>1220</v>
      </c>
      <c r="AC501" s="6">
        <v>61</v>
      </c>
      <c r="AD501" s="6">
        <v>0</v>
      </c>
      <c r="AE501" s="6">
        <v>0</v>
      </c>
      <c r="AF501" s="6">
        <v>0</v>
      </c>
      <c r="AG501" s="6">
        <v>0</v>
      </c>
      <c r="AH501" s="6">
        <v>0</v>
      </c>
      <c r="AI501" s="6" t="s">
        <v>1912</v>
      </c>
      <c r="AJ501" s="6" t="s">
        <v>858</v>
      </c>
      <c r="AK501" s="6" t="s">
        <v>13</v>
      </c>
      <c r="AL501" s="6" t="s">
        <v>58</v>
      </c>
      <c r="AM501" s="6" t="s">
        <v>74</v>
      </c>
      <c r="AN501" s="6" t="s">
        <v>20</v>
      </c>
      <c r="AO501" s="6" t="s">
        <v>250</v>
      </c>
      <c r="AP501" s="6" t="s">
        <v>251</v>
      </c>
      <c r="AQ501" s="6" t="s">
        <v>18</v>
      </c>
    </row>
    <row r="502" spans="1:43" x14ac:dyDescent="0.25">
      <c r="A502" s="6">
        <v>22731856</v>
      </c>
      <c r="B502" s="6">
        <v>23529305</v>
      </c>
      <c r="C502" s="6" t="s">
        <v>237</v>
      </c>
      <c r="D502" s="14">
        <v>45881.761076388888</v>
      </c>
      <c r="E502" s="14">
        <v>45882.163807870369</v>
      </c>
      <c r="F502" s="6" t="s">
        <v>17</v>
      </c>
      <c r="G502" s="6" t="s">
        <v>17</v>
      </c>
      <c r="H502" s="6">
        <v>19538938</v>
      </c>
      <c r="I502" s="6" t="s">
        <v>13</v>
      </c>
      <c r="J502" s="6" t="s">
        <v>1913</v>
      </c>
      <c r="K502" s="6" t="s">
        <v>605</v>
      </c>
      <c r="L502" s="6" t="s">
        <v>605</v>
      </c>
      <c r="M502" s="14">
        <v>45881.559027777781</v>
      </c>
      <c r="N502" s="6">
        <v>4580799</v>
      </c>
      <c r="O502" s="6" t="s">
        <v>83</v>
      </c>
      <c r="P502" s="6" t="s">
        <v>242</v>
      </c>
      <c r="Q502" s="6" t="s">
        <v>256</v>
      </c>
      <c r="R502" s="6" t="s">
        <v>256</v>
      </c>
      <c r="S502" s="6" t="s">
        <v>9</v>
      </c>
      <c r="T502" s="6" t="s">
        <v>245</v>
      </c>
      <c r="U502" s="6" t="s">
        <v>138</v>
      </c>
      <c r="V502" s="6" t="s">
        <v>1907</v>
      </c>
      <c r="W502" s="6" t="s">
        <v>83</v>
      </c>
      <c r="X502" s="6" t="s">
        <v>83</v>
      </c>
      <c r="Y502" s="6" t="s">
        <v>83</v>
      </c>
      <c r="Z502" s="6" t="s">
        <v>85</v>
      </c>
      <c r="AA502" s="6" t="s">
        <v>83</v>
      </c>
      <c r="AB502" s="6">
        <v>231</v>
      </c>
      <c r="AC502" s="6">
        <v>0</v>
      </c>
      <c r="AD502" s="6">
        <v>0</v>
      </c>
      <c r="AE502" s="6">
        <v>0</v>
      </c>
      <c r="AF502" s="6">
        <v>0</v>
      </c>
      <c r="AG502" s="6">
        <v>0</v>
      </c>
      <c r="AH502" s="6">
        <v>0</v>
      </c>
      <c r="AI502" s="6" t="s">
        <v>1914</v>
      </c>
      <c r="AJ502" s="6" t="s">
        <v>259</v>
      </c>
      <c r="AK502" s="6" t="s">
        <v>13</v>
      </c>
      <c r="AL502" s="6" t="s">
        <v>50</v>
      </c>
      <c r="AM502" s="6" t="s">
        <v>260</v>
      </c>
      <c r="AN502" s="6" t="s">
        <v>20</v>
      </c>
      <c r="AO502" s="6" t="s">
        <v>261</v>
      </c>
      <c r="AP502" s="6" t="s">
        <v>262</v>
      </c>
      <c r="AQ502" s="6" t="s">
        <v>30</v>
      </c>
    </row>
    <row r="503" spans="1:43" x14ac:dyDescent="0.25">
      <c r="A503" s="6">
        <v>22724278</v>
      </c>
      <c r="B503" s="6">
        <v>23522520</v>
      </c>
      <c r="C503" s="6" t="s">
        <v>237</v>
      </c>
      <c r="D503" s="14">
        <v>45880.754421296297</v>
      </c>
      <c r="E503" s="14">
        <v>45880.756689814807</v>
      </c>
      <c r="F503" s="6" t="s">
        <v>17</v>
      </c>
      <c r="G503" s="6" t="s">
        <v>17</v>
      </c>
      <c r="H503" s="6" t="s">
        <v>1915</v>
      </c>
      <c r="I503" s="6" t="s">
        <v>16</v>
      </c>
      <c r="J503" s="6" t="s">
        <v>1916</v>
      </c>
      <c r="K503" s="6" t="s">
        <v>1917</v>
      </c>
      <c r="L503" s="6" t="s">
        <v>1917</v>
      </c>
      <c r="M503" s="14">
        <v>45880.665972222218</v>
      </c>
      <c r="N503" s="6" t="s">
        <v>1918</v>
      </c>
      <c r="O503" s="6" t="s">
        <v>83</v>
      </c>
      <c r="P503" s="6" t="s">
        <v>272</v>
      </c>
      <c r="Q503" s="6" t="s">
        <v>256</v>
      </c>
      <c r="R503" s="6" t="s">
        <v>256</v>
      </c>
      <c r="S503" s="6" t="s">
        <v>9</v>
      </c>
      <c r="T503" s="6" t="s">
        <v>245</v>
      </c>
      <c r="U503" s="6" t="s">
        <v>131</v>
      </c>
      <c r="V503" s="6" t="s">
        <v>1919</v>
      </c>
      <c r="W503" s="6" t="s">
        <v>83</v>
      </c>
      <c r="X503" s="6" t="s">
        <v>83</v>
      </c>
      <c r="Y503" s="6" t="s">
        <v>83</v>
      </c>
      <c r="Z503" s="6" t="s">
        <v>65</v>
      </c>
      <c r="AA503" s="6" t="s">
        <v>83</v>
      </c>
      <c r="AB503" s="6">
        <v>1800</v>
      </c>
      <c r="AC503" s="6">
        <v>0</v>
      </c>
      <c r="AD503" s="6">
        <v>0</v>
      </c>
      <c r="AE503" s="6">
        <v>0</v>
      </c>
      <c r="AF503" s="6">
        <v>0</v>
      </c>
      <c r="AG503" s="6">
        <v>0</v>
      </c>
      <c r="AH503" s="6">
        <v>0</v>
      </c>
      <c r="AI503" s="6" t="s">
        <v>248</v>
      </c>
      <c r="AJ503" s="6" t="s">
        <v>259</v>
      </c>
      <c r="AK503" s="6" t="s">
        <v>16</v>
      </c>
      <c r="AL503" s="6" t="s">
        <v>50</v>
      </c>
      <c r="AM503" s="6" t="s">
        <v>260</v>
      </c>
      <c r="AN503" s="6" t="s">
        <v>20</v>
      </c>
      <c r="AO503" s="6" t="s">
        <v>250</v>
      </c>
      <c r="AP503" s="6" t="s">
        <v>251</v>
      </c>
      <c r="AQ503" s="6" t="s">
        <v>18</v>
      </c>
    </row>
    <row r="504" spans="1:43" x14ac:dyDescent="0.25">
      <c r="A504" s="6">
        <v>22724571</v>
      </c>
      <c r="B504" s="6">
        <v>23522816</v>
      </c>
      <c r="C504" s="6" t="s">
        <v>237</v>
      </c>
      <c r="D504" s="14">
        <v>45880.764247685183</v>
      </c>
      <c r="E504" s="14">
        <v>45880.76934027778</v>
      </c>
      <c r="F504" s="6" t="s">
        <v>17</v>
      </c>
      <c r="G504" s="6" t="s">
        <v>17</v>
      </c>
      <c r="H504" s="6" t="s">
        <v>1920</v>
      </c>
      <c r="I504" s="6" t="s">
        <v>16</v>
      </c>
      <c r="J504" s="6" t="s">
        <v>1921</v>
      </c>
      <c r="K504" s="6" t="s">
        <v>1917</v>
      </c>
      <c r="L504" s="6" t="s">
        <v>1917</v>
      </c>
      <c r="M504" s="14">
        <v>45880.673611111109</v>
      </c>
      <c r="N504" s="6" t="s">
        <v>1922</v>
      </c>
      <c r="O504" s="6" t="s">
        <v>83</v>
      </c>
      <c r="P504" s="6" t="s">
        <v>272</v>
      </c>
      <c r="Q504" s="6" t="s">
        <v>256</v>
      </c>
      <c r="R504" s="6" t="s">
        <v>256</v>
      </c>
      <c r="S504" s="6" t="s">
        <v>9</v>
      </c>
      <c r="T504" s="6" t="s">
        <v>245</v>
      </c>
      <c r="U504" s="6" t="s">
        <v>131</v>
      </c>
      <c r="V504" s="6" t="s">
        <v>1919</v>
      </c>
      <c r="W504" s="6" t="s">
        <v>83</v>
      </c>
      <c r="X504" s="6" t="s">
        <v>83</v>
      </c>
      <c r="Y504" s="6" t="s">
        <v>83</v>
      </c>
      <c r="Z504" s="6" t="s">
        <v>65</v>
      </c>
      <c r="AA504" s="6" t="s">
        <v>83</v>
      </c>
      <c r="AB504" s="6">
        <v>1800</v>
      </c>
      <c r="AC504" s="6">
        <v>0</v>
      </c>
      <c r="AD504" s="6">
        <v>0</v>
      </c>
      <c r="AE504" s="6">
        <v>0</v>
      </c>
      <c r="AF504" s="6">
        <v>0</v>
      </c>
      <c r="AG504" s="6">
        <v>0</v>
      </c>
      <c r="AH504" s="6">
        <v>0</v>
      </c>
      <c r="AI504" s="6" t="s">
        <v>248</v>
      </c>
      <c r="AJ504" s="6" t="s">
        <v>259</v>
      </c>
      <c r="AK504" s="6" t="s">
        <v>16</v>
      </c>
      <c r="AL504" s="6" t="s">
        <v>50</v>
      </c>
      <c r="AM504" s="6" t="s">
        <v>260</v>
      </c>
      <c r="AN504" s="6" t="s">
        <v>20</v>
      </c>
      <c r="AO504" s="6" t="s">
        <v>250</v>
      </c>
      <c r="AP504" s="6" t="s">
        <v>251</v>
      </c>
      <c r="AQ504" s="6" t="s">
        <v>18</v>
      </c>
    </row>
    <row r="505" spans="1:43" x14ac:dyDescent="0.25">
      <c r="A505" s="6">
        <v>22723585</v>
      </c>
      <c r="B505" s="6">
        <v>23521868</v>
      </c>
      <c r="C505" s="6" t="s">
        <v>237</v>
      </c>
      <c r="D505" s="14">
        <v>45880.681562500002</v>
      </c>
      <c r="E505" s="14">
        <v>45880.687951388893</v>
      </c>
      <c r="F505" s="6" t="s">
        <v>17</v>
      </c>
      <c r="G505" s="6" t="s">
        <v>17</v>
      </c>
      <c r="H505" s="6" t="s">
        <v>1923</v>
      </c>
      <c r="I505" s="6" t="s">
        <v>16</v>
      </c>
      <c r="J505" s="6" t="s">
        <v>1924</v>
      </c>
      <c r="K505" s="6" t="s">
        <v>1917</v>
      </c>
      <c r="L505" s="6" t="s">
        <v>1917</v>
      </c>
      <c r="M505" s="14">
        <v>45880.593055555553</v>
      </c>
      <c r="N505" s="6" t="s">
        <v>1925</v>
      </c>
      <c r="O505" s="6" t="s">
        <v>83</v>
      </c>
      <c r="P505" s="6" t="s">
        <v>272</v>
      </c>
      <c r="Q505" s="6" t="s">
        <v>256</v>
      </c>
      <c r="R505" s="6" t="s">
        <v>256</v>
      </c>
      <c r="S505" s="6" t="s">
        <v>9</v>
      </c>
      <c r="T505" s="6" t="s">
        <v>245</v>
      </c>
      <c r="U505" s="6" t="s">
        <v>131</v>
      </c>
      <c r="V505" s="6" t="s">
        <v>1919</v>
      </c>
      <c r="W505" s="6" t="s">
        <v>83</v>
      </c>
      <c r="X505" s="6" t="s">
        <v>83</v>
      </c>
      <c r="Y505" s="6" t="s">
        <v>83</v>
      </c>
      <c r="Z505" s="6" t="s">
        <v>65</v>
      </c>
      <c r="AA505" s="6" t="s">
        <v>83</v>
      </c>
      <c r="AB505" s="6">
        <v>240</v>
      </c>
      <c r="AC505" s="6">
        <v>0</v>
      </c>
      <c r="AD505" s="6">
        <v>0</v>
      </c>
      <c r="AE505" s="6">
        <v>0</v>
      </c>
      <c r="AF505" s="6">
        <v>0</v>
      </c>
      <c r="AG505" s="6">
        <v>0</v>
      </c>
      <c r="AH505" s="6">
        <v>0</v>
      </c>
      <c r="AI505" s="6" t="s">
        <v>248</v>
      </c>
      <c r="AJ505" s="6" t="s">
        <v>259</v>
      </c>
      <c r="AK505" s="6" t="s">
        <v>16</v>
      </c>
      <c r="AL505" s="6" t="s">
        <v>50</v>
      </c>
      <c r="AM505" s="6" t="s">
        <v>260</v>
      </c>
      <c r="AN505" s="6" t="s">
        <v>20</v>
      </c>
      <c r="AO505" s="6" t="s">
        <v>250</v>
      </c>
      <c r="AP505" s="6" t="s">
        <v>251</v>
      </c>
      <c r="AQ505" s="6" t="s">
        <v>18</v>
      </c>
    </row>
    <row r="506" spans="1:43" x14ac:dyDescent="0.25">
      <c r="A506" s="6">
        <v>22723267</v>
      </c>
      <c r="B506" s="6">
        <v>23521550</v>
      </c>
      <c r="C506" s="6" t="s">
        <v>237</v>
      </c>
      <c r="D506" s="14">
        <v>45880.650069444448</v>
      </c>
      <c r="E506" s="14">
        <v>45880.6565162037</v>
      </c>
      <c r="F506" s="6" t="s">
        <v>17</v>
      </c>
      <c r="G506" s="6" t="s">
        <v>17</v>
      </c>
      <c r="H506" s="6" t="s">
        <v>1926</v>
      </c>
      <c r="I506" s="6" t="s">
        <v>16</v>
      </c>
      <c r="J506" s="6" t="s">
        <v>1927</v>
      </c>
      <c r="K506" s="6" t="s">
        <v>1917</v>
      </c>
      <c r="L506" s="6" t="s">
        <v>1917</v>
      </c>
      <c r="M506" s="14">
        <v>45880.556944444441</v>
      </c>
      <c r="N506" s="6" t="s">
        <v>1928</v>
      </c>
      <c r="O506" s="6" t="s">
        <v>83</v>
      </c>
      <c r="P506" s="6" t="s">
        <v>272</v>
      </c>
      <c r="Q506" s="6" t="s">
        <v>256</v>
      </c>
      <c r="R506" s="6" t="s">
        <v>256</v>
      </c>
      <c r="S506" s="6" t="s">
        <v>9</v>
      </c>
      <c r="T506" s="6" t="s">
        <v>245</v>
      </c>
      <c r="U506" s="6" t="s">
        <v>131</v>
      </c>
      <c r="V506" s="6" t="s">
        <v>1919</v>
      </c>
      <c r="W506" s="6" t="s">
        <v>83</v>
      </c>
      <c r="X506" s="6" t="s">
        <v>83</v>
      </c>
      <c r="Y506" s="6" t="s">
        <v>83</v>
      </c>
      <c r="Z506" s="6" t="s">
        <v>65</v>
      </c>
      <c r="AA506" s="6" t="s">
        <v>83</v>
      </c>
      <c r="AB506" s="6">
        <v>961.8</v>
      </c>
      <c r="AC506" s="6">
        <v>0</v>
      </c>
      <c r="AD506" s="6">
        <v>0</v>
      </c>
      <c r="AE506" s="6">
        <v>0</v>
      </c>
      <c r="AF506" s="6">
        <v>0</v>
      </c>
      <c r="AG506" s="6">
        <v>0</v>
      </c>
      <c r="AH506" s="6">
        <v>0</v>
      </c>
      <c r="AI506" s="6" t="s">
        <v>248</v>
      </c>
      <c r="AJ506" s="6" t="s">
        <v>259</v>
      </c>
      <c r="AK506" s="6" t="s">
        <v>16</v>
      </c>
      <c r="AL506" s="6" t="s">
        <v>50</v>
      </c>
      <c r="AM506" s="6" t="s">
        <v>260</v>
      </c>
      <c r="AN506" s="6" t="s">
        <v>20</v>
      </c>
      <c r="AO506" s="6" t="s">
        <v>250</v>
      </c>
      <c r="AP506" s="6" t="s">
        <v>251</v>
      </c>
      <c r="AQ506" s="6" t="s">
        <v>18</v>
      </c>
    </row>
    <row r="507" spans="1:43" x14ac:dyDescent="0.25">
      <c r="A507" s="6">
        <v>22709289</v>
      </c>
      <c r="B507" s="6">
        <v>23510701</v>
      </c>
      <c r="C507" s="6" t="s">
        <v>237</v>
      </c>
      <c r="D507" s="14">
        <v>45877.681342592587</v>
      </c>
      <c r="E507" s="14">
        <v>45877.688090277778</v>
      </c>
      <c r="F507" s="6" t="s">
        <v>19</v>
      </c>
      <c r="G507" s="6" t="s">
        <v>19</v>
      </c>
      <c r="H507" s="6" t="s">
        <v>1929</v>
      </c>
      <c r="I507" s="6" t="s">
        <v>16</v>
      </c>
      <c r="J507" s="6" t="s">
        <v>1930</v>
      </c>
      <c r="K507" s="6" t="s">
        <v>1917</v>
      </c>
      <c r="L507" s="6" t="s">
        <v>1917</v>
      </c>
      <c r="M507" s="14">
        <v>45877.588194444441</v>
      </c>
      <c r="N507" s="6" t="s">
        <v>1931</v>
      </c>
      <c r="O507" s="6" t="s">
        <v>83</v>
      </c>
      <c r="P507" s="6" t="s">
        <v>272</v>
      </c>
      <c r="Q507" s="6" t="s">
        <v>256</v>
      </c>
      <c r="R507" s="6" t="s">
        <v>256</v>
      </c>
      <c r="S507" s="6" t="s">
        <v>9</v>
      </c>
      <c r="T507" s="6" t="s">
        <v>245</v>
      </c>
      <c r="U507" s="6" t="s">
        <v>131</v>
      </c>
      <c r="V507" s="6" t="s">
        <v>1919</v>
      </c>
      <c r="W507" s="6" t="s">
        <v>83</v>
      </c>
      <c r="X507" s="6" t="s">
        <v>83</v>
      </c>
      <c r="Y507" s="6" t="s">
        <v>83</v>
      </c>
      <c r="Z507" s="6" t="s">
        <v>65</v>
      </c>
      <c r="AA507" s="6" t="s">
        <v>83</v>
      </c>
      <c r="AB507" s="6">
        <v>761.3</v>
      </c>
      <c r="AC507" s="6">
        <v>0</v>
      </c>
      <c r="AD507" s="6">
        <v>0</v>
      </c>
      <c r="AE507" s="6">
        <v>0</v>
      </c>
      <c r="AF507" s="6">
        <v>0</v>
      </c>
      <c r="AG507" s="6">
        <v>0</v>
      </c>
      <c r="AH507" s="6">
        <v>0</v>
      </c>
      <c r="AI507" s="6" t="s">
        <v>248</v>
      </c>
      <c r="AJ507" s="6" t="s">
        <v>259</v>
      </c>
      <c r="AK507" s="6" t="s">
        <v>16</v>
      </c>
      <c r="AL507" s="6" t="s">
        <v>50</v>
      </c>
      <c r="AM507" s="6" t="s">
        <v>260</v>
      </c>
      <c r="AN507" s="6" t="s">
        <v>20</v>
      </c>
      <c r="AO507" s="6" t="s">
        <v>250</v>
      </c>
      <c r="AP507" s="6" t="s">
        <v>251</v>
      </c>
      <c r="AQ507" s="6" t="s">
        <v>18</v>
      </c>
    </row>
    <row r="508" spans="1:43" x14ac:dyDescent="0.25">
      <c r="A508" s="6">
        <v>22721672</v>
      </c>
      <c r="B508" s="6">
        <v>23520035</v>
      </c>
      <c r="C508" s="6" t="s">
        <v>237</v>
      </c>
      <c r="D508" s="14">
        <v>45880.484317129631</v>
      </c>
      <c r="E508" s="14">
        <v>45880.49386574074</v>
      </c>
      <c r="F508" s="6" t="s">
        <v>17</v>
      </c>
      <c r="G508" s="6" t="s">
        <v>17</v>
      </c>
      <c r="H508" s="6" t="s">
        <v>1932</v>
      </c>
      <c r="I508" s="6" t="s">
        <v>16</v>
      </c>
      <c r="J508" s="6" t="s">
        <v>1933</v>
      </c>
      <c r="K508" s="6" t="s">
        <v>1917</v>
      </c>
      <c r="L508" s="6" t="s">
        <v>1917</v>
      </c>
      <c r="M508" s="14">
        <v>45877.494444444441</v>
      </c>
      <c r="N508" s="6" t="s">
        <v>1934</v>
      </c>
      <c r="O508" s="6" t="s">
        <v>83</v>
      </c>
      <c r="P508" s="6" t="s">
        <v>272</v>
      </c>
      <c r="Q508" s="6" t="s">
        <v>256</v>
      </c>
      <c r="R508" s="6" t="s">
        <v>256</v>
      </c>
      <c r="S508" s="6" t="s">
        <v>9</v>
      </c>
      <c r="T508" s="6" t="s">
        <v>245</v>
      </c>
      <c r="U508" s="6" t="s">
        <v>131</v>
      </c>
      <c r="V508" s="6" t="s">
        <v>1919</v>
      </c>
      <c r="W508" s="6" t="s">
        <v>83</v>
      </c>
      <c r="X508" s="6" t="s">
        <v>83</v>
      </c>
      <c r="Y508" s="6" t="s">
        <v>83</v>
      </c>
      <c r="Z508" s="6" t="s">
        <v>65</v>
      </c>
      <c r="AA508" s="6" t="s">
        <v>83</v>
      </c>
      <c r="AB508" s="6">
        <v>275.10000000000002</v>
      </c>
      <c r="AC508" s="6">
        <v>0</v>
      </c>
      <c r="AD508" s="6">
        <v>0</v>
      </c>
      <c r="AE508" s="6">
        <v>0</v>
      </c>
      <c r="AF508" s="6">
        <v>0</v>
      </c>
      <c r="AG508" s="6">
        <v>0</v>
      </c>
      <c r="AH508" s="6">
        <v>0</v>
      </c>
      <c r="AI508" s="6" t="s">
        <v>248</v>
      </c>
      <c r="AJ508" s="6" t="s">
        <v>259</v>
      </c>
      <c r="AK508" s="6" t="s">
        <v>16</v>
      </c>
      <c r="AL508" s="6" t="s">
        <v>50</v>
      </c>
      <c r="AM508" s="6" t="s">
        <v>260</v>
      </c>
      <c r="AN508" s="6" t="s">
        <v>20</v>
      </c>
      <c r="AO508" s="6" t="s">
        <v>250</v>
      </c>
      <c r="AP508" s="6" t="s">
        <v>251</v>
      </c>
      <c r="AQ508" s="6" t="s">
        <v>18</v>
      </c>
    </row>
    <row r="509" spans="1:43" x14ac:dyDescent="0.25">
      <c r="A509" s="6">
        <v>22721672</v>
      </c>
      <c r="B509" s="6">
        <v>23520036</v>
      </c>
      <c r="C509" s="6" t="s">
        <v>378</v>
      </c>
      <c r="D509" s="14">
        <v>45880.484317129631</v>
      </c>
      <c r="E509" s="14">
        <v>45880.49386574074</v>
      </c>
      <c r="F509" s="6" t="s">
        <v>17</v>
      </c>
      <c r="G509" s="6" t="s">
        <v>17</v>
      </c>
      <c r="H509" s="6" t="s">
        <v>1932</v>
      </c>
      <c r="I509" s="6" t="s">
        <v>16</v>
      </c>
      <c r="J509" s="6" t="s">
        <v>1933</v>
      </c>
      <c r="K509" s="6" t="s">
        <v>1917</v>
      </c>
      <c r="L509" s="6" t="s">
        <v>1917</v>
      </c>
      <c r="M509" s="14">
        <v>45877.494444444441</v>
      </c>
      <c r="N509" s="6" t="s">
        <v>1934</v>
      </c>
      <c r="O509" s="6" t="s">
        <v>83</v>
      </c>
      <c r="P509" s="6" t="s">
        <v>272</v>
      </c>
      <c r="Q509" s="6" t="s">
        <v>256</v>
      </c>
      <c r="R509" s="6" t="s">
        <v>256</v>
      </c>
      <c r="S509" s="6" t="s">
        <v>9</v>
      </c>
      <c r="T509" s="6" t="s">
        <v>245</v>
      </c>
      <c r="U509" s="6" t="s">
        <v>131</v>
      </c>
      <c r="V509" s="6" t="s">
        <v>1919</v>
      </c>
      <c r="W509" s="6" t="s">
        <v>83</v>
      </c>
      <c r="X509" s="6" t="s">
        <v>83</v>
      </c>
      <c r="Y509" s="6" t="s">
        <v>83</v>
      </c>
      <c r="Z509" s="6" t="s">
        <v>65</v>
      </c>
      <c r="AA509" s="6" t="s">
        <v>83</v>
      </c>
      <c r="AB509" s="6">
        <v>225</v>
      </c>
      <c r="AC509" s="6">
        <v>0</v>
      </c>
      <c r="AD509" s="6">
        <v>0</v>
      </c>
      <c r="AE509" s="6">
        <v>0</v>
      </c>
      <c r="AF509" s="6">
        <v>0</v>
      </c>
      <c r="AG509" s="6">
        <v>0</v>
      </c>
      <c r="AH509" s="6">
        <v>0</v>
      </c>
      <c r="AI509" s="6" t="s">
        <v>248</v>
      </c>
      <c r="AJ509" s="6" t="s">
        <v>259</v>
      </c>
      <c r="AK509" s="6" t="s">
        <v>16</v>
      </c>
      <c r="AL509" s="6" t="s">
        <v>50</v>
      </c>
      <c r="AM509" s="6" t="s">
        <v>260</v>
      </c>
      <c r="AN509" s="6" t="s">
        <v>20</v>
      </c>
      <c r="AO509" s="6" t="s">
        <v>250</v>
      </c>
      <c r="AP509" s="6" t="s">
        <v>251</v>
      </c>
      <c r="AQ509" s="6" t="s">
        <v>18</v>
      </c>
    </row>
    <row r="510" spans="1:43" x14ac:dyDescent="0.25">
      <c r="A510" s="6">
        <v>22721672</v>
      </c>
      <c r="B510" s="6">
        <v>23520037</v>
      </c>
      <c r="C510" s="6" t="s">
        <v>426</v>
      </c>
      <c r="D510" s="14">
        <v>45880.484317129631</v>
      </c>
      <c r="E510" s="14">
        <v>45880.49386574074</v>
      </c>
      <c r="F510" s="6" t="s">
        <v>17</v>
      </c>
      <c r="G510" s="6" t="s">
        <v>17</v>
      </c>
      <c r="H510" s="6" t="s">
        <v>1932</v>
      </c>
      <c r="I510" s="6" t="s">
        <v>16</v>
      </c>
      <c r="J510" s="6" t="s">
        <v>1933</v>
      </c>
      <c r="K510" s="6" t="s">
        <v>1917</v>
      </c>
      <c r="L510" s="6" t="s">
        <v>1917</v>
      </c>
      <c r="M510" s="14">
        <v>45877.494444444441</v>
      </c>
      <c r="N510" s="6" t="s">
        <v>1934</v>
      </c>
      <c r="O510" s="6" t="s">
        <v>83</v>
      </c>
      <c r="P510" s="6" t="s">
        <v>272</v>
      </c>
      <c r="Q510" s="6" t="s">
        <v>256</v>
      </c>
      <c r="R510" s="6" t="s">
        <v>256</v>
      </c>
      <c r="S510" s="6" t="s">
        <v>9</v>
      </c>
      <c r="T510" s="6" t="s">
        <v>245</v>
      </c>
      <c r="U510" s="6" t="s">
        <v>131</v>
      </c>
      <c r="V510" s="6" t="s">
        <v>1919</v>
      </c>
      <c r="W510" s="6" t="s">
        <v>83</v>
      </c>
      <c r="X510" s="6" t="s">
        <v>1935</v>
      </c>
      <c r="Y510" s="6" t="s">
        <v>83</v>
      </c>
      <c r="Z510" s="6" t="s">
        <v>65</v>
      </c>
      <c r="AA510" s="6" t="s">
        <v>83</v>
      </c>
      <c r="AB510" s="6">
        <v>178.2</v>
      </c>
      <c r="AC510" s="6">
        <v>0</v>
      </c>
      <c r="AD510" s="6">
        <v>0</v>
      </c>
      <c r="AE510" s="6">
        <v>0</v>
      </c>
      <c r="AF510" s="6">
        <v>0</v>
      </c>
      <c r="AG510" s="6">
        <v>0</v>
      </c>
      <c r="AH510" s="6">
        <v>0</v>
      </c>
      <c r="AI510" s="6" t="s">
        <v>248</v>
      </c>
      <c r="AJ510" s="6" t="s">
        <v>259</v>
      </c>
      <c r="AK510" s="6" t="s">
        <v>16</v>
      </c>
      <c r="AL510" s="6" t="s">
        <v>50</v>
      </c>
      <c r="AM510" s="6" t="s">
        <v>260</v>
      </c>
      <c r="AN510" s="6" t="s">
        <v>20</v>
      </c>
      <c r="AO510" s="6" t="s">
        <v>250</v>
      </c>
      <c r="AP510" s="6" t="s">
        <v>251</v>
      </c>
      <c r="AQ510" s="6" t="s">
        <v>18</v>
      </c>
    </row>
    <row r="511" spans="1:43" x14ac:dyDescent="0.25">
      <c r="A511" s="6">
        <v>22721736</v>
      </c>
      <c r="B511" s="6">
        <v>23520099</v>
      </c>
      <c r="C511" s="6" t="s">
        <v>237</v>
      </c>
      <c r="D511" s="14">
        <v>45880.493275462963</v>
      </c>
      <c r="E511" s="14">
        <v>45880.500416666669</v>
      </c>
      <c r="F511" s="6" t="s">
        <v>17</v>
      </c>
      <c r="G511" s="6" t="s">
        <v>17</v>
      </c>
      <c r="H511" s="6" t="s">
        <v>1936</v>
      </c>
      <c r="I511" s="6" t="s">
        <v>16</v>
      </c>
      <c r="J511" s="6" t="s">
        <v>1937</v>
      </c>
      <c r="K511" s="6" t="s">
        <v>1917</v>
      </c>
      <c r="L511" s="6" t="s">
        <v>1917</v>
      </c>
      <c r="M511" s="14">
        <v>45877.505555555559</v>
      </c>
      <c r="N511" s="6" t="s">
        <v>1938</v>
      </c>
      <c r="O511" s="6" t="s">
        <v>83</v>
      </c>
      <c r="P511" s="6" t="s">
        <v>272</v>
      </c>
      <c r="Q511" s="6" t="s">
        <v>256</v>
      </c>
      <c r="R511" s="6" t="s">
        <v>256</v>
      </c>
      <c r="S511" s="6" t="s">
        <v>9</v>
      </c>
      <c r="T511" s="6" t="s">
        <v>245</v>
      </c>
      <c r="U511" s="6" t="s">
        <v>131</v>
      </c>
      <c r="V511" s="6" t="s">
        <v>1919</v>
      </c>
      <c r="W511" s="6" t="s">
        <v>83</v>
      </c>
      <c r="X511" s="6" t="s">
        <v>1939</v>
      </c>
      <c r="Y511" s="6" t="s">
        <v>83</v>
      </c>
      <c r="Z511" s="6" t="s">
        <v>65</v>
      </c>
      <c r="AA511" s="6" t="s">
        <v>83</v>
      </c>
      <c r="AB511" s="6">
        <v>473.55</v>
      </c>
      <c r="AC511" s="6">
        <v>0</v>
      </c>
      <c r="AD511" s="6">
        <v>0</v>
      </c>
      <c r="AE511" s="6">
        <v>0</v>
      </c>
      <c r="AF511" s="6">
        <v>0</v>
      </c>
      <c r="AG511" s="6">
        <v>0</v>
      </c>
      <c r="AH511" s="6">
        <v>0</v>
      </c>
      <c r="AI511" s="6" t="s">
        <v>248</v>
      </c>
      <c r="AJ511" s="6" t="s">
        <v>1940</v>
      </c>
      <c r="AK511" s="6" t="s">
        <v>16</v>
      </c>
      <c r="AL511" s="6" t="s">
        <v>50</v>
      </c>
      <c r="AM511" s="6" t="s">
        <v>260</v>
      </c>
      <c r="AN511" s="6" t="s">
        <v>20</v>
      </c>
      <c r="AO511" s="6" t="s">
        <v>250</v>
      </c>
      <c r="AP511" s="6" t="s">
        <v>251</v>
      </c>
      <c r="AQ511" s="6" t="s">
        <v>18</v>
      </c>
    </row>
    <row r="512" spans="1:43" x14ac:dyDescent="0.25">
      <c r="A512" s="6">
        <v>22721736</v>
      </c>
      <c r="B512" s="6">
        <v>23520100</v>
      </c>
      <c r="C512" s="6" t="s">
        <v>378</v>
      </c>
      <c r="D512" s="14">
        <v>45880.493275462963</v>
      </c>
      <c r="E512" s="14">
        <v>45880.500416666669</v>
      </c>
      <c r="F512" s="6" t="s">
        <v>17</v>
      </c>
      <c r="G512" s="6" t="s">
        <v>17</v>
      </c>
      <c r="H512" s="6" t="s">
        <v>1936</v>
      </c>
      <c r="I512" s="6" t="s">
        <v>16</v>
      </c>
      <c r="J512" s="6" t="s">
        <v>1937</v>
      </c>
      <c r="K512" s="6" t="s">
        <v>1917</v>
      </c>
      <c r="L512" s="6" t="s">
        <v>1917</v>
      </c>
      <c r="M512" s="14">
        <v>45877.505555555559</v>
      </c>
      <c r="N512" s="6" t="s">
        <v>1938</v>
      </c>
      <c r="O512" s="6" t="s">
        <v>83</v>
      </c>
      <c r="P512" s="6" t="s">
        <v>272</v>
      </c>
      <c r="Q512" s="6" t="s">
        <v>256</v>
      </c>
      <c r="R512" s="6" t="s">
        <v>256</v>
      </c>
      <c r="S512" s="6" t="s">
        <v>9</v>
      </c>
      <c r="T512" s="6" t="s">
        <v>245</v>
      </c>
      <c r="U512" s="6" t="s">
        <v>131</v>
      </c>
      <c r="V512" s="6" t="s">
        <v>1919</v>
      </c>
      <c r="W512" s="6" t="s">
        <v>83</v>
      </c>
      <c r="X512" s="6" t="s">
        <v>1941</v>
      </c>
      <c r="Y512" s="6" t="s">
        <v>83</v>
      </c>
      <c r="Z512" s="6" t="s">
        <v>65</v>
      </c>
      <c r="AA512" s="6" t="s">
        <v>83</v>
      </c>
      <c r="AB512" s="6">
        <v>295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</v>
      </c>
      <c r="AI512" s="6" t="s">
        <v>248</v>
      </c>
      <c r="AJ512" s="6" t="s">
        <v>1940</v>
      </c>
      <c r="AK512" s="6" t="s">
        <v>16</v>
      </c>
      <c r="AL512" s="6" t="s">
        <v>50</v>
      </c>
      <c r="AM512" s="6" t="s">
        <v>260</v>
      </c>
      <c r="AN512" s="6" t="s">
        <v>20</v>
      </c>
      <c r="AO512" s="6" t="s">
        <v>250</v>
      </c>
      <c r="AP512" s="6" t="s">
        <v>251</v>
      </c>
      <c r="AQ512" s="6" t="s">
        <v>18</v>
      </c>
    </row>
    <row r="513" spans="1:43" x14ac:dyDescent="0.25">
      <c r="A513" s="6">
        <v>22721736</v>
      </c>
      <c r="B513" s="6">
        <v>23520101</v>
      </c>
      <c r="C513" s="6" t="s">
        <v>426</v>
      </c>
      <c r="D513" s="14">
        <v>45880.493275462963</v>
      </c>
      <c r="E513" s="14">
        <v>45880.500416666669</v>
      </c>
      <c r="F513" s="6" t="s">
        <v>17</v>
      </c>
      <c r="G513" s="6" t="s">
        <v>17</v>
      </c>
      <c r="H513" s="6" t="s">
        <v>1936</v>
      </c>
      <c r="I513" s="6" t="s">
        <v>16</v>
      </c>
      <c r="J513" s="6" t="s">
        <v>1937</v>
      </c>
      <c r="K513" s="6" t="s">
        <v>1917</v>
      </c>
      <c r="L513" s="6" t="s">
        <v>1917</v>
      </c>
      <c r="M513" s="14">
        <v>45877.505555555559</v>
      </c>
      <c r="N513" s="6" t="s">
        <v>1938</v>
      </c>
      <c r="O513" s="6" t="s">
        <v>83</v>
      </c>
      <c r="P513" s="6" t="s">
        <v>272</v>
      </c>
      <c r="Q513" s="6" t="s">
        <v>256</v>
      </c>
      <c r="R513" s="6" t="s">
        <v>256</v>
      </c>
      <c r="S513" s="6" t="s">
        <v>9</v>
      </c>
      <c r="T513" s="6" t="s">
        <v>245</v>
      </c>
      <c r="U513" s="6" t="s">
        <v>131</v>
      </c>
      <c r="V513" s="6" t="s">
        <v>1919</v>
      </c>
      <c r="W513" s="6" t="s">
        <v>83</v>
      </c>
      <c r="X513" s="6" t="s">
        <v>83</v>
      </c>
      <c r="Y513" s="6" t="s">
        <v>83</v>
      </c>
      <c r="Z513" s="6" t="s">
        <v>65</v>
      </c>
      <c r="AA513" s="6" t="s">
        <v>83</v>
      </c>
      <c r="AB513" s="6">
        <v>210</v>
      </c>
      <c r="AC513" s="6">
        <v>0</v>
      </c>
      <c r="AD513" s="6">
        <v>0</v>
      </c>
      <c r="AE513" s="6">
        <v>0</v>
      </c>
      <c r="AF513" s="6">
        <v>0</v>
      </c>
      <c r="AG513" s="6">
        <v>0</v>
      </c>
      <c r="AH513" s="6">
        <v>0</v>
      </c>
      <c r="AI513" s="6" t="s">
        <v>248</v>
      </c>
      <c r="AJ513" s="6" t="s">
        <v>1940</v>
      </c>
      <c r="AK513" s="6" t="s">
        <v>16</v>
      </c>
      <c r="AL513" s="6" t="s">
        <v>50</v>
      </c>
      <c r="AM513" s="6" t="s">
        <v>260</v>
      </c>
      <c r="AN513" s="6" t="s">
        <v>20</v>
      </c>
      <c r="AO513" s="6" t="s">
        <v>250</v>
      </c>
      <c r="AP513" s="6" t="s">
        <v>251</v>
      </c>
      <c r="AQ513" s="6" t="s">
        <v>18</v>
      </c>
    </row>
    <row r="514" spans="1:43" x14ac:dyDescent="0.25">
      <c r="A514" s="6">
        <v>22722591</v>
      </c>
      <c r="B514" s="6">
        <v>23520938</v>
      </c>
      <c r="C514" s="6" t="s">
        <v>237</v>
      </c>
      <c r="D514" s="14">
        <v>45880.556215277778</v>
      </c>
      <c r="E514" s="14">
        <v>45880.562789351847</v>
      </c>
      <c r="F514" s="6" t="s">
        <v>17</v>
      </c>
      <c r="G514" s="6" t="s">
        <v>17</v>
      </c>
      <c r="H514" s="6" t="s">
        <v>1942</v>
      </c>
      <c r="I514" s="6" t="s">
        <v>16</v>
      </c>
      <c r="J514" s="6" t="s">
        <v>1943</v>
      </c>
      <c r="K514" s="6" t="s">
        <v>1917</v>
      </c>
      <c r="L514" s="6" t="s">
        <v>1917</v>
      </c>
      <c r="M514" s="14">
        <v>45880.47152777778</v>
      </c>
      <c r="N514" s="6" t="s">
        <v>1944</v>
      </c>
      <c r="O514" s="6" t="s">
        <v>83</v>
      </c>
      <c r="P514" s="6" t="s">
        <v>272</v>
      </c>
      <c r="Q514" s="6" t="s">
        <v>256</v>
      </c>
      <c r="R514" s="6" t="s">
        <v>256</v>
      </c>
      <c r="S514" s="6" t="s">
        <v>9</v>
      </c>
      <c r="T514" s="6" t="s">
        <v>245</v>
      </c>
      <c r="U514" s="6" t="s">
        <v>131</v>
      </c>
      <c r="V514" s="6" t="s">
        <v>1919</v>
      </c>
      <c r="W514" s="6" t="s">
        <v>83</v>
      </c>
      <c r="X514" s="6" t="s">
        <v>83</v>
      </c>
      <c r="Y514" s="6" t="s">
        <v>83</v>
      </c>
      <c r="Z514" s="6" t="s">
        <v>65</v>
      </c>
      <c r="AA514" s="6" t="s">
        <v>83</v>
      </c>
      <c r="AB514" s="6">
        <v>179</v>
      </c>
      <c r="AC514" s="6">
        <v>0</v>
      </c>
      <c r="AD514" s="6">
        <v>0</v>
      </c>
      <c r="AE514" s="6">
        <v>0</v>
      </c>
      <c r="AF514" s="6">
        <v>0</v>
      </c>
      <c r="AG514" s="6">
        <v>0</v>
      </c>
      <c r="AH514" s="6">
        <v>0</v>
      </c>
      <c r="AI514" s="6" t="s">
        <v>248</v>
      </c>
      <c r="AJ514" s="6" t="s">
        <v>259</v>
      </c>
      <c r="AK514" s="6" t="s">
        <v>16</v>
      </c>
      <c r="AL514" s="6" t="s">
        <v>50</v>
      </c>
      <c r="AM514" s="6" t="s">
        <v>260</v>
      </c>
      <c r="AN514" s="6" t="s">
        <v>20</v>
      </c>
      <c r="AO514" s="6" t="s">
        <v>250</v>
      </c>
      <c r="AP514" s="6" t="s">
        <v>251</v>
      </c>
      <c r="AQ514" s="6" t="s">
        <v>18</v>
      </c>
    </row>
    <row r="515" spans="1:43" x14ac:dyDescent="0.25">
      <c r="A515" s="6">
        <v>22702276</v>
      </c>
      <c r="B515" s="6">
        <v>23504414</v>
      </c>
      <c r="C515" s="6" t="s">
        <v>237</v>
      </c>
      <c r="D515" s="14">
        <v>45876.714583333327</v>
      </c>
      <c r="E515" s="14">
        <v>45876.719305555547</v>
      </c>
      <c r="F515" s="6" t="s">
        <v>21</v>
      </c>
      <c r="G515" s="6" t="s">
        <v>21</v>
      </c>
      <c r="H515" s="6" t="s">
        <v>1945</v>
      </c>
      <c r="I515" s="6" t="s">
        <v>16</v>
      </c>
      <c r="J515" s="6" t="s">
        <v>1946</v>
      </c>
      <c r="K515" s="6" t="s">
        <v>1917</v>
      </c>
      <c r="L515" s="6" t="s">
        <v>1917</v>
      </c>
      <c r="M515" s="14">
        <v>45876.622916666667</v>
      </c>
      <c r="N515" s="6" t="s">
        <v>1947</v>
      </c>
      <c r="O515" s="6" t="s">
        <v>83</v>
      </c>
      <c r="P515" s="6" t="s">
        <v>272</v>
      </c>
      <c r="Q515" s="6" t="s">
        <v>256</v>
      </c>
      <c r="R515" s="6" t="s">
        <v>256</v>
      </c>
      <c r="S515" s="6" t="s">
        <v>9</v>
      </c>
      <c r="T515" s="6" t="s">
        <v>245</v>
      </c>
      <c r="U515" s="6" t="s">
        <v>131</v>
      </c>
      <c r="V515" s="6" t="s">
        <v>1919</v>
      </c>
      <c r="W515" s="6" t="s">
        <v>83</v>
      </c>
      <c r="X515" s="6" t="s">
        <v>83</v>
      </c>
      <c r="Y515" s="6" t="s">
        <v>83</v>
      </c>
      <c r="Z515" s="6" t="s">
        <v>65</v>
      </c>
      <c r="AA515" s="6" t="s">
        <v>83</v>
      </c>
      <c r="AB515" s="6">
        <v>1615.92</v>
      </c>
      <c r="AC515" s="6">
        <v>0</v>
      </c>
      <c r="AD515" s="6">
        <v>0</v>
      </c>
      <c r="AE515" s="6">
        <v>0</v>
      </c>
      <c r="AF515" s="6">
        <v>0</v>
      </c>
      <c r="AG515" s="6">
        <v>0</v>
      </c>
      <c r="AH515" s="6">
        <v>0</v>
      </c>
      <c r="AI515" s="6" t="s">
        <v>248</v>
      </c>
      <c r="AJ515" s="6" t="s">
        <v>259</v>
      </c>
      <c r="AK515" s="6" t="s">
        <v>16</v>
      </c>
      <c r="AL515" s="6" t="s">
        <v>50</v>
      </c>
      <c r="AM515" s="6" t="s">
        <v>260</v>
      </c>
      <c r="AN515" s="6" t="s">
        <v>20</v>
      </c>
      <c r="AO515" s="6" t="s">
        <v>250</v>
      </c>
      <c r="AP515" s="6" t="s">
        <v>251</v>
      </c>
      <c r="AQ515" s="6" t="s">
        <v>18</v>
      </c>
    </row>
    <row r="516" spans="1:43" x14ac:dyDescent="0.25">
      <c r="A516" s="6">
        <v>22699258</v>
      </c>
      <c r="B516" s="6">
        <v>23501528</v>
      </c>
      <c r="C516" s="6" t="s">
        <v>237</v>
      </c>
      <c r="D516" s="14">
        <v>45876.38921296296</v>
      </c>
      <c r="E516" s="14">
        <v>45876.393900462957</v>
      </c>
      <c r="F516" s="6" t="s">
        <v>21</v>
      </c>
      <c r="G516" s="6" t="s">
        <v>21</v>
      </c>
      <c r="H516" s="6" t="s">
        <v>1948</v>
      </c>
      <c r="I516" s="6" t="s">
        <v>16</v>
      </c>
      <c r="J516" s="6" t="s">
        <v>1949</v>
      </c>
      <c r="K516" s="6" t="s">
        <v>1917</v>
      </c>
      <c r="L516" s="6" t="s">
        <v>1917</v>
      </c>
      <c r="M516" s="14">
        <v>45876.3</v>
      </c>
      <c r="N516" s="6" t="s">
        <v>1950</v>
      </c>
      <c r="O516" s="6" t="s">
        <v>83</v>
      </c>
      <c r="P516" s="6" t="s">
        <v>272</v>
      </c>
      <c r="Q516" s="6" t="s">
        <v>256</v>
      </c>
      <c r="R516" s="6" t="s">
        <v>256</v>
      </c>
      <c r="S516" s="6" t="s">
        <v>9</v>
      </c>
      <c r="T516" s="6" t="s">
        <v>245</v>
      </c>
      <c r="U516" s="6" t="s">
        <v>131</v>
      </c>
      <c r="V516" s="6" t="s">
        <v>1919</v>
      </c>
      <c r="W516" s="6" t="s">
        <v>83</v>
      </c>
      <c r="X516" s="6" t="s">
        <v>83</v>
      </c>
      <c r="Y516" s="6" t="s">
        <v>83</v>
      </c>
      <c r="Z516" s="6" t="s">
        <v>65</v>
      </c>
      <c r="AA516" s="6" t="s">
        <v>83</v>
      </c>
      <c r="AB516" s="6">
        <v>756</v>
      </c>
      <c r="AC516" s="6">
        <v>0</v>
      </c>
      <c r="AD516" s="6">
        <v>0</v>
      </c>
      <c r="AE516" s="6">
        <v>0</v>
      </c>
      <c r="AF516" s="6">
        <v>0</v>
      </c>
      <c r="AG516" s="6">
        <v>0</v>
      </c>
      <c r="AH516" s="6">
        <v>0</v>
      </c>
      <c r="AI516" s="6" t="s">
        <v>248</v>
      </c>
      <c r="AJ516" s="6" t="s">
        <v>259</v>
      </c>
      <c r="AK516" s="6" t="s">
        <v>16</v>
      </c>
      <c r="AL516" s="6" t="s">
        <v>50</v>
      </c>
      <c r="AM516" s="6" t="s">
        <v>260</v>
      </c>
      <c r="AN516" s="6" t="s">
        <v>20</v>
      </c>
      <c r="AO516" s="6" t="s">
        <v>250</v>
      </c>
      <c r="AP516" s="6" t="s">
        <v>251</v>
      </c>
      <c r="AQ516" s="6" t="s">
        <v>18</v>
      </c>
    </row>
    <row r="517" spans="1:43" x14ac:dyDescent="0.25">
      <c r="A517" s="6">
        <v>22700889</v>
      </c>
      <c r="B517" s="6">
        <v>23503100</v>
      </c>
      <c r="C517" s="6" t="s">
        <v>237</v>
      </c>
      <c r="D517" s="14">
        <v>45876.535682870373</v>
      </c>
      <c r="E517" s="14">
        <v>45876.544027777767</v>
      </c>
      <c r="F517" s="6" t="s">
        <v>21</v>
      </c>
      <c r="G517" s="6" t="s">
        <v>21</v>
      </c>
      <c r="H517" s="6" t="s">
        <v>1951</v>
      </c>
      <c r="I517" s="6" t="s">
        <v>16</v>
      </c>
      <c r="J517" s="6" t="s">
        <v>1952</v>
      </c>
      <c r="K517" s="6" t="s">
        <v>1917</v>
      </c>
      <c r="L517" s="6" t="s">
        <v>1917</v>
      </c>
      <c r="M517" s="14">
        <v>45876.445138888892</v>
      </c>
      <c r="N517" s="6" t="s">
        <v>1953</v>
      </c>
      <c r="O517" s="6" t="s">
        <v>83</v>
      </c>
      <c r="P517" s="6" t="s">
        <v>272</v>
      </c>
      <c r="Q517" s="6" t="s">
        <v>256</v>
      </c>
      <c r="R517" s="6" t="s">
        <v>256</v>
      </c>
      <c r="S517" s="6" t="s">
        <v>9</v>
      </c>
      <c r="T517" s="6" t="s">
        <v>245</v>
      </c>
      <c r="U517" s="6" t="s">
        <v>131</v>
      </c>
      <c r="V517" s="6" t="s">
        <v>1919</v>
      </c>
      <c r="W517" s="6" t="s">
        <v>83</v>
      </c>
      <c r="X517" s="6" t="s">
        <v>83</v>
      </c>
      <c r="Y517" s="6" t="s">
        <v>83</v>
      </c>
      <c r="Z517" s="6" t="s">
        <v>65</v>
      </c>
      <c r="AA517" s="6" t="s">
        <v>83</v>
      </c>
      <c r="AB517" s="6">
        <v>1800</v>
      </c>
      <c r="AC517" s="6">
        <v>0</v>
      </c>
      <c r="AD517" s="6">
        <v>0</v>
      </c>
      <c r="AE517" s="6">
        <v>0</v>
      </c>
      <c r="AF517" s="6">
        <v>0</v>
      </c>
      <c r="AG517" s="6">
        <v>0</v>
      </c>
      <c r="AH517" s="6">
        <v>0</v>
      </c>
      <c r="AI517" s="6" t="s">
        <v>248</v>
      </c>
      <c r="AJ517" s="6" t="s">
        <v>259</v>
      </c>
      <c r="AK517" s="6" t="s">
        <v>16</v>
      </c>
      <c r="AL517" s="6" t="s">
        <v>50</v>
      </c>
      <c r="AM517" s="6" t="s">
        <v>260</v>
      </c>
      <c r="AN517" s="6" t="s">
        <v>20</v>
      </c>
      <c r="AO517" s="6" t="s">
        <v>250</v>
      </c>
      <c r="AP517" s="6" t="s">
        <v>251</v>
      </c>
      <c r="AQ517" s="6" t="s">
        <v>18</v>
      </c>
    </row>
    <row r="518" spans="1:43" x14ac:dyDescent="0.25">
      <c r="A518" s="6">
        <v>22694343</v>
      </c>
      <c r="B518" s="6">
        <v>23497197</v>
      </c>
      <c r="C518" s="6" t="s">
        <v>237</v>
      </c>
      <c r="D518" s="14">
        <v>45875.651307870372</v>
      </c>
      <c r="E518" s="14">
        <v>45875.657048611109</v>
      </c>
      <c r="F518" s="6" t="s">
        <v>21</v>
      </c>
      <c r="G518" s="6" t="s">
        <v>21</v>
      </c>
      <c r="H518" s="6" t="s">
        <v>1954</v>
      </c>
      <c r="I518" s="6" t="s">
        <v>16</v>
      </c>
      <c r="J518" s="6" t="s">
        <v>1955</v>
      </c>
      <c r="K518" s="6" t="s">
        <v>1917</v>
      </c>
      <c r="L518" s="6" t="s">
        <v>1917</v>
      </c>
      <c r="M518" s="14">
        <v>45875.559027777781</v>
      </c>
      <c r="N518" s="6" t="s">
        <v>1956</v>
      </c>
      <c r="O518" s="6" t="s">
        <v>83</v>
      </c>
      <c r="P518" s="6" t="s">
        <v>272</v>
      </c>
      <c r="Q518" s="6" t="s">
        <v>243</v>
      </c>
      <c r="R518" s="6" t="s">
        <v>244</v>
      </c>
      <c r="S518" s="6" t="s">
        <v>9</v>
      </c>
      <c r="T518" s="6" t="s">
        <v>245</v>
      </c>
      <c r="U518" s="6" t="s">
        <v>131</v>
      </c>
      <c r="V518" s="6" t="s">
        <v>1919</v>
      </c>
      <c r="W518" s="6" t="s">
        <v>83</v>
      </c>
      <c r="X518" s="6" t="s">
        <v>83</v>
      </c>
      <c r="Y518" s="6" t="s">
        <v>83</v>
      </c>
      <c r="Z518" s="6" t="s">
        <v>65</v>
      </c>
      <c r="AA518" s="6" t="s">
        <v>83</v>
      </c>
      <c r="AB518" s="6">
        <v>169</v>
      </c>
      <c r="AC518" s="6">
        <v>0</v>
      </c>
      <c r="AD518" s="6">
        <v>0</v>
      </c>
      <c r="AE518" s="6">
        <v>0</v>
      </c>
      <c r="AF518" s="6">
        <v>0</v>
      </c>
      <c r="AG518" s="6">
        <v>0</v>
      </c>
      <c r="AH518" s="6">
        <v>0</v>
      </c>
      <c r="AI518" s="6" t="s">
        <v>248</v>
      </c>
      <c r="AJ518" s="6" t="s">
        <v>259</v>
      </c>
      <c r="AK518" s="6" t="s">
        <v>16</v>
      </c>
      <c r="AL518" s="6" t="s">
        <v>50</v>
      </c>
      <c r="AM518" s="6" t="s">
        <v>260</v>
      </c>
      <c r="AN518" s="6" t="s">
        <v>20</v>
      </c>
      <c r="AO518" s="6" t="s">
        <v>250</v>
      </c>
      <c r="AP518" s="6" t="s">
        <v>251</v>
      </c>
      <c r="AQ518" s="6" t="s">
        <v>18</v>
      </c>
    </row>
    <row r="519" spans="1:43" x14ac:dyDescent="0.25">
      <c r="A519" s="6">
        <v>22651596</v>
      </c>
      <c r="B519" s="6">
        <v>23461155</v>
      </c>
      <c r="C519" s="6" t="s">
        <v>237</v>
      </c>
      <c r="D519" s="14">
        <v>45868.555925925917</v>
      </c>
      <c r="E519" s="14">
        <v>45868.56287037037</v>
      </c>
      <c r="F519" s="6" t="s">
        <v>23</v>
      </c>
      <c r="G519" s="6" t="s">
        <v>23</v>
      </c>
      <c r="H519" s="6" t="s">
        <v>1957</v>
      </c>
      <c r="I519" s="6" t="s">
        <v>16</v>
      </c>
      <c r="J519" s="6" t="s">
        <v>1958</v>
      </c>
      <c r="K519" s="6" t="s">
        <v>1917</v>
      </c>
      <c r="L519" s="6" t="s">
        <v>1917</v>
      </c>
      <c r="M519" s="14">
        <v>45868.46597222222</v>
      </c>
      <c r="N519" s="6" t="s">
        <v>1959</v>
      </c>
      <c r="O519" s="6" t="s">
        <v>83</v>
      </c>
      <c r="P519" s="6" t="s">
        <v>272</v>
      </c>
      <c r="Q519" s="6" t="s">
        <v>256</v>
      </c>
      <c r="R519" s="6" t="s">
        <v>256</v>
      </c>
      <c r="S519" s="6" t="s">
        <v>9</v>
      </c>
      <c r="T519" s="6" t="s">
        <v>245</v>
      </c>
      <c r="U519" s="6" t="s">
        <v>131</v>
      </c>
      <c r="V519" s="6" t="s">
        <v>1919</v>
      </c>
      <c r="W519" s="6" t="s">
        <v>83</v>
      </c>
      <c r="X519" s="6" t="s">
        <v>83</v>
      </c>
      <c r="Y519" s="6" t="s">
        <v>83</v>
      </c>
      <c r="Z519" s="6" t="s">
        <v>65</v>
      </c>
      <c r="AA519" s="6" t="s">
        <v>83</v>
      </c>
      <c r="AB519" s="6">
        <v>547.04</v>
      </c>
      <c r="AC519" s="6">
        <v>0</v>
      </c>
      <c r="AD519" s="6">
        <v>0</v>
      </c>
      <c r="AE519" s="6">
        <v>0</v>
      </c>
      <c r="AF519" s="6">
        <v>0</v>
      </c>
      <c r="AG519" s="6">
        <v>0</v>
      </c>
      <c r="AH519" s="6">
        <v>0</v>
      </c>
      <c r="AI519" s="6" t="s">
        <v>248</v>
      </c>
      <c r="AJ519" s="6" t="s">
        <v>259</v>
      </c>
      <c r="AK519" s="6" t="s">
        <v>16</v>
      </c>
      <c r="AL519" s="6" t="s">
        <v>50</v>
      </c>
      <c r="AM519" s="6" t="s">
        <v>260</v>
      </c>
      <c r="AN519" s="6" t="s">
        <v>20</v>
      </c>
      <c r="AO519" s="6" t="s">
        <v>250</v>
      </c>
      <c r="AP519" s="6" t="s">
        <v>251</v>
      </c>
      <c r="AQ519" s="6" t="s">
        <v>18</v>
      </c>
    </row>
    <row r="520" spans="1:43" x14ac:dyDescent="0.25">
      <c r="A520" s="6">
        <v>22644219</v>
      </c>
      <c r="B520" s="6">
        <v>23454435</v>
      </c>
      <c r="C520" s="6" t="s">
        <v>237</v>
      </c>
      <c r="D520" s="14">
        <v>45867.461967592593</v>
      </c>
      <c r="E520" s="14">
        <v>45867.469328703701</v>
      </c>
      <c r="F520" s="6" t="s">
        <v>23</v>
      </c>
      <c r="G520" s="6" t="s">
        <v>23</v>
      </c>
      <c r="H520" s="6" t="s">
        <v>1960</v>
      </c>
      <c r="I520" s="6" t="s">
        <v>16</v>
      </c>
      <c r="J520" s="6" t="s">
        <v>1961</v>
      </c>
      <c r="K520" s="6" t="s">
        <v>1917</v>
      </c>
      <c r="L520" s="6" t="s">
        <v>1917</v>
      </c>
      <c r="M520" s="14">
        <v>45867.370138888888</v>
      </c>
      <c r="N520" s="6" t="s">
        <v>1962</v>
      </c>
      <c r="O520" s="6" t="s">
        <v>83</v>
      </c>
      <c r="P520" s="6" t="s">
        <v>272</v>
      </c>
      <c r="Q520" s="6" t="s">
        <v>256</v>
      </c>
      <c r="R520" s="6" t="s">
        <v>256</v>
      </c>
      <c r="S520" s="6" t="s">
        <v>9</v>
      </c>
      <c r="T520" s="6" t="s">
        <v>245</v>
      </c>
      <c r="U520" s="6" t="s">
        <v>131</v>
      </c>
      <c r="V520" s="6" t="s">
        <v>1919</v>
      </c>
      <c r="W520" s="6" t="s">
        <v>83</v>
      </c>
      <c r="X520" s="6" t="s">
        <v>83</v>
      </c>
      <c r="Y520" s="6" t="s">
        <v>83</v>
      </c>
      <c r="Z520" s="6" t="s">
        <v>65</v>
      </c>
      <c r="AA520" s="6" t="s">
        <v>83</v>
      </c>
      <c r="AB520" s="6">
        <v>547.04</v>
      </c>
      <c r="AC520" s="6">
        <v>0</v>
      </c>
      <c r="AD520" s="6">
        <v>0</v>
      </c>
      <c r="AE520" s="6">
        <v>0</v>
      </c>
      <c r="AF520" s="6">
        <v>0</v>
      </c>
      <c r="AG520" s="6">
        <v>0</v>
      </c>
      <c r="AH520" s="6">
        <v>0</v>
      </c>
      <c r="AI520" s="6" t="s">
        <v>248</v>
      </c>
      <c r="AJ520" s="6" t="s">
        <v>259</v>
      </c>
      <c r="AK520" s="6" t="s">
        <v>16</v>
      </c>
      <c r="AL520" s="6" t="s">
        <v>50</v>
      </c>
      <c r="AM520" s="6" t="s">
        <v>260</v>
      </c>
      <c r="AN520" s="6" t="s">
        <v>20</v>
      </c>
      <c r="AO520" s="6" t="s">
        <v>250</v>
      </c>
      <c r="AP520" s="6" t="s">
        <v>251</v>
      </c>
      <c r="AQ520" s="6" t="s">
        <v>18</v>
      </c>
    </row>
    <row r="521" spans="1:43" x14ac:dyDescent="0.25">
      <c r="A521" s="6">
        <v>22731403</v>
      </c>
      <c r="B521" s="6">
        <v>23528869</v>
      </c>
      <c r="C521" s="6" t="s">
        <v>237</v>
      </c>
      <c r="D521" s="14">
        <v>45881.743657407409</v>
      </c>
      <c r="E521" s="14">
        <v>45881.750219907408</v>
      </c>
      <c r="F521" s="6" t="s">
        <v>17</v>
      </c>
      <c r="G521" s="6" t="s">
        <v>17</v>
      </c>
      <c r="H521" s="6" t="s">
        <v>1963</v>
      </c>
      <c r="I521" s="6" t="s">
        <v>16</v>
      </c>
      <c r="J521" s="6" t="s">
        <v>1964</v>
      </c>
      <c r="K521" s="6" t="s">
        <v>1917</v>
      </c>
      <c r="L521" s="6" t="s">
        <v>1917</v>
      </c>
      <c r="M521" s="14">
        <v>45881.650694444441</v>
      </c>
      <c r="N521" s="6" t="s">
        <v>1965</v>
      </c>
      <c r="O521" s="6" t="s">
        <v>83</v>
      </c>
      <c r="P521" s="6" t="s">
        <v>272</v>
      </c>
      <c r="Q521" s="6" t="s">
        <v>256</v>
      </c>
      <c r="R521" s="6" t="s">
        <v>256</v>
      </c>
      <c r="S521" s="6" t="s">
        <v>9</v>
      </c>
      <c r="T521" s="6" t="s">
        <v>245</v>
      </c>
      <c r="U521" s="6" t="s">
        <v>131</v>
      </c>
      <c r="V521" s="6" t="s">
        <v>1919</v>
      </c>
      <c r="W521" s="6" t="s">
        <v>83</v>
      </c>
      <c r="X521" s="6" t="s">
        <v>83</v>
      </c>
      <c r="Y521" s="6" t="s">
        <v>83</v>
      </c>
      <c r="Z521" s="6" t="s">
        <v>65</v>
      </c>
      <c r="AA521" s="6" t="s">
        <v>83</v>
      </c>
      <c r="AB521" s="6">
        <v>297</v>
      </c>
      <c r="AC521" s="6">
        <v>0</v>
      </c>
      <c r="AD521" s="6">
        <v>0</v>
      </c>
      <c r="AE521" s="6">
        <v>0</v>
      </c>
      <c r="AF521" s="6">
        <v>0</v>
      </c>
      <c r="AG521" s="6">
        <v>0</v>
      </c>
      <c r="AH521" s="6">
        <v>0</v>
      </c>
      <c r="AI521" s="6" t="s">
        <v>248</v>
      </c>
      <c r="AJ521" s="6" t="s">
        <v>259</v>
      </c>
      <c r="AK521" s="6" t="s">
        <v>16</v>
      </c>
      <c r="AL521" s="6" t="s">
        <v>50</v>
      </c>
      <c r="AM521" s="6" t="s">
        <v>260</v>
      </c>
      <c r="AN521" s="6" t="s">
        <v>20</v>
      </c>
      <c r="AO521" s="6" t="s">
        <v>250</v>
      </c>
      <c r="AP521" s="6" t="s">
        <v>251</v>
      </c>
      <c r="AQ521" s="6" t="s">
        <v>18</v>
      </c>
    </row>
    <row r="522" spans="1:43" x14ac:dyDescent="0.25">
      <c r="A522" s="6">
        <v>22731311</v>
      </c>
      <c r="B522" s="6">
        <v>23528785</v>
      </c>
      <c r="C522" s="6" t="s">
        <v>237</v>
      </c>
      <c r="D522" s="14">
        <v>45881.733136574083</v>
      </c>
      <c r="E522" s="14">
        <v>45881.737893518519</v>
      </c>
      <c r="F522" s="6" t="s">
        <v>17</v>
      </c>
      <c r="G522" s="6" t="s">
        <v>17</v>
      </c>
      <c r="H522" s="6" t="s">
        <v>1966</v>
      </c>
      <c r="I522" s="6" t="s">
        <v>16</v>
      </c>
      <c r="J522" s="6" t="s">
        <v>1967</v>
      </c>
      <c r="K522" s="6" t="s">
        <v>1917</v>
      </c>
      <c r="L522" s="6" t="s">
        <v>1917</v>
      </c>
      <c r="M522" s="14">
        <v>45881.640277777777</v>
      </c>
      <c r="N522" s="6" t="s">
        <v>1968</v>
      </c>
      <c r="O522" s="6" t="s">
        <v>83</v>
      </c>
      <c r="P522" s="6" t="s">
        <v>272</v>
      </c>
      <c r="Q522" s="6" t="s">
        <v>256</v>
      </c>
      <c r="R522" s="6" t="s">
        <v>256</v>
      </c>
      <c r="S522" s="6" t="s">
        <v>9</v>
      </c>
      <c r="T522" s="6" t="s">
        <v>245</v>
      </c>
      <c r="U522" s="6" t="s">
        <v>131</v>
      </c>
      <c r="V522" s="6" t="s">
        <v>1919</v>
      </c>
      <c r="W522" s="6" t="s">
        <v>83</v>
      </c>
      <c r="X522" s="6" t="s">
        <v>83</v>
      </c>
      <c r="Y522" s="6" t="s">
        <v>83</v>
      </c>
      <c r="Z522" s="6" t="s">
        <v>65</v>
      </c>
      <c r="AA522" s="6" t="s">
        <v>83</v>
      </c>
      <c r="AB522" s="6">
        <v>540</v>
      </c>
      <c r="AC522" s="6">
        <v>0</v>
      </c>
      <c r="AD522" s="6">
        <v>0</v>
      </c>
      <c r="AE522" s="6">
        <v>0</v>
      </c>
      <c r="AF522" s="6">
        <v>0</v>
      </c>
      <c r="AG522" s="6">
        <v>0</v>
      </c>
      <c r="AH522" s="6">
        <v>0</v>
      </c>
      <c r="AI522" s="6" t="s">
        <v>248</v>
      </c>
      <c r="AJ522" s="6" t="s">
        <v>259</v>
      </c>
      <c r="AK522" s="6" t="s">
        <v>16</v>
      </c>
      <c r="AL522" s="6" t="s">
        <v>50</v>
      </c>
      <c r="AM522" s="6" t="s">
        <v>260</v>
      </c>
      <c r="AN522" s="6" t="s">
        <v>20</v>
      </c>
      <c r="AO522" s="6" t="s">
        <v>250</v>
      </c>
      <c r="AP522" s="6" t="s">
        <v>251</v>
      </c>
      <c r="AQ522" s="6" t="s">
        <v>18</v>
      </c>
    </row>
    <row r="523" spans="1:43" x14ac:dyDescent="0.25">
      <c r="A523" s="6">
        <v>22731313</v>
      </c>
      <c r="B523" s="6">
        <v>23528787</v>
      </c>
      <c r="C523" s="6" t="s">
        <v>237</v>
      </c>
      <c r="D523" s="14">
        <v>45881.733240740738</v>
      </c>
      <c r="E523" s="14">
        <v>45881.737951388888</v>
      </c>
      <c r="F523" s="6" t="s">
        <v>17</v>
      </c>
      <c r="G523" s="6" t="s">
        <v>17</v>
      </c>
      <c r="H523" s="6" t="s">
        <v>1969</v>
      </c>
      <c r="I523" s="6" t="s">
        <v>16</v>
      </c>
      <c r="J523" s="6" t="s">
        <v>1970</v>
      </c>
      <c r="K523" s="6" t="s">
        <v>1917</v>
      </c>
      <c r="L523" s="6" t="s">
        <v>1917</v>
      </c>
      <c r="M523" s="14">
        <v>45881.644444444442</v>
      </c>
      <c r="N523" s="6" t="s">
        <v>1971</v>
      </c>
      <c r="O523" s="6" t="s">
        <v>83</v>
      </c>
      <c r="P523" s="6" t="s">
        <v>272</v>
      </c>
      <c r="Q523" s="6" t="s">
        <v>256</v>
      </c>
      <c r="R523" s="6" t="s">
        <v>256</v>
      </c>
      <c r="S523" s="6" t="s">
        <v>9</v>
      </c>
      <c r="T523" s="6" t="s">
        <v>245</v>
      </c>
      <c r="U523" s="6" t="s">
        <v>131</v>
      </c>
      <c r="V523" s="6" t="s">
        <v>1919</v>
      </c>
      <c r="W523" s="6" t="s">
        <v>83</v>
      </c>
      <c r="X523" s="6" t="s">
        <v>83</v>
      </c>
      <c r="Y523" s="6" t="s">
        <v>83</v>
      </c>
      <c r="Z523" s="6" t="s">
        <v>65</v>
      </c>
      <c r="AA523" s="6" t="s">
        <v>83</v>
      </c>
      <c r="AB523" s="6">
        <v>297</v>
      </c>
      <c r="AC523" s="6">
        <v>0</v>
      </c>
      <c r="AD523" s="6">
        <v>0</v>
      </c>
      <c r="AE523" s="6">
        <v>0</v>
      </c>
      <c r="AF523" s="6">
        <v>0</v>
      </c>
      <c r="AG523" s="6">
        <v>0</v>
      </c>
      <c r="AH523" s="6">
        <v>0</v>
      </c>
      <c r="AI523" s="6" t="s">
        <v>248</v>
      </c>
      <c r="AJ523" s="6" t="s">
        <v>259</v>
      </c>
      <c r="AK523" s="6" t="s">
        <v>16</v>
      </c>
      <c r="AL523" s="6" t="s">
        <v>50</v>
      </c>
      <c r="AM523" s="6" t="s">
        <v>260</v>
      </c>
      <c r="AN523" s="6" t="s">
        <v>20</v>
      </c>
      <c r="AO523" s="6" t="s">
        <v>250</v>
      </c>
      <c r="AP523" s="6" t="s">
        <v>251</v>
      </c>
      <c r="AQ523" s="6" t="s">
        <v>18</v>
      </c>
    </row>
    <row r="524" spans="1:43" x14ac:dyDescent="0.25">
      <c r="A524" s="6">
        <v>22731233</v>
      </c>
      <c r="B524" s="6">
        <v>23528711</v>
      </c>
      <c r="C524" s="6" t="s">
        <v>237</v>
      </c>
      <c r="D524" s="14">
        <v>45881.723113425927</v>
      </c>
      <c r="E524" s="14">
        <v>45881.72552083333</v>
      </c>
      <c r="F524" s="6" t="s">
        <v>17</v>
      </c>
      <c r="G524" s="6" t="s">
        <v>17</v>
      </c>
      <c r="H524" s="6" t="s">
        <v>1972</v>
      </c>
      <c r="I524" s="6" t="s">
        <v>16</v>
      </c>
      <c r="J524" s="6" t="s">
        <v>1973</v>
      </c>
      <c r="K524" s="6" t="s">
        <v>1917</v>
      </c>
      <c r="L524" s="6" t="s">
        <v>1917</v>
      </c>
      <c r="M524" s="14">
        <v>45881.632638888892</v>
      </c>
      <c r="N524" s="6" t="s">
        <v>1974</v>
      </c>
      <c r="O524" s="6" t="s">
        <v>83</v>
      </c>
      <c r="P524" s="6" t="s">
        <v>272</v>
      </c>
      <c r="Q524" s="6" t="s">
        <v>256</v>
      </c>
      <c r="R524" s="6" t="s">
        <v>256</v>
      </c>
      <c r="S524" s="6" t="s">
        <v>9</v>
      </c>
      <c r="T524" s="6" t="s">
        <v>245</v>
      </c>
      <c r="U524" s="6" t="s">
        <v>131</v>
      </c>
      <c r="V524" s="6" t="s">
        <v>1919</v>
      </c>
      <c r="W524" s="6" t="s">
        <v>83</v>
      </c>
      <c r="X524" s="6" t="s">
        <v>1975</v>
      </c>
      <c r="Y524" s="6" t="s">
        <v>83</v>
      </c>
      <c r="Z524" s="6" t="s">
        <v>65</v>
      </c>
      <c r="AA524" s="6" t="s">
        <v>83</v>
      </c>
      <c r="AB524" s="6">
        <v>787.5</v>
      </c>
      <c r="AC524" s="6">
        <v>0</v>
      </c>
      <c r="AD524" s="6">
        <v>0</v>
      </c>
      <c r="AE524" s="6">
        <v>0</v>
      </c>
      <c r="AF524" s="6">
        <v>0</v>
      </c>
      <c r="AG524" s="6">
        <v>0</v>
      </c>
      <c r="AH524" s="6">
        <v>0</v>
      </c>
      <c r="AI524" s="6" t="s">
        <v>248</v>
      </c>
      <c r="AJ524" s="6" t="s">
        <v>377</v>
      </c>
      <c r="AK524" s="6" t="s">
        <v>16</v>
      </c>
      <c r="AL524" s="6" t="s">
        <v>50</v>
      </c>
      <c r="AM524" s="6" t="s">
        <v>260</v>
      </c>
      <c r="AN524" s="6" t="s">
        <v>20</v>
      </c>
      <c r="AO524" s="6" t="s">
        <v>250</v>
      </c>
      <c r="AP524" s="6" t="s">
        <v>251</v>
      </c>
      <c r="AQ524" s="6" t="s">
        <v>18</v>
      </c>
    </row>
    <row r="525" spans="1:43" x14ac:dyDescent="0.25">
      <c r="A525" s="6">
        <v>22731233</v>
      </c>
      <c r="B525" s="6">
        <v>23528712</v>
      </c>
      <c r="C525" s="6" t="s">
        <v>378</v>
      </c>
      <c r="D525" s="14">
        <v>45881.723113425927</v>
      </c>
      <c r="E525" s="14">
        <v>45881.72552083333</v>
      </c>
      <c r="F525" s="6" t="s">
        <v>17</v>
      </c>
      <c r="G525" s="6" t="s">
        <v>17</v>
      </c>
      <c r="H525" s="6" t="s">
        <v>1972</v>
      </c>
      <c r="I525" s="6" t="s">
        <v>16</v>
      </c>
      <c r="J525" s="6" t="s">
        <v>1973</v>
      </c>
      <c r="K525" s="6" t="s">
        <v>1917</v>
      </c>
      <c r="L525" s="6" t="s">
        <v>1917</v>
      </c>
      <c r="M525" s="14">
        <v>45881.632638888892</v>
      </c>
      <c r="N525" s="6" t="s">
        <v>1974</v>
      </c>
      <c r="O525" s="6" t="s">
        <v>83</v>
      </c>
      <c r="P525" s="6" t="s">
        <v>272</v>
      </c>
      <c r="Q525" s="6" t="s">
        <v>256</v>
      </c>
      <c r="R525" s="6" t="s">
        <v>256</v>
      </c>
      <c r="S525" s="6" t="s">
        <v>9</v>
      </c>
      <c r="T525" s="6" t="s">
        <v>245</v>
      </c>
      <c r="U525" s="6" t="s">
        <v>131</v>
      </c>
      <c r="V525" s="6" t="s">
        <v>1919</v>
      </c>
      <c r="W525" s="6" t="s">
        <v>83</v>
      </c>
      <c r="X525" s="6" t="s">
        <v>83</v>
      </c>
      <c r="Y525" s="6" t="s">
        <v>83</v>
      </c>
      <c r="Z525" s="6" t="s">
        <v>65</v>
      </c>
      <c r="AA525" s="6" t="s">
        <v>83</v>
      </c>
      <c r="AB525" s="6">
        <v>140</v>
      </c>
      <c r="AC525" s="6">
        <v>0</v>
      </c>
      <c r="AD525" s="6">
        <v>0</v>
      </c>
      <c r="AE525" s="6">
        <v>0</v>
      </c>
      <c r="AF525" s="6">
        <v>0</v>
      </c>
      <c r="AG525" s="6">
        <v>0</v>
      </c>
      <c r="AH525" s="6">
        <v>0</v>
      </c>
      <c r="AI525" s="6" t="s">
        <v>248</v>
      </c>
      <c r="AJ525" s="6" t="s">
        <v>377</v>
      </c>
      <c r="AK525" s="6" t="s">
        <v>16</v>
      </c>
      <c r="AL525" s="6" t="s">
        <v>50</v>
      </c>
      <c r="AM525" s="6" t="s">
        <v>260</v>
      </c>
      <c r="AN525" s="6" t="s">
        <v>20</v>
      </c>
      <c r="AO525" s="6" t="s">
        <v>250</v>
      </c>
      <c r="AP525" s="6" t="s">
        <v>251</v>
      </c>
      <c r="AQ525" s="6" t="s">
        <v>18</v>
      </c>
    </row>
    <row r="526" spans="1:43" x14ac:dyDescent="0.25">
      <c r="A526" s="6">
        <v>22731233</v>
      </c>
      <c r="B526" s="6">
        <v>23528713</v>
      </c>
      <c r="C526" s="6" t="s">
        <v>426</v>
      </c>
      <c r="D526" s="14">
        <v>45881.723113425927</v>
      </c>
      <c r="E526" s="14">
        <v>45881.72552083333</v>
      </c>
      <c r="F526" s="6" t="s">
        <v>17</v>
      </c>
      <c r="G526" s="6" t="s">
        <v>17</v>
      </c>
      <c r="H526" s="6" t="s">
        <v>1972</v>
      </c>
      <c r="I526" s="6" t="s">
        <v>16</v>
      </c>
      <c r="J526" s="6" t="s">
        <v>1973</v>
      </c>
      <c r="K526" s="6" t="s">
        <v>1917</v>
      </c>
      <c r="L526" s="6" t="s">
        <v>1917</v>
      </c>
      <c r="M526" s="14">
        <v>45881.632638888892</v>
      </c>
      <c r="N526" s="6" t="s">
        <v>1974</v>
      </c>
      <c r="O526" s="6" t="s">
        <v>83</v>
      </c>
      <c r="P526" s="6" t="s">
        <v>272</v>
      </c>
      <c r="Q526" s="6" t="s">
        <v>256</v>
      </c>
      <c r="R526" s="6" t="s">
        <v>256</v>
      </c>
      <c r="S526" s="6" t="s">
        <v>9</v>
      </c>
      <c r="T526" s="6" t="s">
        <v>245</v>
      </c>
      <c r="U526" s="6" t="s">
        <v>131</v>
      </c>
      <c r="V526" s="6" t="s">
        <v>1919</v>
      </c>
      <c r="W526" s="6" t="s">
        <v>83</v>
      </c>
      <c r="X526" s="6" t="s">
        <v>1975</v>
      </c>
      <c r="Y526" s="6" t="s">
        <v>83</v>
      </c>
      <c r="Z526" s="6" t="s">
        <v>65</v>
      </c>
      <c r="AA526" s="6" t="s">
        <v>83</v>
      </c>
      <c r="AB526" s="6">
        <v>525</v>
      </c>
      <c r="AC526" s="6">
        <v>0</v>
      </c>
      <c r="AD526" s="6">
        <v>0</v>
      </c>
      <c r="AE526" s="6">
        <v>0</v>
      </c>
      <c r="AF526" s="6">
        <v>0</v>
      </c>
      <c r="AG526" s="6">
        <v>0</v>
      </c>
      <c r="AH526" s="6">
        <v>0</v>
      </c>
      <c r="AI526" s="6" t="s">
        <v>248</v>
      </c>
      <c r="AJ526" s="6" t="s">
        <v>377</v>
      </c>
      <c r="AK526" s="6" t="s">
        <v>16</v>
      </c>
      <c r="AL526" s="6" t="s">
        <v>50</v>
      </c>
      <c r="AM526" s="6" t="s">
        <v>260</v>
      </c>
      <c r="AN526" s="6" t="s">
        <v>20</v>
      </c>
      <c r="AO526" s="6" t="s">
        <v>250</v>
      </c>
      <c r="AP526" s="6" t="s">
        <v>251</v>
      </c>
      <c r="AQ526" s="6" t="s">
        <v>18</v>
      </c>
    </row>
    <row r="527" spans="1:43" x14ac:dyDescent="0.25">
      <c r="A527" s="6">
        <v>22731234</v>
      </c>
      <c r="B527" s="6">
        <v>23528714</v>
      </c>
      <c r="C527" s="6" t="s">
        <v>237</v>
      </c>
      <c r="D527" s="14">
        <v>45881.723171296297</v>
      </c>
      <c r="E527" s="14">
        <v>45881.725555555553</v>
      </c>
      <c r="F527" s="6" t="s">
        <v>17</v>
      </c>
      <c r="G527" s="6" t="s">
        <v>17</v>
      </c>
      <c r="H527" s="6" t="s">
        <v>1976</v>
      </c>
      <c r="I527" s="6" t="s">
        <v>16</v>
      </c>
      <c r="J527" s="6" t="s">
        <v>1977</v>
      </c>
      <c r="K527" s="6" t="s">
        <v>1917</v>
      </c>
      <c r="L527" s="6" t="s">
        <v>1917</v>
      </c>
      <c r="M527" s="14">
        <v>45880.456250000003</v>
      </c>
      <c r="N527" s="6" t="s">
        <v>1978</v>
      </c>
      <c r="O527" s="6" t="s">
        <v>83</v>
      </c>
      <c r="P527" s="6" t="s">
        <v>272</v>
      </c>
      <c r="Q527" s="6" t="s">
        <v>256</v>
      </c>
      <c r="R527" s="6" t="s">
        <v>256</v>
      </c>
      <c r="S527" s="6" t="s">
        <v>9</v>
      </c>
      <c r="T527" s="6" t="s">
        <v>245</v>
      </c>
      <c r="U527" s="6" t="s">
        <v>131</v>
      </c>
      <c r="V527" s="6" t="s">
        <v>1919</v>
      </c>
      <c r="W527" s="6" t="s">
        <v>83</v>
      </c>
      <c r="X527" s="6" t="s">
        <v>1979</v>
      </c>
      <c r="Y527" s="6" t="s">
        <v>83</v>
      </c>
      <c r="Z527" s="6" t="s">
        <v>65</v>
      </c>
      <c r="AA527" s="6" t="s">
        <v>83</v>
      </c>
      <c r="AB527" s="6">
        <v>440</v>
      </c>
      <c r="AC527" s="6">
        <v>0</v>
      </c>
      <c r="AD527" s="6">
        <v>0</v>
      </c>
      <c r="AE527" s="6">
        <v>0</v>
      </c>
      <c r="AF527" s="6">
        <v>0</v>
      </c>
      <c r="AG527" s="6">
        <v>0</v>
      </c>
      <c r="AH527" s="6">
        <v>0</v>
      </c>
      <c r="AI527" s="6" t="s">
        <v>248</v>
      </c>
      <c r="AJ527" s="6" t="s">
        <v>1940</v>
      </c>
      <c r="AK527" s="6" t="s">
        <v>16</v>
      </c>
      <c r="AL527" s="6" t="s">
        <v>50</v>
      </c>
      <c r="AM527" s="6" t="s">
        <v>260</v>
      </c>
      <c r="AN527" s="6" t="s">
        <v>20</v>
      </c>
      <c r="AO527" s="6" t="s">
        <v>250</v>
      </c>
      <c r="AP527" s="6" t="s">
        <v>251</v>
      </c>
      <c r="AQ527" s="6" t="s">
        <v>18</v>
      </c>
    </row>
    <row r="528" spans="1:43" x14ac:dyDescent="0.25">
      <c r="A528" s="6">
        <v>22731234</v>
      </c>
      <c r="B528" s="6">
        <v>23528715</v>
      </c>
      <c r="C528" s="6" t="s">
        <v>378</v>
      </c>
      <c r="D528" s="14">
        <v>45881.723171296297</v>
      </c>
      <c r="E528" s="14">
        <v>45881.725555555553</v>
      </c>
      <c r="F528" s="6" t="s">
        <v>17</v>
      </c>
      <c r="G528" s="6" t="s">
        <v>17</v>
      </c>
      <c r="H528" s="6" t="s">
        <v>1976</v>
      </c>
      <c r="I528" s="6" t="s">
        <v>16</v>
      </c>
      <c r="J528" s="6" t="s">
        <v>1977</v>
      </c>
      <c r="K528" s="6" t="s">
        <v>1917</v>
      </c>
      <c r="L528" s="6" t="s">
        <v>1917</v>
      </c>
      <c r="M528" s="14">
        <v>45880.456250000003</v>
      </c>
      <c r="N528" s="6" t="s">
        <v>1978</v>
      </c>
      <c r="O528" s="6" t="s">
        <v>83</v>
      </c>
      <c r="P528" s="6" t="s">
        <v>272</v>
      </c>
      <c r="Q528" s="6" t="s">
        <v>256</v>
      </c>
      <c r="R528" s="6" t="s">
        <v>256</v>
      </c>
      <c r="S528" s="6" t="s">
        <v>9</v>
      </c>
      <c r="T528" s="6" t="s">
        <v>245</v>
      </c>
      <c r="U528" s="6" t="s">
        <v>131</v>
      </c>
      <c r="V528" s="6" t="s">
        <v>1919</v>
      </c>
      <c r="W528" s="6" t="s">
        <v>83</v>
      </c>
      <c r="X528" s="6" t="s">
        <v>1980</v>
      </c>
      <c r="Y528" s="6" t="s">
        <v>83</v>
      </c>
      <c r="Z528" s="6" t="s">
        <v>65</v>
      </c>
      <c r="AA528" s="6" t="s">
        <v>83</v>
      </c>
      <c r="AB528" s="6">
        <v>250.95</v>
      </c>
      <c r="AC528" s="6">
        <v>0</v>
      </c>
      <c r="AD528" s="6">
        <v>0</v>
      </c>
      <c r="AE528" s="6">
        <v>0</v>
      </c>
      <c r="AF528" s="6">
        <v>0</v>
      </c>
      <c r="AG528" s="6">
        <v>0</v>
      </c>
      <c r="AH528" s="6">
        <v>0</v>
      </c>
      <c r="AI528" s="6" t="s">
        <v>248</v>
      </c>
      <c r="AJ528" s="6" t="s">
        <v>1940</v>
      </c>
      <c r="AK528" s="6" t="s">
        <v>16</v>
      </c>
      <c r="AL528" s="6" t="s">
        <v>50</v>
      </c>
      <c r="AM528" s="6" t="s">
        <v>260</v>
      </c>
      <c r="AN528" s="6" t="s">
        <v>20</v>
      </c>
      <c r="AO528" s="6" t="s">
        <v>250</v>
      </c>
      <c r="AP528" s="6" t="s">
        <v>251</v>
      </c>
      <c r="AQ528" s="6" t="s">
        <v>18</v>
      </c>
    </row>
    <row r="529" spans="1:43" x14ac:dyDescent="0.25">
      <c r="A529" s="6">
        <v>22731234</v>
      </c>
      <c r="B529" s="6">
        <v>23528716</v>
      </c>
      <c r="C529" s="6" t="s">
        <v>426</v>
      </c>
      <c r="D529" s="14">
        <v>45881.723171296297</v>
      </c>
      <c r="E529" s="14">
        <v>45881.725555555553</v>
      </c>
      <c r="F529" s="6" t="s">
        <v>17</v>
      </c>
      <c r="G529" s="6" t="s">
        <v>17</v>
      </c>
      <c r="H529" s="6" t="s">
        <v>1976</v>
      </c>
      <c r="I529" s="6" t="s">
        <v>16</v>
      </c>
      <c r="J529" s="6" t="s">
        <v>1977</v>
      </c>
      <c r="K529" s="6" t="s">
        <v>1917</v>
      </c>
      <c r="L529" s="6" t="s">
        <v>1917</v>
      </c>
      <c r="M529" s="14">
        <v>45880.456250000003</v>
      </c>
      <c r="N529" s="6" t="s">
        <v>1978</v>
      </c>
      <c r="O529" s="6" t="s">
        <v>83</v>
      </c>
      <c r="P529" s="6" t="s">
        <v>272</v>
      </c>
      <c r="Q529" s="6" t="s">
        <v>256</v>
      </c>
      <c r="R529" s="6" t="s">
        <v>256</v>
      </c>
      <c r="S529" s="6" t="s">
        <v>9</v>
      </c>
      <c r="T529" s="6" t="s">
        <v>245</v>
      </c>
      <c r="U529" s="6" t="s">
        <v>131</v>
      </c>
      <c r="V529" s="6" t="s">
        <v>1919</v>
      </c>
      <c r="W529" s="6" t="s">
        <v>83</v>
      </c>
      <c r="X529" s="6" t="s">
        <v>83</v>
      </c>
      <c r="Y529" s="6" t="s">
        <v>83</v>
      </c>
      <c r="Z529" s="6" t="s">
        <v>65</v>
      </c>
      <c r="AA529" s="6" t="s">
        <v>83</v>
      </c>
      <c r="AB529" s="6">
        <v>495</v>
      </c>
      <c r="AC529" s="6">
        <v>0</v>
      </c>
      <c r="AD529" s="6">
        <v>0</v>
      </c>
      <c r="AE529" s="6">
        <v>0</v>
      </c>
      <c r="AF529" s="6">
        <v>0</v>
      </c>
      <c r="AG529" s="6">
        <v>0</v>
      </c>
      <c r="AH529" s="6">
        <v>0</v>
      </c>
      <c r="AI529" s="6" t="s">
        <v>248</v>
      </c>
      <c r="AJ529" s="6" t="s">
        <v>1940</v>
      </c>
      <c r="AK529" s="6" t="s">
        <v>16</v>
      </c>
      <c r="AL529" s="6" t="s">
        <v>50</v>
      </c>
      <c r="AM529" s="6" t="s">
        <v>260</v>
      </c>
      <c r="AN529" s="6" t="s">
        <v>20</v>
      </c>
      <c r="AO529" s="6" t="s">
        <v>250</v>
      </c>
      <c r="AP529" s="6" t="s">
        <v>251</v>
      </c>
      <c r="AQ529" s="6" t="s">
        <v>18</v>
      </c>
    </row>
    <row r="530" spans="1:43" x14ac:dyDescent="0.25">
      <c r="A530" s="6">
        <v>22731713</v>
      </c>
      <c r="B530" s="6">
        <v>23529169</v>
      </c>
      <c r="C530" s="6" t="s">
        <v>237</v>
      </c>
      <c r="D530" s="14">
        <v>45881.756226851852</v>
      </c>
      <c r="E530" s="14">
        <v>45881.763726851852</v>
      </c>
      <c r="F530" s="6" t="s">
        <v>17</v>
      </c>
      <c r="G530" s="6" t="s">
        <v>17</v>
      </c>
      <c r="H530" s="6" t="s">
        <v>1981</v>
      </c>
      <c r="I530" s="6" t="s">
        <v>16</v>
      </c>
      <c r="J530" s="6" t="s">
        <v>1955</v>
      </c>
      <c r="K530" s="6" t="s">
        <v>1917</v>
      </c>
      <c r="L530" s="6" t="s">
        <v>1917</v>
      </c>
      <c r="M530" s="14">
        <v>45881.661111111112</v>
      </c>
      <c r="N530" s="6" t="s">
        <v>1982</v>
      </c>
      <c r="O530" s="6" t="s">
        <v>83</v>
      </c>
      <c r="P530" s="6" t="s">
        <v>272</v>
      </c>
      <c r="Q530" s="6" t="s">
        <v>256</v>
      </c>
      <c r="R530" s="6" t="s">
        <v>256</v>
      </c>
      <c r="S530" s="6" t="s">
        <v>9</v>
      </c>
      <c r="T530" s="6" t="s">
        <v>245</v>
      </c>
      <c r="U530" s="6" t="s">
        <v>131</v>
      </c>
      <c r="V530" s="6" t="s">
        <v>1919</v>
      </c>
      <c r="W530" s="6" t="s">
        <v>83</v>
      </c>
      <c r="X530" s="6" t="s">
        <v>83</v>
      </c>
      <c r="Y530" s="6" t="s">
        <v>83</v>
      </c>
      <c r="Z530" s="6" t="s">
        <v>65</v>
      </c>
      <c r="AA530" s="6" t="s">
        <v>83</v>
      </c>
      <c r="AB530" s="6">
        <v>199.5</v>
      </c>
      <c r="AC530" s="6">
        <v>0</v>
      </c>
      <c r="AD530" s="6">
        <v>0</v>
      </c>
      <c r="AE530" s="6">
        <v>0</v>
      </c>
      <c r="AF530" s="6">
        <v>0</v>
      </c>
      <c r="AG530" s="6">
        <v>0</v>
      </c>
      <c r="AH530" s="6">
        <v>0</v>
      </c>
      <c r="AI530" s="6" t="s">
        <v>248</v>
      </c>
      <c r="AJ530" s="6" t="s">
        <v>259</v>
      </c>
      <c r="AK530" s="6" t="s">
        <v>16</v>
      </c>
      <c r="AL530" s="6" t="s">
        <v>50</v>
      </c>
      <c r="AM530" s="6" t="s">
        <v>260</v>
      </c>
      <c r="AN530" s="6" t="s">
        <v>20</v>
      </c>
      <c r="AO530" s="6" t="s">
        <v>250</v>
      </c>
      <c r="AP530" s="6" t="s">
        <v>251</v>
      </c>
      <c r="AQ530" s="6" t="s">
        <v>18</v>
      </c>
    </row>
    <row r="531" spans="1:43" x14ac:dyDescent="0.25">
      <c r="A531" s="6">
        <v>22730061</v>
      </c>
      <c r="B531" s="6">
        <v>23527582</v>
      </c>
      <c r="C531" s="6" t="s">
        <v>237</v>
      </c>
      <c r="D531" s="14">
        <v>45881.56627314815</v>
      </c>
      <c r="E531" s="14">
        <v>45881.569155092591</v>
      </c>
      <c r="F531" s="6" t="s">
        <v>17</v>
      </c>
      <c r="G531" s="6" t="s">
        <v>17</v>
      </c>
      <c r="H531" s="6" t="s">
        <v>1983</v>
      </c>
      <c r="I531" s="6" t="s">
        <v>16</v>
      </c>
      <c r="J531" s="6" t="s">
        <v>1984</v>
      </c>
      <c r="K531" s="6" t="s">
        <v>1917</v>
      </c>
      <c r="L531" s="6" t="s">
        <v>1917</v>
      </c>
      <c r="M531" s="14">
        <v>45881.479861111111</v>
      </c>
      <c r="N531" s="6" t="s">
        <v>1985</v>
      </c>
      <c r="O531" s="6" t="s">
        <v>83</v>
      </c>
      <c r="P531" s="6" t="s">
        <v>272</v>
      </c>
      <c r="Q531" s="6" t="s">
        <v>256</v>
      </c>
      <c r="R531" s="6" t="s">
        <v>256</v>
      </c>
      <c r="S531" s="6" t="s">
        <v>9</v>
      </c>
      <c r="T531" s="6" t="s">
        <v>245</v>
      </c>
      <c r="U531" s="6" t="s">
        <v>131</v>
      </c>
      <c r="V531" s="6" t="s">
        <v>1919</v>
      </c>
      <c r="W531" s="6" t="s">
        <v>83</v>
      </c>
      <c r="X531" s="6" t="s">
        <v>83</v>
      </c>
      <c r="Y531" s="6" t="s">
        <v>83</v>
      </c>
      <c r="Z531" s="6" t="s">
        <v>65</v>
      </c>
      <c r="AA531" s="6" t="s">
        <v>83</v>
      </c>
      <c r="AB531" s="6">
        <v>400</v>
      </c>
      <c r="AC531" s="6">
        <v>0</v>
      </c>
      <c r="AD531" s="6">
        <v>0</v>
      </c>
      <c r="AE531" s="6">
        <v>0</v>
      </c>
      <c r="AF531" s="6">
        <v>0</v>
      </c>
      <c r="AG531" s="6">
        <v>0</v>
      </c>
      <c r="AH531" s="6">
        <v>0</v>
      </c>
      <c r="AI531" s="6" t="s">
        <v>248</v>
      </c>
      <c r="AJ531" s="6" t="s">
        <v>259</v>
      </c>
      <c r="AK531" s="6" t="s">
        <v>16</v>
      </c>
      <c r="AL531" s="6" t="s">
        <v>50</v>
      </c>
      <c r="AM531" s="6" t="s">
        <v>260</v>
      </c>
      <c r="AN531" s="6" t="s">
        <v>20</v>
      </c>
      <c r="AO531" s="6" t="s">
        <v>250</v>
      </c>
      <c r="AP531" s="6" t="s">
        <v>251</v>
      </c>
      <c r="AQ531" s="6" t="s">
        <v>18</v>
      </c>
    </row>
    <row r="532" spans="1:43" x14ac:dyDescent="0.25">
      <c r="A532" s="6">
        <v>22729928</v>
      </c>
      <c r="B532" s="6">
        <v>23527461</v>
      </c>
      <c r="C532" s="6" t="s">
        <v>237</v>
      </c>
      <c r="D532" s="14">
        <v>45881.545300925929</v>
      </c>
      <c r="E532" s="14">
        <v>45881.550219907411</v>
      </c>
      <c r="F532" s="6" t="s">
        <v>17</v>
      </c>
      <c r="G532" s="6" t="s">
        <v>17</v>
      </c>
      <c r="H532" s="6" t="s">
        <v>1986</v>
      </c>
      <c r="I532" s="6" t="s">
        <v>16</v>
      </c>
      <c r="J532" s="6" t="s">
        <v>1987</v>
      </c>
      <c r="K532" s="6" t="s">
        <v>1917</v>
      </c>
      <c r="L532" s="6" t="s">
        <v>1917</v>
      </c>
      <c r="M532" s="14">
        <v>45881.456250000003</v>
      </c>
      <c r="N532" s="6" t="s">
        <v>1988</v>
      </c>
      <c r="O532" s="6" t="s">
        <v>83</v>
      </c>
      <c r="P532" s="6" t="s">
        <v>272</v>
      </c>
      <c r="Q532" s="6" t="s">
        <v>256</v>
      </c>
      <c r="R532" s="6" t="s">
        <v>256</v>
      </c>
      <c r="S532" s="6" t="s">
        <v>9</v>
      </c>
      <c r="T532" s="6" t="s">
        <v>245</v>
      </c>
      <c r="U532" s="6" t="s">
        <v>131</v>
      </c>
      <c r="V532" s="6" t="s">
        <v>1919</v>
      </c>
      <c r="W532" s="6" t="s">
        <v>83</v>
      </c>
      <c r="X532" s="6" t="s">
        <v>83</v>
      </c>
      <c r="Y532" s="6" t="s">
        <v>83</v>
      </c>
      <c r="Z532" s="6" t="s">
        <v>65</v>
      </c>
      <c r="AA532" s="6" t="s">
        <v>83</v>
      </c>
      <c r="AB532" s="6">
        <v>1008</v>
      </c>
      <c r="AC532" s="6">
        <v>0</v>
      </c>
      <c r="AD532" s="6">
        <v>0</v>
      </c>
      <c r="AE532" s="6">
        <v>0</v>
      </c>
      <c r="AF532" s="6">
        <v>0</v>
      </c>
      <c r="AG532" s="6">
        <v>0</v>
      </c>
      <c r="AH532" s="6">
        <v>0</v>
      </c>
      <c r="AI532" s="6" t="s">
        <v>248</v>
      </c>
      <c r="AJ532" s="6" t="s">
        <v>259</v>
      </c>
      <c r="AK532" s="6" t="s">
        <v>16</v>
      </c>
      <c r="AL532" s="6" t="s">
        <v>50</v>
      </c>
      <c r="AM532" s="6" t="s">
        <v>260</v>
      </c>
      <c r="AN532" s="6" t="s">
        <v>20</v>
      </c>
      <c r="AO532" s="6" t="s">
        <v>250</v>
      </c>
      <c r="AP532" s="6" t="s">
        <v>251</v>
      </c>
      <c r="AQ532" s="6" t="s">
        <v>18</v>
      </c>
    </row>
    <row r="533" spans="1:43" x14ac:dyDescent="0.25">
      <c r="A533" s="6">
        <v>22728431</v>
      </c>
      <c r="B533" s="6">
        <v>23526016</v>
      </c>
      <c r="C533" s="6" t="s">
        <v>237</v>
      </c>
      <c r="D533" s="14">
        <v>45881.409722222219</v>
      </c>
      <c r="E533" s="14">
        <v>45881.418935185182</v>
      </c>
      <c r="F533" s="6" t="s">
        <v>17</v>
      </c>
      <c r="G533" s="6" t="s">
        <v>17</v>
      </c>
      <c r="H533" s="6" t="s">
        <v>1989</v>
      </c>
      <c r="I533" s="6" t="s">
        <v>16</v>
      </c>
      <c r="J533" s="6" t="s">
        <v>1967</v>
      </c>
      <c r="K533" s="6" t="s">
        <v>1917</v>
      </c>
      <c r="L533" s="6" t="s">
        <v>1917</v>
      </c>
      <c r="M533" s="14">
        <v>45881.318749999999</v>
      </c>
      <c r="N533" s="6" t="s">
        <v>1990</v>
      </c>
      <c r="O533" s="6" t="s">
        <v>83</v>
      </c>
      <c r="P533" s="6" t="s">
        <v>272</v>
      </c>
      <c r="Q533" s="6" t="s">
        <v>256</v>
      </c>
      <c r="R533" s="6" t="s">
        <v>256</v>
      </c>
      <c r="S533" s="6" t="s">
        <v>9</v>
      </c>
      <c r="T533" s="6" t="s">
        <v>245</v>
      </c>
      <c r="U533" s="6" t="s">
        <v>131</v>
      </c>
      <c r="V533" s="6" t="s">
        <v>1919</v>
      </c>
      <c r="W533" s="6" t="s">
        <v>83</v>
      </c>
      <c r="X533" s="6" t="s">
        <v>83</v>
      </c>
      <c r="Y533" s="6" t="s">
        <v>83</v>
      </c>
      <c r="Z533" s="6" t="s">
        <v>65</v>
      </c>
      <c r="AA533" s="6" t="s">
        <v>83</v>
      </c>
      <c r="AB533" s="6">
        <v>914.1</v>
      </c>
      <c r="AC533" s="6">
        <v>0</v>
      </c>
      <c r="AD533" s="6">
        <v>0</v>
      </c>
      <c r="AE533" s="6">
        <v>0</v>
      </c>
      <c r="AF533" s="6">
        <v>0</v>
      </c>
      <c r="AG533" s="6">
        <v>0</v>
      </c>
      <c r="AH533" s="6">
        <v>0</v>
      </c>
      <c r="AI533" s="6" t="s">
        <v>248</v>
      </c>
      <c r="AJ533" s="6" t="s">
        <v>259</v>
      </c>
      <c r="AK533" s="6" t="s">
        <v>16</v>
      </c>
      <c r="AL533" s="6" t="s">
        <v>50</v>
      </c>
      <c r="AM533" s="6" t="s">
        <v>260</v>
      </c>
      <c r="AN533" s="6" t="s">
        <v>20</v>
      </c>
      <c r="AO533" s="6" t="s">
        <v>250</v>
      </c>
      <c r="AP533" s="6" t="s">
        <v>251</v>
      </c>
      <c r="AQ533" s="6" t="s">
        <v>18</v>
      </c>
    </row>
    <row r="534" spans="1:43" x14ac:dyDescent="0.25">
      <c r="A534" s="6">
        <v>22728956</v>
      </c>
      <c r="B534" s="6">
        <v>23526496</v>
      </c>
      <c r="C534" s="6" t="s">
        <v>237</v>
      </c>
      <c r="D534" s="14">
        <v>45881.482858796298</v>
      </c>
      <c r="E534" s="14">
        <v>45881.487650462957</v>
      </c>
      <c r="F534" s="6" t="s">
        <v>17</v>
      </c>
      <c r="G534" s="6" t="s">
        <v>17</v>
      </c>
      <c r="H534" s="6" t="s">
        <v>1991</v>
      </c>
      <c r="I534" s="6" t="s">
        <v>16</v>
      </c>
      <c r="J534" s="6" t="s">
        <v>1992</v>
      </c>
      <c r="K534" s="6" t="s">
        <v>1917</v>
      </c>
      <c r="L534" s="6" t="s">
        <v>1917</v>
      </c>
      <c r="M534" s="14">
        <v>45881.39166666667</v>
      </c>
      <c r="N534" s="6" t="s">
        <v>1993</v>
      </c>
      <c r="O534" s="6" t="s">
        <v>83</v>
      </c>
      <c r="P534" s="6" t="s">
        <v>272</v>
      </c>
      <c r="Q534" s="6" t="s">
        <v>256</v>
      </c>
      <c r="R534" s="6" t="s">
        <v>256</v>
      </c>
      <c r="S534" s="6" t="s">
        <v>9</v>
      </c>
      <c r="T534" s="6" t="s">
        <v>245</v>
      </c>
      <c r="U534" s="6" t="s">
        <v>131</v>
      </c>
      <c r="V534" s="6" t="s">
        <v>1919</v>
      </c>
      <c r="W534" s="6" t="s">
        <v>83</v>
      </c>
      <c r="X534" s="6" t="s">
        <v>83</v>
      </c>
      <c r="Y534" s="6" t="s">
        <v>83</v>
      </c>
      <c r="Z534" s="6" t="s">
        <v>65</v>
      </c>
      <c r="AA534" s="6" t="s">
        <v>83</v>
      </c>
      <c r="AB534" s="6">
        <v>960</v>
      </c>
      <c r="AC534" s="6">
        <v>0</v>
      </c>
      <c r="AD534" s="6">
        <v>0</v>
      </c>
      <c r="AE534" s="6">
        <v>0</v>
      </c>
      <c r="AF534" s="6">
        <v>0</v>
      </c>
      <c r="AG534" s="6">
        <v>0</v>
      </c>
      <c r="AH534" s="6">
        <v>0</v>
      </c>
      <c r="AI534" s="6" t="s">
        <v>248</v>
      </c>
      <c r="AJ534" s="6" t="s">
        <v>259</v>
      </c>
      <c r="AK534" s="6" t="s">
        <v>16</v>
      </c>
      <c r="AL534" s="6" t="s">
        <v>50</v>
      </c>
      <c r="AM534" s="6" t="s">
        <v>260</v>
      </c>
      <c r="AN534" s="6" t="s">
        <v>20</v>
      </c>
      <c r="AO534" s="6" t="s">
        <v>250</v>
      </c>
      <c r="AP534" s="6" t="s">
        <v>251</v>
      </c>
      <c r="AQ534" s="6" t="s">
        <v>18</v>
      </c>
    </row>
    <row r="535" spans="1:43" x14ac:dyDescent="0.25">
      <c r="A535" s="6">
        <v>22725117</v>
      </c>
      <c r="B535" s="6">
        <v>23523343</v>
      </c>
      <c r="C535" s="6" t="s">
        <v>237</v>
      </c>
      <c r="D535" s="14">
        <v>45880.784884259258</v>
      </c>
      <c r="E535" s="14">
        <v>45880.794363425928</v>
      </c>
      <c r="F535" s="6" t="s">
        <v>17</v>
      </c>
      <c r="G535" s="6" t="s">
        <v>17</v>
      </c>
      <c r="H535" s="6" t="s">
        <v>1994</v>
      </c>
      <c r="I535" s="6" t="s">
        <v>16</v>
      </c>
      <c r="J535" s="6" t="s">
        <v>1995</v>
      </c>
      <c r="K535" s="6" t="s">
        <v>279</v>
      </c>
      <c r="L535" s="6" t="s">
        <v>1996</v>
      </c>
      <c r="M535" s="14">
        <v>45880.460416666669</v>
      </c>
      <c r="N535" s="6" t="s">
        <v>1994</v>
      </c>
      <c r="O535" s="6" t="s">
        <v>83</v>
      </c>
      <c r="P535" s="6" t="s">
        <v>242</v>
      </c>
      <c r="Q535" s="6" t="s">
        <v>243</v>
      </c>
      <c r="R535" s="6" t="s">
        <v>244</v>
      </c>
      <c r="S535" s="6" t="s">
        <v>7</v>
      </c>
      <c r="T535" s="6" t="s">
        <v>245</v>
      </c>
      <c r="U535" s="6" t="s">
        <v>184</v>
      </c>
      <c r="V535" s="6" t="s">
        <v>1997</v>
      </c>
      <c r="W535" s="6" t="s">
        <v>83</v>
      </c>
      <c r="X535" s="6" t="s">
        <v>247</v>
      </c>
      <c r="Y535" s="6">
        <v>2952820362</v>
      </c>
      <c r="Z535" s="6" t="s">
        <v>110</v>
      </c>
      <c r="AA535" s="6" t="s">
        <v>83</v>
      </c>
      <c r="AB535" s="6">
        <v>7725.76</v>
      </c>
      <c r="AC535" s="6">
        <v>59.54</v>
      </c>
      <c r="AD535" s="6">
        <v>403.67</v>
      </c>
      <c r="AE535" s="6">
        <v>0</v>
      </c>
      <c r="AF535" s="6">
        <v>59.54</v>
      </c>
      <c r="AG535" s="6">
        <v>0</v>
      </c>
      <c r="AH535" s="6">
        <v>0</v>
      </c>
      <c r="AI535" s="6" t="s">
        <v>248</v>
      </c>
      <c r="AJ535" s="6" t="s">
        <v>369</v>
      </c>
      <c r="AK535" s="6" t="s">
        <v>16</v>
      </c>
      <c r="AL535" s="6" t="s">
        <v>72</v>
      </c>
      <c r="AM535" s="6" t="s">
        <v>74</v>
      </c>
      <c r="AN535" s="6" t="s">
        <v>20</v>
      </c>
      <c r="AO535" s="6" t="s">
        <v>250</v>
      </c>
      <c r="AP535" s="6" t="s">
        <v>251</v>
      </c>
      <c r="AQ535" s="6" t="s">
        <v>33</v>
      </c>
    </row>
    <row r="536" spans="1:43" x14ac:dyDescent="0.25">
      <c r="A536" s="6">
        <v>22731533</v>
      </c>
      <c r="B536" s="6">
        <v>23528997</v>
      </c>
      <c r="C536" s="6" t="s">
        <v>237</v>
      </c>
      <c r="D536" s="14">
        <v>45881.75209490741</v>
      </c>
      <c r="E536" s="14">
        <v>45881.753599537027</v>
      </c>
      <c r="F536" s="6" t="s">
        <v>17</v>
      </c>
      <c r="G536" s="6" t="s">
        <v>17</v>
      </c>
      <c r="H536" s="6" t="s">
        <v>1998</v>
      </c>
      <c r="I536" s="6" t="s">
        <v>16</v>
      </c>
      <c r="J536" s="6" t="s">
        <v>1999</v>
      </c>
      <c r="K536" s="6" t="s">
        <v>359</v>
      </c>
      <c r="L536" s="6" t="s">
        <v>2000</v>
      </c>
      <c r="M536" s="14">
        <v>45881.569444444453</v>
      </c>
      <c r="N536" s="6" t="s">
        <v>2001</v>
      </c>
      <c r="O536" s="6" t="s">
        <v>83</v>
      </c>
      <c r="P536" s="6" t="s">
        <v>272</v>
      </c>
      <c r="Q536" s="6" t="s">
        <v>361</v>
      </c>
      <c r="R536" s="6" t="s">
        <v>339</v>
      </c>
      <c r="S536" s="6" t="s">
        <v>7</v>
      </c>
      <c r="T536" s="6" t="s">
        <v>245</v>
      </c>
      <c r="U536" s="6" t="s">
        <v>2002</v>
      </c>
      <c r="V536" s="6" t="s">
        <v>2003</v>
      </c>
      <c r="W536" s="6" t="s">
        <v>83</v>
      </c>
      <c r="X536" s="6" t="s">
        <v>247</v>
      </c>
      <c r="Y536" s="6">
        <v>2952834986</v>
      </c>
      <c r="Z536" s="6" t="s">
        <v>2004</v>
      </c>
      <c r="AA536" s="6" t="s">
        <v>83</v>
      </c>
      <c r="AB536" s="6">
        <v>0</v>
      </c>
      <c r="AC536" s="6">
        <v>0</v>
      </c>
      <c r="AD536" s="6">
        <v>450</v>
      </c>
      <c r="AE536" s="6">
        <v>0</v>
      </c>
      <c r="AF536" s="6">
        <v>75.010000000000005</v>
      </c>
      <c r="AG536" s="6">
        <v>0</v>
      </c>
      <c r="AH536" s="6">
        <v>0</v>
      </c>
      <c r="AI536" s="6" t="s">
        <v>248</v>
      </c>
      <c r="AJ536" s="6" t="s">
        <v>381</v>
      </c>
      <c r="AK536" s="6" t="s">
        <v>16</v>
      </c>
      <c r="AL536" s="6" t="s">
        <v>55</v>
      </c>
      <c r="AM536" s="6" t="s">
        <v>363</v>
      </c>
      <c r="AN536" s="6" t="s">
        <v>20</v>
      </c>
      <c r="AO536" s="6" t="s">
        <v>250</v>
      </c>
      <c r="AP536" s="6" t="s">
        <v>251</v>
      </c>
      <c r="AQ536" s="6" t="s">
        <v>33</v>
      </c>
    </row>
    <row r="537" spans="1:43" x14ac:dyDescent="0.25">
      <c r="A537" s="6">
        <v>22732502</v>
      </c>
      <c r="B537" s="6">
        <v>23529938</v>
      </c>
      <c r="C537" s="6" t="s">
        <v>237</v>
      </c>
      <c r="D537" s="14">
        <v>45881.785613425927</v>
      </c>
      <c r="E537" s="14">
        <v>45881.787766203714</v>
      </c>
      <c r="F537" s="6" t="s">
        <v>17</v>
      </c>
      <c r="G537" s="6" t="s">
        <v>17</v>
      </c>
      <c r="H537" s="6" t="s">
        <v>2005</v>
      </c>
      <c r="I537" s="6" t="s">
        <v>16</v>
      </c>
      <c r="J537" s="6" t="s">
        <v>1999</v>
      </c>
      <c r="K537" s="6" t="s">
        <v>360</v>
      </c>
      <c r="L537" s="6" t="s">
        <v>360</v>
      </c>
      <c r="M537" s="14">
        <v>45881.484027777777</v>
      </c>
      <c r="N537" s="6" t="s">
        <v>2006</v>
      </c>
      <c r="O537" s="6" t="s">
        <v>83</v>
      </c>
      <c r="P537" s="6" t="s">
        <v>242</v>
      </c>
      <c r="Q537" s="6" t="s">
        <v>243</v>
      </c>
      <c r="R537" s="6" t="s">
        <v>244</v>
      </c>
      <c r="S537" s="6" t="s">
        <v>9</v>
      </c>
      <c r="T537" s="6" t="s">
        <v>245</v>
      </c>
      <c r="U537" s="6" t="s">
        <v>2002</v>
      </c>
      <c r="V537" s="6" t="s">
        <v>2003</v>
      </c>
      <c r="W537" s="6" t="s">
        <v>83</v>
      </c>
      <c r="X537" s="6" t="s">
        <v>83</v>
      </c>
      <c r="Y537" s="6" t="s">
        <v>83</v>
      </c>
      <c r="Z537" s="6" t="s">
        <v>2004</v>
      </c>
      <c r="AA537" s="6" t="s">
        <v>83</v>
      </c>
      <c r="AB537" s="6">
        <v>461</v>
      </c>
      <c r="AC537" s="6">
        <v>0</v>
      </c>
      <c r="AD537" s="6">
        <v>0</v>
      </c>
      <c r="AE537" s="6">
        <v>0</v>
      </c>
      <c r="AF537" s="6">
        <v>0</v>
      </c>
      <c r="AG537" s="6">
        <v>0</v>
      </c>
      <c r="AH537" s="6">
        <v>0</v>
      </c>
      <c r="AI537" s="6" t="s">
        <v>248</v>
      </c>
      <c r="AJ537" s="6" t="s">
        <v>259</v>
      </c>
      <c r="AK537" s="6" t="s">
        <v>16</v>
      </c>
      <c r="AL537" s="6" t="s">
        <v>50</v>
      </c>
      <c r="AM537" s="6" t="s">
        <v>260</v>
      </c>
      <c r="AN537" s="6" t="s">
        <v>20</v>
      </c>
      <c r="AO537" s="6" t="s">
        <v>261</v>
      </c>
      <c r="AP537" s="6" t="s">
        <v>262</v>
      </c>
      <c r="AQ537" s="6" t="s">
        <v>30</v>
      </c>
    </row>
    <row r="538" spans="1:43" x14ac:dyDescent="0.25">
      <c r="A538" s="6">
        <v>22700754</v>
      </c>
      <c r="B538" s="6">
        <v>23502970</v>
      </c>
      <c r="C538" s="6" t="s">
        <v>237</v>
      </c>
      <c r="D538" s="14">
        <v>45876.528564814813</v>
      </c>
      <c r="E538" s="14">
        <v>45876.536898148152</v>
      </c>
      <c r="F538" s="6" t="s">
        <v>21</v>
      </c>
      <c r="G538" s="6" t="s">
        <v>21</v>
      </c>
      <c r="H538" s="6" t="s">
        <v>2007</v>
      </c>
      <c r="I538" s="6" t="s">
        <v>253</v>
      </c>
      <c r="J538" s="6" t="s">
        <v>2008</v>
      </c>
      <c r="K538" s="6" t="s">
        <v>2009</v>
      </c>
      <c r="L538" s="6" t="s">
        <v>2009</v>
      </c>
      <c r="M538" s="14">
        <v>45876.429861111108</v>
      </c>
      <c r="N538" s="6">
        <v>1293</v>
      </c>
      <c r="O538" s="6" t="s">
        <v>83</v>
      </c>
      <c r="P538" s="6" t="s">
        <v>272</v>
      </c>
      <c r="Q538" s="6" t="s">
        <v>256</v>
      </c>
      <c r="R538" s="6" t="s">
        <v>424</v>
      </c>
      <c r="S538" s="6" t="s">
        <v>7</v>
      </c>
      <c r="T538" s="6" t="s">
        <v>245</v>
      </c>
      <c r="U538" s="6" t="s">
        <v>166</v>
      </c>
      <c r="V538" s="6" t="s">
        <v>2010</v>
      </c>
      <c r="W538" s="6" t="s">
        <v>83</v>
      </c>
      <c r="X538" s="6" t="s">
        <v>247</v>
      </c>
      <c r="Y538" s="6">
        <v>2971585096</v>
      </c>
      <c r="Z538" s="6" t="s">
        <v>101</v>
      </c>
      <c r="AA538" s="6" t="s">
        <v>83</v>
      </c>
      <c r="AB538" s="6">
        <v>0</v>
      </c>
      <c r="AC538" s="6">
        <v>30.95</v>
      </c>
      <c r="AD538" s="6">
        <v>0</v>
      </c>
      <c r="AE538" s="6">
        <v>0</v>
      </c>
      <c r="AF538" s="6">
        <v>0</v>
      </c>
      <c r="AG538" s="6">
        <v>0</v>
      </c>
      <c r="AH538" s="6">
        <v>0</v>
      </c>
      <c r="AI538" s="6" t="s">
        <v>2011</v>
      </c>
      <c r="AJ538" s="6" t="s">
        <v>2012</v>
      </c>
      <c r="AK538" s="6" t="s">
        <v>12</v>
      </c>
      <c r="AL538" s="6" t="s">
        <v>51</v>
      </c>
      <c r="AM538" s="6" t="s">
        <v>342</v>
      </c>
      <c r="AN538" s="6" t="s">
        <v>26</v>
      </c>
      <c r="AO538" s="6" t="s">
        <v>250</v>
      </c>
      <c r="AP538" s="6" t="s">
        <v>262</v>
      </c>
      <c r="AQ538" s="6" t="s">
        <v>24</v>
      </c>
    </row>
    <row r="539" spans="1:43" x14ac:dyDescent="0.25">
      <c r="A539" s="6">
        <v>22678475</v>
      </c>
      <c r="B539" s="6">
        <v>23483048</v>
      </c>
      <c r="C539" s="6" t="s">
        <v>237</v>
      </c>
      <c r="D539" s="14">
        <v>45873.518495370372</v>
      </c>
      <c r="E539" s="14">
        <v>45873.540960648148</v>
      </c>
      <c r="F539" s="6" t="s">
        <v>23</v>
      </c>
      <c r="G539" s="6" t="s">
        <v>23</v>
      </c>
      <c r="H539" s="6" t="s">
        <v>2013</v>
      </c>
      <c r="I539" s="6" t="s">
        <v>253</v>
      </c>
      <c r="J539" s="6" t="s">
        <v>2014</v>
      </c>
      <c r="K539" s="6" t="s">
        <v>2015</v>
      </c>
      <c r="L539" s="6" t="s">
        <v>2015</v>
      </c>
      <c r="M539" s="14">
        <v>45873.463194444441</v>
      </c>
      <c r="N539" s="6">
        <v>1136</v>
      </c>
      <c r="O539" s="6" t="s">
        <v>83</v>
      </c>
      <c r="P539" s="6" t="s">
        <v>272</v>
      </c>
      <c r="Q539" s="6" t="s">
        <v>256</v>
      </c>
      <c r="R539" s="6" t="s">
        <v>256</v>
      </c>
      <c r="S539" s="6" t="s">
        <v>9</v>
      </c>
      <c r="T539" s="6" t="s">
        <v>245</v>
      </c>
      <c r="U539" s="6" t="s">
        <v>166</v>
      </c>
      <c r="V539" s="6" t="s">
        <v>2010</v>
      </c>
      <c r="W539" s="6" t="s">
        <v>83</v>
      </c>
      <c r="X539" s="6" t="s">
        <v>83</v>
      </c>
      <c r="Y539" s="6" t="s">
        <v>83</v>
      </c>
      <c r="Z539" s="6" t="s">
        <v>101</v>
      </c>
      <c r="AA539" s="6" t="s">
        <v>83</v>
      </c>
      <c r="AB539" s="6">
        <v>310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2016</v>
      </c>
      <c r="AJ539" s="6" t="s">
        <v>259</v>
      </c>
      <c r="AK539" s="6" t="s">
        <v>12</v>
      </c>
      <c r="AL539" s="6" t="s">
        <v>50</v>
      </c>
      <c r="AM539" s="6" t="s">
        <v>260</v>
      </c>
      <c r="AN539" s="6" t="s">
        <v>20</v>
      </c>
      <c r="AO539" s="6" t="s">
        <v>250</v>
      </c>
      <c r="AP539" s="6" t="s">
        <v>251</v>
      </c>
      <c r="AQ539" s="6" t="s">
        <v>18</v>
      </c>
    </row>
    <row r="540" spans="1:43" x14ac:dyDescent="0.25">
      <c r="A540" s="6">
        <v>22693310</v>
      </c>
      <c r="B540" s="6">
        <v>23496252</v>
      </c>
      <c r="C540" s="6" t="s">
        <v>237</v>
      </c>
      <c r="D540" s="14">
        <v>45875.524062500001</v>
      </c>
      <c r="E540" s="14">
        <v>45875.556134259263</v>
      </c>
      <c r="F540" s="6" t="s">
        <v>21</v>
      </c>
      <c r="G540" s="6" t="s">
        <v>21</v>
      </c>
      <c r="H540" s="6" t="s">
        <v>2017</v>
      </c>
      <c r="I540" s="6" t="s">
        <v>253</v>
      </c>
      <c r="J540" s="6" t="s">
        <v>2014</v>
      </c>
      <c r="K540" s="6" t="s">
        <v>2015</v>
      </c>
      <c r="L540" s="6" t="s">
        <v>2015</v>
      </c>
      <c r="M540" s="14">
        <v>45875.40625</v>
      </c>
      <c r="N540" s="6">
        <v>1251</v>
      </c>
      <c r="O540" s="6" t="s">
        <v>83</v>
      </c>
      <c r="P540" s="6" t="s">
        <v>272</v>
      </c>
      <c r="Q540" s="6" t="s">
        <v>256</v>
      </c>
      <c r="R540" s="6" t="s">
        <v>256</v>
      </c>
      <c r="S540" s="6" t="s">
        <v>9</v>
      </c>
      <c r="T540" s="6" t="s">
        <v>245</v>
      </c>
      <c r="U540" s="6" t="s">
        <v>166</v>
      </c>
      <c r="V540" s="6" t="s">
        <v>2010</v>
      </c>
      <c r="W540" s="6" t="s">
        <v>83</v>
      </c>
      <c r="X540" s="6" t="s">
        <v>83</v>
      </c>
      <c r="Y540" s="6" t="s">
        <v>83</v>
      </c>
      <c r="Z540" s="6" t="s">
        <v>101</v>
      </c>
      <c r="AA540" s="6" t="s">
        <v>83</v>
      </c>
      <c r="AB540" s="6">
        <v>155</v>
      </c>
      <c r="AC540" s="6">
        <v>0</v>
      </c>
      <c r="AD540" s="6">
        <v>0</v>
      </c>
      <c r="AE540" s="6">
        <v>0</v>
      </c>
      <c r="AF540" s="6">
        <v>0</v>
      </c>
      <c r="AG540" s="6">
        <v>0</v>
      </c>
      <c r="AH540" s="6">
        <v>0</v>
      </c>
      <c r="AI540" s="6" t="s">
        <v>2018</v>
      </c>
      <c r="AJ540" s="6" t="s">
        <v>259</v>
      </c>
      <c r="AK540" s="6" t="s">
        <v>12</v>
      </c>
      <c r="AL540" s="6" t="s">
        <v>50</v>
      </c>
      <c r="AM540" s="6" t="s">
        <v>260</v>
      </c>
      <c r="AN540" s="6" t="s">
        <v>20</v>
      </c>
      <c r="AO540" s="6" t="s">
        <v>250</v>
      </c>
      <c r="AP540" s="6" t="s">
        <v>251</v>
      </c>
      <c r="AQ540" s="6" t="s">
        <v>18</v>
      </c>
    </row>
    <row r="541" spans="1:43" x14ac:dyDescent="0.25">
      <c r="A541" s="6">
        <v>22729310</v>
      </c>
      <c r="B541" s="6">
        <v>23526868</v>
      </c>
      <c r="C541" s="6" t="s">
        <v>237</v>
      </c>
      <c r="D541" s="14">
        <v>45881.508194444446</v>
      </c>
      <c r="E541" s="14">
        <v>45882.257187499999</v>
      </c>
      <c r="F541" s="6" t="s">
        <v>17</v>
      </c>
      <c r="G541" s="6" t="s">
        <v>17</v>
      </c>
      <c r="H541" s="6" t="s">
        <v>2019</v>
      </c>
      <c r="I541" s="6" t="s">
        <v>253</v>
      </c>
      <c r="J541" s="6" t="s">
        <v>2020</v>
      </c>
      <c r="K541" s="6" t="s">
        <v>2021</v>
      </c>
      <c r="L541" s="6" t="s">
        <v>2021</v>
      </c>
      <c r="M541" s="14">
        <v>45880.76458333333</v>
      </c>
      <c r="N541" s="6">
        <v>2786</v>
      </c>
      <c r="O541" s="6" t="s">
        <v>83</v>
      </c>
      <c r="P541" s="6" t="s">
        <v>272</v>
      </c>
      <c r="Q541" s="6" t="s">
        <v>243</v>
      </c>
      <c r="R541" s="6" t="s">
        <v>244</v>
      </c>
      <c r="S541" s="6" t="s">
        <v>3</v>
      </c>
      <c r="T541" s="6" t="s">
        <v>245</v>
      </c>
      <c r="U541" s="6" t="s">
        <v>125</v>
      </c>
      <c r="V541" s="6" t="s">
        <v>2022</v>
      </c>
      <c r="W541" s="6" t="s">
        <v>83</v>
      </c>
      <c r="X541" s="6" t="s">
        <v>83</v>
      </c>
      <c r="Y541" s="6" t="s">
        <v>83</v>
      </c>
      <c r="Z541" s="6" t="s">
        <v>61</v>
      </c>
      <c r="AA541" s="6" t="s">
        <v>83</v>
      </c>
      <c r="AB541" s="6">
        <v>167.73</v>
      </c>
      <c r="AC541" s="6">
        <v>9.9499999999999993</v>
      </c>
      <c r="AD541" s="6">
        <v>0</v>
      </c>
      <c r="AE541" s="6">
        <v>0</v>
      </c>
      <c r="AF541" s="6">
        <v>0</v>
      </c>
      <c r="AG541" s="6">
        <v>0</v>
      </c>
      <c r="AH541" s="6">
        <v>0</v>
      </c>
      <c r="AI541" s="6" t="s">
        <v>2023</v>
      </c>
      <c r="AJ541" s="6" t="s">
        <v>259</v>
      </c>
      <c r="AK541" s="6" t="s">
        <v>12</v>
      </c>
      <c r="AL541" s="6" t="s">
        <v>50</v>
      </c>
      <c r="AM541" s="6" t="s">
        <v>260</v>
      </c>
      <c r="AN541" s="6" t="s">
        <v>20</v>
      </c>
      <c r="AO541" s="6" t="s">
        <v>250</v>
      </c>
      <c r="AP541" s="6" t="s">
        <v>251</v>
      </c>
      <c r="AQ541" s="6" t="s">
        <v>18</v>
      </c>
    </row>
    <row r="542" spans="1:43" x14ac:dyDescent="0.25">
      <c r="A542" s="6">
        <v>22729311</v>
      </c>
      <c r="B542" s="6">
        <v>23526869</v>
      </c>
      <c r="C542" s="6" t="s">
        <v>237</v>
      </c>
      <c r="D542" s="14">
        <v>45881.508229166669</v>
      </c>
      <c r="E542" s="14">
        <v>45882.257187499999</v>
      </c>
      <c r="F542" s="6" t="s">
        <v>17</v>
      </c>
      <c r="G542" s="6" t="s">
        <v>17</v>
      </c>
      <c r="H542" s="6" t="s">
        <v>2024</v>
      </c>
      <c r="I542" s="6" t="s">
        <v>253</v>
      </c>
      <c r="J542" s="6" t="s">
        <v>2020</v>
      </c>
      <c r="K542" s="6" t="s">
        <v>2021</v>
      </c>
      <c r="L542" s="6" t="s">
        <v>2021</v>
      </c>
      <c r="M542" s="14">
        <v>45880.770138888889</v>
      </c>
      <c r="N542" s="6">
        <v>2782</v>
      </c>
      <c r="O542" s="6" t="s">
        <v>83</v>
      </c>
      <c r="P542" s="6" t="s">
        <v>272</v>
      </c>
      <c r="Q542" s="6" t="s">
        <v>243</v>
      </c>
      <c r="R542" s="6" t="s">
        <v>244</v>
      </c>
      <c r="S542" s="6" t="s">
        <v>3</v>
      </c>
      <c r="T542" s="6" t="s">
        <v>245</v>
      </c>
      <c r="U542" s="6" t="s">
        <v>125</v>
      </c>
      <c r="V542" s="6" t="s">
        <v>2022</v>
      </c>
      <c r="W542" s="6" t="s">
        <v>83</v>
      </c>
      <c r="X542" s="6" t="s">
        <v>83</v>
      </c>
      <c r="Y542" s="6" t="s">
        <v>83</v>
      </c>
      <c r="Z542" s="6" t="s">
        <v>61</v>
      </c>
      <c r="AA542" s="6" t="s">
        <v>83</v>
      </c>
      <c r="AB542" s="6">
        <v>117.79</v>
      </c>
      <c r="AC542" s="6">
        <v>9.9499999999999993</v>
      </c>
      <c r="AD542" s="6">
        <v>0</v>
      </c>
      <c r="AE542" s="6">
        <v>0</v>
      </c>
      <c r="AF542" s="6">
        <v>0</v>
      </c>
      <c r="AG542" s="6">
        <v>0</v>
      </c>
      <c r="AH542" s="6">
        <v>0</v>
      </c>
      <c r="AI542" s="6" t="s">
        <v>2025</v>
      </c>
      <c r="AJ542" s="6" t="s">
        <v>259</v>
      </c>
      <c r="AK542" s="6" t="s">
        <v>12</v>
      </c>
      <c r="AL542" s="6" t="s">
        <v>50</v>
      </c>
      <c r="AM542" s="6" t="s">
        <v>260</v>
      </c>
      <c r="AN542" s="6" t="s">
        <v>20</v>
      </c>
      <c r="AO542" s="6" t="s">
        <v>250</v>
      </c>
      <c r="AP542" s="6" t="s">
        <v>251</v>
      </c>
      <c r="AQ542" s="6" t="s">
        <v>18</v>
      </c>
    </row>
    <row r="543" spans="1:43" x14ac:dyDescent="0.25">
      <c r="A543" s="6">
        <v>22731742</v>
      </c>
      <c r="B543" s="6">
        <v>23529198</v>
      </c>
      <c r="C543" s="6" t="s">
        <v>237</v>
      </c>
      <c r="D543" s="14">
        <v>45881.757210648153</v>
      </c>
      <c r="E543" s="14">
        <v>45882.257187499999</v>
      </c>
      <c r="F543" s="6" t="s">
        <v>17</v>
      </c>
      <c r="G543" s="6" t="s">
        <v>17</v>
      </c>
      <c r="H543" s="6" t="s">
        <v>2026</v>
      </c>
      <c r="I543" s="6" t="s">
        <v>253</v>
      </c>
      <c r="J543" s="6" t="s">
        <v>2027</v>
      </c>
      <c r="K543" s="6" t="s">
        <v>2021</v>
      </c>
      <c r="L543" s="6" t="s">
        <v>2021</v>
      </c>
      <c r="M543" s="14">
        <v>45881.728472222218</v>
      </c>
      <c r="N543" s="6">
        <v>2920</v>
      </c>
      <c r="O543" s="6" t="s">
        <v>83</v>
      </c>
      <c r="P543" s="6" t="s">
        <v>272</v>
      </c>
      <c r="Q543" s="6" t="s">
        <v>243</v>
      </c>
      <c r="R543" s="6" t="s">
        <v>244</v>
      </c>
      <c r="S543" s="6" t="s">
        <v>3</v>
      </c>
      <c r="T543" s="6" t="s">
        <v>245</v>
      </c>
      <c r="U543" s="6" t="s">
        <v>125</v>
      </c>
      <c r="V543" s="6" t="s">
        <v>2028</v>
      </c>
      <c r="W543" s="6" t="s">
        <v>83</v>
      </c>
      <c r="X543" s="6" t="s">
        <v>83</v>
      </c>
      <c r="Y543" s="6" t="s">
        <v>83</v>
      </c>
      <c r="Z543" s="6" t="s">
        <v>61</v>
      </c>
      <c r="AA543" s="6" t="s">
        <v>83</v>
      </c>
      <c r="AB543" s="6">
        <v>79.23</v>
      </c>
      <c r="AC543" s="6">
        <v>9.9499999999999993</v>
      </c>
      <c r="AD543" s="6">
        <v>0</v>
      </c>
      <c r="AE543" s="6">
        <v>0</v>
      </c>
      <c r="AF543" s="6">
        <v>0</v>
      </c>
      <c r="AG543" s="6">
        <v>0</v>
      </c>
      <c r="AH543" s="6">
        <v>0</v>
      </c>
      <c r="AI543" s="6" t="s">
        <v>2029</v>
      </c>
      <c r="AJ543" s="6" t="s">
        <v>259</v>
      </c>
      <c r="AK543" s="6" t="s">
        <v>12</v>
      </c>
      <c r="AL543" s="6" t="s">
        <v>50</v>
      </c>
      <c r="AM543" s="6" t="s">
        <v>260</v>
      </c>
      <c r="AN543" s="6" t="s">
        <v>20</v>
      </c>
      <c r="AO543" s="6" t="s">
        <v>250</v>
      </c>
      <c r="AP543" s="6" t="s">
        <v>251</v>
      </c>
      <c r="AQ543" s="6" t="s">
        <v>18</v>
      </c>
    </row>
    <row r="544" spans="1:43" x14ac:dyDescent="0.25">
      <c r="A544" s="6">
        <v>22731743</v>
      </c>
      <c r="B544" s="6">
        <v>23529199</v>
      </c>
      <c r="C544" s="6" t="s">
        <v>237</v>
      </c>
      <c r="D544" s="14">
        <v>45881.757210648153</v>
      </c>
      <c r="E544" s="14">
        <v>45882.257199074083</v>
      </c>
      <c r="F544" s="6" t="s">
        <v>17</v>
      </c>
      <c r="G544" s="6" t="s">
        <v>17</v>
      </c>
      <c r="H544" s="6" t="s">
        <v>2030</v>
      </c>
      <c r="I544" s="6" t="s">
        <v>253</v>
      </c>
      <c r="J544" s="6" t="s">
        <v>2027</v>
      </c>
      <c r="K544" s="6" t="s">
        <v>2021</v>
      </c>
      <c r="L544" s="6" t="s">
        <v>2021</v>
      </c>
      <c r="M544" s="14">
        <v>45881.728472222218</v>
      </c>
      <c r="N544" s="6">
        <v>2920</v>
      </c>
      <c r="O544" s="6" t="s">
        <v>83</v>
      </c>
      <c r="P544" s="6" t="s">
        <v>272</v>
      </c>
      <c r="Q544" s="6" t="s">
        <v>243</v>
      </c>
      <c r="R544" s="6" t="s">
        <v>244</v>
      </c>
      <c r="S544" s="6" t="s">
        <v>3</v>
      </c>
      <c r="T544" s="6" t="s">
        <v>245</v>
      </c>
      <c r="U544" s="6" t="s">
        <v>125</v>
      </c>
      <c r="V544" s="6" t="s">
        <v>2028</v>
      </c>
      <c r="W544" s="6" t="s">
        <v>83</v>
      </c>
      <c r="X544" s="6" t="s">
        <v>83</v>
      </c>
      <c r="Y544" s="6" t="s">
        <v>83</v>
      </c>
      <c r="Z544" s="6" t="s">
        <v>61</v>
      </c>
      <c r="AA544" s="6" t="s">
        <v>83</v>
      </c>
      <c r="AB544" s="6">
        <v>84.48</v>
      </c>
      <c r="AC544" s="6">
        <v>9.9499999999999993</v>
      </c>
      <c r="AD544" s="6">
        <v>0</v>
      </c>
      <c r="AE544" s="6">
        <v>0</v>
      </c>
      <c r="AF544" s="6">
        <v>0</v>
      </c>
      <c r="AG544" s="6">
        <v>0</v>
      </c>
      <c r="AH544" s="6">
        <v>0</v>
      </c>
      <c r="AI544" s="6" t="s">
        <v>2029</v>
      </c>
      <c r="AJ544" s="6" t="s">
        <v>259</v>
      </c>
      <c r="AK544" s="6" t="s">
        <v>12</v>
      </c>
      <c r="AL544" s="6" t="s">
        <v>50</v>
      </c>
      <c r="AM544" s="6" t="s">
        <v>260</v>
      </c>
      <c r="AN544" s="6" t="s">
        <v>20</v>
      </c>
      <c r="AO544" s="6" t="s">
        <v>250</v>
      </c>
      <c r="AP544" s="6" t="s">
        <v>251</v>
      </c>
      <c r="AQ544" s="6" t="s">
        <v>18</v>
      </c>
    </row>
    <row r="545" spans="1:43" x14ac:dyDescent="0.25">
      <c r="A545" s="6">
        <v>22733788</v>
      </c>
      <c r="B545" s="6">
        <v>23531081</v>
      </c>
      <c r="C545" s="6" t="s">
        <v>237</v>
      </c>
      <c r="D545" s="14">
        <v>45882.006840277783</v>
      </c>
      <c r="E545" s="14">
        <v>45882.011446759258</v>
      </c>
      <c r="F545" s="6" t="s">
        <v>17</v>
      </c>
      <c r="G545" s="6" t="s">
        <v>17</v>
      </c>
      <c r="H545" s="6" t="s">
        <v>2031</v>
      </c>
      <c r="I545" s="6" t="s">
        <v>253</v>
      </c>
      <c r="J545" s="6" t="s">
        <v>2032</v>
      </c>
      <c r="K545" s="6" t="s">
        <v>2021</v>
      </c>
      <c r="L545" s="6" t="s">
        <v>2021</v>
      </c>
      <c r="M545" s="14">
        <v>45881.831944444442</v>
      </c>
      <c r="N545" s="6">
        <v>2849</v>
      </c>
      <c r="O545" s="6" t="s">
        <v>2033</v>
      </c>
      <c r="P545" s="6" t="s">
        <v>242</v>
      </c>
      <c r="Q545" s="6" t="s">
        <v>243</v>
      </c>
      <c r="R545" s="6" t="s">
        <v>244</v>
      </c>
      <c r="S545" s="6" t="s">
        <v>8</v>
      </c>
      <c r="T545" s="6" t="s">
        <v>245</v>
      </c>
      <c r="U545" s="6" t="s">
        <v>125</v>
      </c>
      <c r="V545" s="6" t="s">
        <v>2028</v>
      </c>
      <c r="W545" s="6" t="s">
        <v>83</v>
      </c>
      <c r="X545" s="6" t="s">
        <v>83</v>
      </c>
      <c r="Y545" s="6" t="s">
        <v>83</v>
      </c>
      <c r="Z545" s="6" t="s">
        <v>61</v>
      </c>
      <c r="AA545" s="6" t="s">
        <v>83</v>
      </c>
      <c r="AB545" s="6">
        <v>371.04480000000001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</v>
      </c>
      <c r="AI545" s="6" t="s">
        <v>2034</v>
      </c>
      <c r="AJ545" s="6" t="s">
        <v>259</v>
      </c>
      <c r="AK545" s="6" t="s">
        <v>12</v>
      </c>
      <c r="AL545" s="6" t="s">
        <v>50</v>
      </c>
      <c r="AM545" s="6" t="s">
        <v>260</v>
      </c>
      <c r="AN545" s="6" t="s">
        <v>20</v>
      </c>
      <c r="AO545" s="6" t="s">
        <v>250</v>
      </c>
      <c r="AP545" s="6" t="s">
        <v>251</v>
      </c>
      <c r="AQ545" s="6" t="s">
        <v>18</v>
      </c>
    </row>
    <row r="546" spans="1:43" x14ac:dyDescent="0.25">
      <c r="A546" s="6">
        <v>22733776</v>
      </c>
      <c r="B546" s="6">
        <v>23531069</v>
      </c>
      <c r="C546" s="6" t="s">
        <v>237</v>
      </c>
      <c r="D546" s="14">
        <v>45882.006423611107</v>
      </c>
      <c r="E546" s="14">
        <v>45882.011250000003</v>
      </c>
      <c r="F546" s="6" t="s">
        <v>17</v>
      </c>
      <c r="G546" s="6" t="s">
        <v>17</v>
      </c>
      <c r="H546" s="6" t="s">
        <v>2035</v>
      </c>
      <c r="I546" s="6" t="s">
        <v>253</v>
      </c>
      <c r="J546" s="6" t="s">
        <v>2036</v>
      </c>
      <c r="K546" s="6" t="s">
        <v>2021</v>
      </c>
      <c r="L546" s="6" t="s">
        <v>2021</v>
      </c>
      <c r="M546" s="14">
        <v>45881.833333333343</v>
      </c>
      <c r="N546" s="6">
        <v>2909</v>
      </c>
      <c r="O546" s="6" t="s">
        <v>2037</v>
      </c>
      <c r="P546" s="6" t="s">
        <v>242</v>
      </c>
      <c r="Q546" s="6" t="s">
        <v>243</v>
      </c>
      <c r="R546" s="6" t="s">
        <v>244</v>
      </c>
      <c r="S546" s="6" t="s">
        <v>8</v>
      </c>
      <c r="T546" s="6" t="s">
        <v>245</v>
      </c>
      <c r="U546" s="6" t="s">
        <v>125</v>
      </c>
      <c r="V546" s="6" t="s">
        <v>2028</v>
      </c>
      <c r="W546" s="6" t="s">
        <v>83</v>
      </c>
      <c r="X546" s="6" t="s">
        <v>83</v>
      </c>
      <c r="Y546" s="6" t="s">
        <v>83</v>
      </c>
      <c r="Z546" s="6" t="s">
        <v>61</v>
      </c>
      <c r="AA546" s="6" t="s">
        <v>83</v>
      </c>
      <c r="AB546" s="6">
        <v>486.25920000000002</v>
      </c>
      <c r="AC546" s="6">
        <v>0</v>
      </c>
      <c r="AD546" s="6">
        <v>0</v>
      </c>
      <c r="AE546" s="6">
        <v>0</v>
      </c>
      <c r="AF546" s="6">
        <v>0</v>
      </c>
      <c r="AG546" s="6">
        <v>0</v>
      </c>
      <c r="AH546" s="6">
        <v>0</v>
      </c>
      <c r="AI546" s="6" t="s">
        <v>2038</v>
      </c>
      <c r="AJ546" s="6" t="s">
        <v>259</v>
      </c>
      <c r="AK546" s="6" t="s">
        <v>12</v>
      </c>
      <c r="AL546" s="6" t="s">
        <v>50</v>
      </c>
      <c r="AM546" s="6" t="s">
        <v>260</v>
      </c>
      <c r="AN546" s="6" t="s">
        <v>20</v>
      </c>
      <c r="AO546" s="6" t="s">
        <v>250</v>
      </c>
      <c r="AP546" s="6" t="s">
        <v>251</v>
      </c>
      <c r="AQ546" s="6" t="s">
        <v>18</v>
      </c>
    </row>
    <row r="547" spans="1:43" x14ac:dyDescent="0.25">
      <c r="A547" s="6">
        <v>22733781</v>
      </c>
      <c r="B547" s="6">
        <v>23531074</v>
      </c>
      <c r="C547" s="6" t="s">
        <v>237</v>
      </c>
      <c r="D547" s="14">
        <v>45882.006597222222</v>
      </c>
      <c r="E547" s="14">
        <v>45882.011354166672</v>
      </c>
      <c r="F547" s="6" t="s">
        <v>17</v>
      </c>
      <c r="G547" s="6" t="s">
        <v>17</v>
      </c>
      <c r="H547" s="6" t="s">
        <v>2039</v>
      </c>
      <c r="I547" s="6" t="s">
        <v>253</v>
      </c>
      <c r="J547" s="6" t="s">
        <v>2040</v>
      </c>
      <c r="K547" s="6" t="s">
        <v>2021</v>
      </c>
      <c r="L547" s="6" t="s">
        <v>2021</v>
      </c>
      <c r="M547" s="14">
        <v>45881.832638888889</v>
      </c>
      <c r="N547" s="6">
        <v>2878</v>
      </c>
      <c r="O547" s="6" t="s">
        <v>1892</v>
      </c>
      <c r="P547" s="6" t="s">
        <v>242</v>
      </c>
      <c r="Q547" s="6" t="s">
        <v>243</v>
      </c>
      <c r="R547" s="6" t="s">
        <v>244</v>
      </c>
      <c r="S547" s="6" t="s">
        <v>8</v>
      </c>
      <c r="T547" s="6" t="s">
        <v>245</v>
      </c>
      <c r="U547" s="6" t="s">
        <v>125</v>
      </c>
      <c r="V547" s="6" t="s">
        <v>2022</v>
      </c>
      <c r="W547" s="6" t="s">
        <v>83</v>
      </c>
      <c r="X547" s="6" t="s">
        <v>83</v>
      </c>
      <c r="Y547" s="6" t="s">
        <v>83</v>
      </c>
      <c r="Z547" s="6" t="s">
        <v>61</v>
      </c>
      <c r="AA547" s="6" t="s">
        <v>83</v>
      </c>
      <c r="AB547" s="6">
        <v>367.88639999999998</v>
      </c>
      <c r="AC547" s="6">
        <v>0</v>
      </c>
      <c r="AD547" s="6">
        <v>0</v>
      </c>
      <c r="AE547" s="6">
        <v>0</v>
      </c>
      <c r="AF547" s="6">
        <v>0</v>
      </c>
      <c r="AG547" s="6">
        <v>0</v>
      </c>
      <c r="AH547" s="6">
        <v>0</v>
      </c>
      <c r="AI547" s="6" t="s">
        <v>2041</v>
      </c>
      <c r="AJ547" s="6" t="s">
        <v>259</v>
      </c>
      <c r="AK547" s="6" t="s">
        <v>12</v>
      </c>
      <c r="AL547" s="6" t="s">
        <v>50</v>
      </c>
      <c r="AM547" s="6" t="s">
        <v>260</v>
      </c>
      <c r="AN547" s="6" t="s">
        <v>20</v>
      </c>
      <c r="AO547" s="6" t="s">
        <v>250</v>
      </c>
      <c r="AP547" s="6" t="s">
        <v>251</v>
      </c>
      <c r="AQ547" s="6" t="s">
        <v>18</v>
      </c>
    </row>
    <row r="548" spans="1:43" x14ac:dyDescent="0.25">
      <c r="A548" s="6">
        <v>22733782</v>
      </c>
      <c r="B548" s="6">
        <v>23531075</v>
      </c>
      <c r="C548" s="6" t="s">
        <v>237</v>
      </c>
      <c r="D548" s="14">
        <v>45882.006631944438</v>
      </c>
      <c r="E548" s="14">
        <v>45882.011354166672</v>
      </c>
      <c r="F548" s="6" t="s">
        <v>17</v>
      </c>
      <c r="G548" s="6" t="s">
        <v>17</v>
      </c>
      <c r="H548" s="6" t="s">
        <v>2042</v>
      </c>
      <c r="I548" s="6" t="s">
        <v>253</v>
      </c>
      <c r="J548" s="6" t="s">
        <v>2040</v>
      </c>
      <c r="K548" s="6" t="s">
        <v>2021</v>
      </c>
      <c r="L548" s="6" t="s">
        <v>2021</v>
      </c>
      <c r="M548" s="14">
        <v>45881.832638888889</v>
      </c>
      <c r="N548" s="6">
        <v>2877</v>
      </c>
      <c r="O548" s="6" t="s">
        <v>1892</v>
      </c>
      <c r="P548" s="6" t="s">
        <v>242</v>
      </c>
      <c r="Q548" s="6" t="s">
        <v>243</v>
      </c>
      <c r="R548" s="6" t="s">
        <v>244</v>
      </c>
      <c r="S548" s="6" t="s">
        <v>8</v>
      </c>
      <c r="T548" s="6" t="s">
        <v>245</v>
      </c>
      <c r="U548" s="6" t="s">
        <v>125</v>
      </c>
      <c r="V548" s="6" t="s">
        <v>2022</v>
      </c>
      <c r="W548" s="6" t="s">
        <v>83</v>
      </c>
      <c r="X548" s="6" t="s">
        <v>83</v>
      </c>
      <c r="Y548" s="6" t="s">
        <v>83</v>
      </c>
      <c r="Z548" s="6" t="s">
        <v>61</v>
      </c>
      <c r="AA548" s="6" t="s">
        <v>83</v>
      </c>
      <c r="AB548" s="6">
        <v>367.88639999999998</v>
      </c>
      <c r="AC548" s="6">
        <v>0</v>
      </c>
      <c r="AD548" s="6">
        <v>0</v>
      </c>
      <c r="AE548" s="6">
        <v>0</v>
      </c>
      <c r="AF548" s="6">
        <v>0</v>
      </c>
      <c r="AG548" s="6">
        <v>0</v>
      </c>
      <c r="AH548" s="6">
        <v>0</v>
      </c>
      <c r="AI548" s="6" t="s">
        <v>2043</v>
      </c>
      <c r="AJ548" s="6" t="s">
        <v>259</v>
      </c>
      <c r="AK548" s="6" t="s">
        <v>12</v>
      </c>
      <c r="AL548" s="6" t="s">
        <v>50</v>
      </c>
      <c r="AM548" s="6" t="s">
        <v>260</v>
      </c>
      <c r="AN548" s="6" t="s">
        <v>20</v>
      </c>
      <c r="AO548" s="6" t="s">
        <v>250</v>
      </c>
      <c r="AP548" s="6" t="s">
        <v>251</v>
      </c>
      <c r="AQ548" s="6" t="s">
        <v>18</v>
      </c>
    </row>
    <row r="549" spans="1:43" x14ac:dyDescent="0.25">
      <c r="A549" s="6">
        <v>22729308</v>
      </c>
      <c r="B549" s="6">
        <v>23526866</v>
      </c>
      <c r="C549" s="6" t="s">
        <v>237</v>
      </c>
      <c r="D549" s="14">
        <v>45881.5080787037</v>
      </c>
      <c r="E549" s="14">
        <v>45881.528611111113</v>
      </c>
      <c r="F549" s="6" t="s">
        <v>17</v>
      </c>
      <c r="G549" s="6" t="s">
        <v>17</v>
      </c>
      <c r="H549" s="6" t="s">
        <v>2044</v>
      </c>
      <c r="I549" s="6" t="s">
        <v>253</v>
      </c>
      <c r="J549" s="6" t="s">
        <v>2045</v>
      </c>
      <c r="K549" s="6" t="s">
        <v>255</v>
      </c>
      <c r="L549" s="6" t="s">
        <v>255</v>
      </c>
      <c r="M549" s="14">
        <v>45881.430555555547</v>
      </c>
      <c r="N549" s="6">
        <v>2857</v>
      </c>
      <c r="O549" s="6" t="s">
        <v>2046</v>
      </c>
      <c r="P549" s="6" t="s">
        <v>242</v>
      </c>
      <c r="Q549" s="6" t="s">
        <v>243</v>
      </c>
      <c r="R549" s="6" t="s">
        <v>244</v>
      </c>
      <c r="S549" s="6" t="s">
        <v>8</v>
      </c>
      <c r="T549" s="6" t="s">
        <v>245</v>
      </c>
      <c r="U549" s="6" t="s">
        <v>125</v>
      </c>
      <c r="V549" s="6" t="s">
        <v>2028</v>
      </c>
      <c r="W549" s="6" t="s">
        <v>83</v>
      </c>
      <c r="X549" s="6" t="s">
        <v>83</v>
      </c>
      <c r="Y549" s="6" t="s">
        <v>83</v>
      </c>
      <c r="Z549" s="6" t="s">
        <v>61</v>
      </c>
      <c r="AA549" s="6" t="s">
        <v>83</v>
      </c>
      <c r="AB549" s="6">
        <v>344.2208</v>
      </c>
      <c r="AC549" s="6">
        <v>0</v>
      </c>
      <c r="AD549" s="6">
        <v>0</v>
      </c>
      <c r="AE549" s="6">
        <v>0</v>
      </c>
      <c r="AF549" s="6">
        <v>0</v>
      </c>
      <c r="AG549" s="6">
        <v>0</v>
      </c>
      <c r="AH549" s="6">
        <v>0</v>
      </c>
      <c r="AI549" s="6" t="s">
        <v>2047</v>
      </c>
      <c r="AJ549" s="6" t="s">
        <v>259</v>
      </c>
      <c r="AK549" s="6" t="s">
        <v>12</v>
      </c>
      <c r="AL549" s="6" t="s">
        <v>50</v>
      </c>
      <c r="AM549" s="6" t="s">
        <v>260</v>
      </c>
      <c r="AN549" s="6" t="s">
        <v>20</v>
      </c>
      <c r="AO549" s="6" t="s">
        <v>250</v>
      </c>
      <c r="AP549" s="6" t="s">
        <v>251</v>
      </c>
      <c r="AQ549" s="6" t="s">
        <v>18</v>
      </c>
    </row>
    <row r="550" spans="1:43" x14ac:dyDescent="0.25">
      <c r="A550" s="6">
        <v>22692949</v>
      </c>
      <c r="B550" s="6">
        <v>23495893</v>
      </c>
      <c r="C550" s="6" t="s">
        <v>237</v>
      </c>
      <c r="D550" s="14">
        <v>45875.507349537038</v>
      </c>
      <c r="E550" s="14">
        <v>45875.52202546296</v>
      </c>
      <c r="F550" s="6" t="s">
        <v>21</v>
      </c>
      <c r="G550" s="6" t="s">
        <v>21</v>
      </c>
      <c r="H550" s="6" t="s">
        <v>2048</v>
      </c>
      <c r="I550" s="6" t="s">
        <v>253</v>
      </c>
      <c r="J550" s="6" t="s">
        <v>2049</v>
      </c>
      <c r="K550" s="6" t="s">
        <v>1787</v>
      </c>
      <c r="L550" s="6" t="s">
        <v>1787</v>
      </c>
      <c r="M550" s="14">
        <v>45875.370138888888</v>
      </c>
      <c r="N550" s="6">
        <v>2186</v>
      </c>
      <c r="O550" s="6" t="s">
        <v>83</v>
      </c>
      <c r="P550" s="6" t="s">
        <v>272</v>
      </c>
      <c r="Q550" s="6" t="s">
        <v>243</v>
      </c>
      <c r="R550" s="6" t="s">
        <v>244</v>
      </c>
      <c r="S550" s="6" t="s">
        <v>3</v>
      </c>
      <c r="T550" s="6" t="s">
        <v>245</v>
      </c>
      <c r="U550" s="6" t="s">
        <v>125</v>
      </c>
      <c r="V550" s="6" t="s">
        <v>2028</v>
      </c>
      <c r="W550" s="6" t="s">
        <v>83</v>
      </c>
      <c r="X550" s="6" t="s">
        <v>83</v>
      </c>
      <c r="Y550" s="6" t="s">
        <v>83</v>
      </c>
      <c r="Z550" s="6" t="s">
        <v>61</v>
      </c>
      <c r="AA550" s="6" t="s">
        <v>83</v>
      </c>
      <c r="AB550" s="6">
        <v>345.87</v>
      </c>
      <c r="AC550" s="6">
        <v>0</v>
      </c>
      <c r="AD550" s="6">
        <v>0</v>
      </c>
      <c r="AE550" s="6">
        <v>0</v>
      </c>
      <c r="AF550" s="6">
        <v>0</v>
      </c>
      <c r="AG550" s="6">
        <v>0</v>
      </c>
      <c r="AH550" s="6">
        <v>0</v>
      </c>
      <c r="AI550" s="6" t="s">
        <v>2050</v>
      </c>
      <c r="AJ550" s="6" t="s">
        <v>259</v>
      </c>
      <c r="AK550" s="6" t="s">
        <v>12</v>
      </c>
      <c r="AL550" s="6" t="s">
        <v>50</v>
      </c>
      <c r="AM550" s="6" t="s">
        <v>260</v>
      </c>
      <c r="AN550" s="6" t="s">
        <v>20</v>
      </c>
      <c r="AO550" s="6" t="s">
        <v>250</v>
      </c>
      <c r="AP550" s="6" t="s">
        <v>251</v>
      </c>
      <c r="AQ550" s="6" t="s">
        <v>18</v>
      </c>
    </row>
    <row r="551" spans="1:43" x14ac:dyDescent="0.25">
      <c r="A551" s="6">
        <v>22692950</v>
      </c>
      <c r="B551" s="6">
        <v>23495894</v>
      </c>
      <c r="C551" s="6" t="s">
        <v>237</v>
      </c>
      <c r="D551" s="14">
        <v>45875.507349537038</v>
      </c>
      <c r="E551" s="14">
        <v>45875.522037037037</v>
      </c>
      <c r="F551" s="6" t="s">
        <v>21</v>
      </c>
      <c r="G551" s="6" t="s">
        <v>21</v>
      </c>
      <c r="H551" s="6" t="s">
        <v>2051</v>
      </c>
      <c r="I551" s="6" t="s">
        <v>253</v>
      </c>
      <c r="J551" s="6" t="s">
        <v>2049</v>
      </c>
      <c r="K551" s="6" t="s">
        <v>1787</v>
      </c>
      <c r="L551" s="6" t="s">
        <v>1787</v>
      </c>
      <c r="M551" s="14">
        <v>45875.370138888888</v>
      </c>
      <c r="N551" s="6">
        <v>2186</v>
      </c>
      <c r="O551" s="6" t="s">
        <v>83</v>
      </c>
      <c r="P551" s="6" t="s">
        <v>272</v>
      </c>
      <c r="Q551" s="6" t="s">
        <v>243</v>
      </c>
      <c r="R551" s="6" t="s">
        <v>244</v>
      </c>
      <c r="S551" s="6" t="s">
        <v>3</v>
      </c>
      <c r="T551" s="6" t="s">
        <v>245</v>
      </c>
      <c r="U551" s="6" t="s">
        <v>125</v>
      </c>
      <c r="V551" s="6" t="s">
        <v>2028</v>
      </c>
      <c r="W551" s="6" t="s">
        <v>83</v>
      </c>
      <c r="X551" s="6" t="s">
        <v>83</v>
      </c>
      <c r="Y551" s="6" t="s">
        <v>83</v>
      </c>
      <c r="Z551" s="6" t="s">
        <v>61</v>
      </c>
      <c r="AA551" s="6" t="s">
        <v>83</v>
      </c>
      <c r="AB551" s="6">
        <v>249.8</v>
      </c>
      <c r="AC551" s="6">
        <v>0</v>
      </c>
      <c r="AD551" s="6">
        <v>0</v>
      </c>
      <c r="AE551" s="6">
        <v>0</v>
      </c>
      <c r="AF551" s="6">
        <v>0</v>
      </c>
      <c r="AG551" s="6">
        <v>0</v>
      </c>
      <c r="AH551" s="6">
        <v>0</v>
      </c>
      <c r="AI551" s="6" t="s">
        <v>2050</v>
      </c>
      <c r="AJ551" s="6" t="s">
        <v>259</v>
      </c>
      <c r="AK551" s="6" t="s">
        <v>12</v>
      </c>
      <c r="AL551" s="6" t="s">
        <v>50</v>
      </c>
      <c r="AM551" s="6" t="s">
        <v>260</v>
      </c>
      <c r="AN551" s="6" t="s">
        <v>20</v>
      </c>
      <c r="AO551" s="6" t="s">
        <v>250</v>
      </c>
      <c r="AP551" s="6" t="s">
        <v>251</v>
      </c>
      <c r="AQ551" s="6" t="s">
        <v>18</v>
      </c>
    </row>
    <row r="552" spans="1:43" x14ac:dyDescent="0.25">
      <c r="A552" s="6">
        <v>22692951</v>
      </c>
      <c r="B552" s="6">
        <v>23495895</v>
      </c>
      <c r="C552" s="6" t="s">
        <v>237</v>
      </c>
      <c r="D552" s="14">
        <v>45875.507349537038</v>
      </c>
      <c r="E552" s="14">
        <v>45875.522048611107</v>
      </c>
      <c r="F552" s="6" t="s">
        <v>21</v>
      </c>
      <c r="G552" s="6" t="s">
        <v>21</v>
      </c>
      <c r="H552" s="6" t="s">
        <v>2052</v>
      </c>
      <c r="I552" s="6" t="s">
        <v>253</v>
      </c>
      <c r="J552" s="6" t="s">
        <v>2049</v>
      </c>
      <c r="K552" s="6" t="s">
        <v>1787</v>
      </c>
      <c r="L552" s="6" t="s">
        <v>1787</v>
      </c>
      <c r="M552" s="14">
        <v>45875.370138888888</v>
      </c>
      <c r="N552" s="6">
        <v>2186</v>
      </c>
      <c r="O552" s="6" t="s">
        <v>83</v>
      </c>
      <c r="P552" s="6" t="s">
        <v>272</v>
      </c>
      <c r="Q552" s="6" t="s">
        <v>243</v>
      </c>
      <c r="R552" s="6" t="s">
        <v>244</v>
      </c>
      <c r="S552" s="6" t="s">
        <v>3</v>
      </c>
      <c r="T552" s="6" t="s">
        <v>245</v>
      </c>
      <c r="U552" s="6" t="s">
        <v>125</v>
      </c>
      <c r="V552" s="6" t="s">
        <v>2028</v>
      </c>
      <c r="W552" s="6" t="s">
        <v>83</v>
      </c>
      <c r="X552" s="6" t="s">
        <v>83</v>
      </c>
      <c r="Y552" s="6" t="s">
        <v>83</v>
      </c>
      <c r="Z552" s="6" t="s">
        <v>61</v>
      </c>
      <c r="AA552" s="6" t="s">
        <v>83</v>
      </c>
      <c r="AB552" s="6">
        <v>345.87</v>
      </c>
      <c r="AC552" s="6">
        <v>0</v>
      </c>
      <c r="AD552" s="6">
        <v>0</v>
      </c>
      <c r="AE552" s="6">
        <v>0</v>
      </c>
      <c r="AF552" s="6">
        <v>0</v>
      </c>
      <c r="AG552" s="6">
        <v>0</v>
      </c>
      <c r="AH552" s="6">
        <v>0</v>
      </c>
      <c r="AI552" s="6" t="s">
        <v>2050</v>
      </c>
      <c r="AJ552" s="6" t="s">
        <v>259</v>
      </c>
      <c r="AK552" s="6" t="s">
        <v>12</v>
      </c>
      <c r="AL552" s="6" t="s">
        <v>50</v>
      </c>
      <c r="AM552" s="6" t="s">
        <v>260</v>
      </c>
      <c r="AN552" s="6" t="s">
        <v>20</v>
      </c>
      <c r="AO552" s="6" t="s">
        <v>250</v>
      </c>
      <c r="AP552" s="6" t="s">
        <v>251</v>
      </c>
      <c r="AQ552" s="6" t="s">
        <v>18</v>
      </c>
    </row>
    <row r="553" spans="1:43" x14ac:dyDescent="0.25">
      <c r="A553" s="6">
        <v>22692952</v>
      </c>
      <c r="B553" s="6">
        <v>23495896</v>
      </c>
      <c r="C553" s="6" t="s">
        <v>237</v>
      </c>
      <c r="D553" s="14">
        <v>45875.507395833331</v>
      </c>
      <c r="E553" s="14">
        <v>45875.522048611107</v>
      </c>
      <c r="F553" s="6" t="s">
        <v>21</v>
      </c>
      <c r="G553" s="6" t="s">
        <v>21</v>
      </c>
      <c r="H553" s="6" t="s">
        <v>2053</v>
      </c>
      <c r="I553" s="6" t="s">
        <v>253</v>
      </c>
      <c r="J553" s="6" t="s">
        <v>2054</v>
      </c>
      <c r="K553" s="6" t="s">
        <v>1787</v>
      </c>
      <c r="L553" s="6" t="s">
        <v>1787</v>
      </c>
      <c r="M553" s="14">
        <v>45875.368750000001</v>
      </c>
      <c r="N553" s="6">
        <v>2179</v>
      </c>
      <c r="O553" s="6" t="s">
        <v>83</v>
      </c>
      <c r="P553" s="6" t="s">
        <v>272</v>
      </c>
      <c r="Q553" s="6" t="s">
        <v>243</v>
      </c>
      <c r="R553" s="6" t="s">
        <v>244</v>
      </c>
      <c r="S553" s="6" t="s">
        <v>3</v>
      </c>
      <c r="T553" s="6" t="s">
        <v>245</v>
      </c>
      <c r="U553" s="6" t="s">
        <v>125</v>
      </c>
      <c r="V553" s="6" t="s">
        <v>2028</v>
      </c>
      <c r="W553" s="6" t="s">
        <v>83</v>
      </c>
      <c r="X553" s="6" t="s">
        <v>83</v>
      </c>
      <c r="Y553" s="6" t="s">
        <v>83</v>
      </c>
      <c r="Z553" s="6" t="s">
        <v>61</v>
      </c>
      <c r="AA553" s="6" t="s">
        <v>83</v>
      </c>
      <c r="AB553" s="6">
        <v>345.87</v>
      </c>
      <c r="AC553" s="6">
        <v>0</v>
      </c>
      <c r="AD553" s="6">
        <v>0</v>
      </c>
      <c r="AE553" s="6">
        <v>0</v>
      </c>
      <c r="AF553" s="6">
        <v>0</v>
      </c>
      <c r="AG553" s="6">
        <v>0</v>
      </c>
      <c r="AH553" s="6">
        <v>0</v>
      </c>
      <c r="AI553" s="6" t="s">
        <v>2055</v>
      </c>
      <c r="AJ553" s="6" t="s">
        <v>259</v>
      </c>
      <c r="AK553" s="6" t="s">
        <v>12</v>
      </c>
      <c r="AL553" s="6" t="s">
        <v>50</v>
      </c>
      <c r="AM553" s="6" t="s">
        <v>260</v>
      </c>
      <c r="AN553" s="6" t="s">
        <v>20</v>
      </c>
      <c r="AO553" s="6" t="s">
        <v>250</v>
      </c>
      <c r="AP553" s="6" t="s">
        <v>251</v>
      </c>
      <c r="AQ553" s="6" t="s">
        <v>18</v>
      </c>
    </row>
    <row r="554" spans="1:43" x14ac:dyDescent="0.25">
      <c r="A554" s="6">
        <v>22692953</v>
      </c>
      <c r="B554" s="6">
        <v>23495897</v>
      </c>
      <c r="C554" s="6" t="s">
        <v>237</v>
      </c>
      <c r="D554" s="14">
        <v>45875.507407407407</v>
      </c>
      <c r="E554" s="14">
        <v>45875.522060185183</v>
      </c>
      <c r="F554" s="6" t="s">
        <v>21</v>
      </c>
      <c r="G554" s="6" t="s">
        <v>21</v>
      </c>
      <c r="H554" s="6" t="s">
        <v>2056</v>
      </c>
      <c r="I554" s="6" t="s">
        <v>253</v>
      </c>
      <c r="J554" s="6" t="s">
        <v>2054</v>
      </c>
      <c r="K554" s="6" t="s">
        <v>1787</v>
      </c>
      <c r="L554" s="6" t="s">
        <v>1787</v>
      </c>
      <c r="M554" s="14">
        <v>45875.368750000001</v>
      </c>
      <c r="N554" s="6">
        <v>2179</v>
      </c>
      <c r="O554" s="6" t="s">
        <v>83</v>
      </c>
      <c r="P554" s="6" t="s">
        <v>272</v>
      </c>
      <c r="Q554" s="6" t="s">
        <v>243</v>
      </c>
      <c r="R554" s="6" t="s">
        <v>244</v>
      </c>
      <c r="S554" s="6" t="s">
        <v>3</v>
      </c>
      <c r="T554" s="6" t="s">
        <v>245</v>
      </c>
      <c r="U554" s="6" t="s">
        <v>125</v>
      </c>
      <c r="V554" s="6" t="s">
        <v>2028</v>
      </c>
      <c r="W554" s="6" t="s">
        <v>83</v>
      </c>
      <c r="X554" s="6" t="s">
        <v>83</v>
      </c>
      <c r="Y554" s="6" t="s">
        <v>83</v>
      </c>
      <c r="Z554" s="6" t="s">
        <v>61</v>
      </c>
      <c r="AA554" s="6" t="s">
        <v>83</v>
      </c>
      <c r="AB554" s="6">
        <v>249.8</v>
      </c>
      <c r="AC554" s="6">
        <v>0</v>
      </c>
      <c r="AD554" s="6">
        <v>0</v>
      </c>
      <c r="AE554" s="6">
        <v>0</v>
      </c>
      <c r="AF554" s="6">
        <v>0</v>
      </c>
      <c r="AG554" s="6">
        <v>0</v>
      </c>
      <c r="AH554" s="6">
        <v>0</v>
      </c>
      <c r="AI554" s="6" t="s">
        <v>2055</v>
      </c>
      <c r="AJ554" s="6" t="s">
        <v>259</v>
      </c>
      <c r="AK554" s="6" t="s">
        <v>12</v>
      </c>
      <c r="AL554" s="6" t="s">
        <v>50</v>
      </c>
      <c r="AM554" s="6" t="s">
        <v>260</v>
      </c>
      <c r="AN554" s="6" t="s">
        <v>20</v>
      </c>
      <c r="AO554" s="6" t="s">
        <v>250</v>
      </c>
      <c r="AP554" s="6" t="s">
        <v>251</v>
      </c>
      <c r="AQ554" s="6" t="s">
        <v>18</v>
      </c>
    </row>
    <row r="555" spans="1:43" x14ac:dyDescent="0.25">
      <c r="A555" s="6">
        <v>22733785</v>
      </c>
      <c r="B555" s="6">
        <v>23531078</v>
      </c>
      <c r="C555" s="6" t="s">
        <v>237</v>
      </c>
      <c r="D555" s="14">
        <v>45882.006724537037</v>
      </c>
      <c r="E555" s="14">
        <v>45882.011400462958</v>
      </c>
      <c r="F555" s="6" t="s">
        <v>17</v>
      </c>
      <c r="G555" s="6" t="s">
        <v>17</v>
      </c>
      <c r="H555" s="6" t="s">
        <v>2057</v>
      </c>
      <c r="I555" s="6" t="s">
        <v>253</v>
      </c>
      <c r="J555" s="6" t="s">
        <v>2058</v>
      </c>
      <c r="K555" s="6" t="s">
        <v>255</v>
      </c>
      <c r="L555" s="6" t="s">
        <v>255</v>
      </c>
      <c r="M555" s="14">
        <v>45881.832638888889</v>
      </c>
      <c r="N555" s="6">
        <v>2861</v>
      </c>
      <c r="O555" s="6" t="s">
        <v>1892</v>
      </c>
      <c r="P555" s="6" t="s">
        <v>242</v>
      </c>
      <c r="Q555" s="6" t="s">
        <v>243</v>
      </c>
      <c r="R555" s="6" t="s">
        <v>244</v>
      </c>
      <c r="S555" s="6" t="s">
        <v>8</v>
      </c>
      <c r="T555" s="6" t="s">
        <v>245</v>
      </c>
      <c r="U555" s="6" t="s">
        <v>125</v>
      </c>
      <c r="V555" s="6" t="s">
        <v>2028</v>
      </c>
      <c r="W555" s="6" t="s">
        <v>83</v>
      </c>
      <c r="X555" s="6" t="s">
        <v>83</v>
      </c>
      <c r="Y555" s="6" t="s">
        <v>83</v>
      </c>
      <c r="Z555" s="6" t="s">
        <v>61</v>
      </c>
      <c r="AA555" s="6" t="s">
        <v>83</v>
      </c>
      <c r="AB555" s="6">
        <v>156.3184</v>
      </c>
      <c r="AC555" s="6">
        <v>0</v>
      </c>
      <c r="AD555" s="6">
        <v>0</v>
      </c>
      <c r="AE555" s="6">
        <v>0</v>
      </c>
      <c r="AF555" s="6">
        <v>0</v>
      </c>
      <c r="AG555" s="6">
        <v>0</v>
      </c>
      <c r="AH555" s="6">
        <v>0</v>
      </c>
      <c r="AI555" s="6" t="s">
        <v>2059</v>
      </c>
      <c r="AJ555" s="6" t="s">
        <v>259</v>
      </c>
      <c r="AK555" s="6" t="s">
        <v>12</v>
      </c>
      <c r="AL555" s="6" t="s">
        <v>50</v>
      </c>
      <c r="AM555" s="6" t="s">
        <v>260</v>
      </c>
      <c r="AN555" s="6" t="s">
        <v>20</v>
      </c>
      <c r="AO555" s="6" t="s">
        <v>250</v>
      </c>
      <c r="AP555" s="6" t="s">
        <v>251</v>
      </c>
      <c r="AQ555" s="6" t="s">
        <v>18</v>
      </c>
    </row>
    <row r="556" spans="1:43" x14ac:dyDescent="0.25">
      <c r="A556" s="6">
        <v>22733787</v>
      </c>
      <c r="B556" s="6">
        <v>23531080</v>
      </c>
      <c r="C556" s="6" t="s">
        <v>237</v>
      </c>
      <c r="D556" s="14">
        <v>45882.006805555553</v>
      </c>
      <c r="E556" s="14">
        <v>45882.011446759258</v>
      </c>
      <c r="F556" s="6" t="s">
        <v>17</v>
      </c>
      <c r="G556" s="6" t="s">
        <v>17</v>
      </c>
      <c r="H556" s="6" t="s">
        <v>2060</v>
      </c>
      <c r="I556" s="6" t="s">
        <v>253</v>
      </c>
      <c r="J556" s="6" t="s">
        <v>2061</v>
      </c>
      <c r="K556" s="6" t="s">
        <v>255</v>
      </c>
      <c r="L556" s="6" t="s">
        <v>255</v>
      </c>
      <c r="M556" s="14">
        <v>45881.832638888889</v>
      </c>
      <c r="N556" s="6">
        <v>2854</v>
      </c>
      <c r="O556" s="6" t="s">
        <v>83</v>
      </c>
      <c r="P556" s="6" t="s">
        <v>242</v>
      </c>
      <c r="Q556" s="6" t="s">
        <v>256</v>
      </c>
      <c r="R556" s="6" t="s">
        <v>244</v>
      </c>
      <c r="S556" s="6" t="s">
        <v>9</v>
      </c>
      <c r="T556" s="6" t="s">
        <v>245</v>
      </c>
      <c r="U556" s="6" t="s">
        <v>125</v>
      </c>
      <c r="V556" s="6" t="s">
        <v>2028</v>
      </c>
      <c r="W556" s="6" t="s">
        <v>83</v>
      </c>
      <c r="X556" s="6" t="s">
        <v>83</v>
      </c>
      <c r="Y556" s="6" t="s">
        <v>83</v>
      </c>
      <c r="Z556" s="6" t="s">
        <v>61</v>
      </c>
      <c r="AA556" s="6" t="s">
        <v>83</v>
      </c>
      <c r="AB556" s="6">
        <v>1421.97</v>
      </c>
      <c r="AC556" s="6">
        <v>0</v>
      </c>
      <c r="AD556" s="6">
        <v>0</v>
      </c>
      <c r="AE556" s="6">
        <v>0</v>
      </c>
      <c r="AF556" s="6">
        <v>0</v>
      </c>
      <c r="AG556" s="6">
        <v>213.3</v>
      </c>
      <c r="AH556" s="6">
        <v>0</v>
      </c>
      <c r="AI556" s="6" t="s">
        <v>2062</v>
      </c>
      <c r="AJ556" s="6" t="s">
        <v>259</v>
      </c>
      <c r="AK556" s="6" t="s">
        <v>12</v>
      </c>
      <c r="AL556" s="6" t="s">
        <v>50</v>
      </c>
      <c r="AM556" s="6" t="s">
        <v>260</v>
      </c>
      <c r="AN556" s="6" t="s">
        <v>20</v>
      </c>
      <c r="AO556" s="6" t="s">
        <v>261</v>
      </c>
      <c r="AP556" s="6" t="s">
        <v>262</v>
      </c>
      <c r="AQ556" s="6" t="s">
        <v>30</v>
      </c>
    </row>
    <row r="557" spans="1:43" x14ac:dyDescent="0.25">
      <c r="A557" s="6">
        <v>22733789</v>
      </c>
      <c r="B557" s="6">
        <v>23531082</v>
      </c>
      <c r="C557" s="6" t="s">
        <v>237</v>
      </c>
      <c r="D557" s="14">
        <v>45882.006863425922</v>
      </c>
      <c r="E557" s="14">
        <v>45882.011458333327</v>
      </c>
      <c r="F557" s="6" t="s">
        <v>17</v>
      </c>
      <c r="G557" s="6" t="s">
        <v>17</v>
      </c>
      <c r="H557" s="6" t="s">
        <v>2063</v>
      </c>
      <c r="I557" s="6" t="s">
        <v>253</v>
      </c>
      <c r="J557" s="6" t="s">
        <v>2064</v>
      </c>
      <c r="K557" s="6" t="s">
        <v>255</v>
      </c>
      <c r="L557" s="6" t="s">
        <v>255</v>
      </c>
      <c r="M557" s="14">
        <v>45881.831944444442</v>
      </c>
      <c r="N557" s="6">
        <v>2846</v>
      </c>
      <c r="O557" s="6" t="s">
        <v>2065</v>
      </c>
      <c r="P557" s="6" t="s">
        <v>242</v>
      </c>
      <c r="Q557" s="6" t="s">
        <v>243</v>
      </c>
      <c r="R557" s="6" t="s">
        <v>244</v>
      </c>
      <c r="S557" s="6" t="s">
        <v>8</v>
      </c>
      <c r="T557" s="6" t="s">
        <v>245</v>
      </c>
      <c r="U557" s="6" t="s">
        <v>125</v>
      </c>
      <c r="V557" s="6" t="s">
        <v>2028</v>
      </c>
      <c r="W557" s="6" t="s">
        <v>83</v>
      </c>
      <c r="X557" s="6" t="s">
        <v>83</v>
      </c>
      <c r="Y557" s="6" t="s">
        <v>83</v>
      </c>
      <c r="Z557" s="6" t="s">
        <v>61</v>
      </c>
      <c r="AA557" s="6" t="s">
        <v>83</v>
      </c>
      <c r="AB557" s="6">
        <v>245.2576</v>
      </c>
      <c r="AC557" s="6">
        <v>0</v>
      </c>
      <c r="AD557" s="6">
        <v>0</v>
      </c>
      <c r="AE557" s="6">
        <v>0</v>
      </c>
      <c r="AF557" s="6">
        <v>0</v>
      </c>
      <c r="AG557" s="6">
        <v>0</v>
      </c>
      <c r="AH557" s="6">
        <v>0</v>
      </c>
      <c r="AI557" s="6" t="s">
        <v>2066</v>
      </c>
      <c r="AJ557" s="6" t="s">
        <v>259</v>
      </c>
      <c r="AK557" s="6" t="s">
        <v>12</v>
      </c>
      <c r="AL557" s="6" t="s">
        <v>50</v>
      </c>
      <c r="AM557" s="6" t="s">
        <v>260</v>
      </c>
      <c r="AN557" s="6" t="s">
        <v>20</v>
      </c>
      <c r="AO557" s="6" t="s">
        <v>250</v>
      </c>
      <c r="AP557" s="6" t="s">
        <v>251</v>
      </c>
      <c r="AQ557" s="6" t="s">
        <v>18</v>
      </c>
    </row>
    <row r="558" spans="1:43" x14ac:dyDescent="0.25">
      <c r="A558" s="6">
        <v>22733791</v>
      </c>
      <c r="B558" s="6">
        <v>23531084</v>
      </c>
      <c r="C558" s="6" t="s">
        <v>237</v>
      </c>
      <c r="D558" s="14">
        <v>45882.006909722222</v>
      </c>
      <c r="E558" s="14">
        <v>45882.011458333327</v>
      </c>
      <c r="F558" s="6" t="s">
        <v>17</v>
      </c>
      <c r="G558" s="6" t="s">
        <v>17</v>
      </c>
      <c r="H558" s="6" t="s">
        <v>2067</v>
      </c>
      <c r="I558" s="6" t="s">
        <v>253</v>
      </c>
      <c r="J558" s="6" t="s">
        <v>2064</v>
      </c>
      <c r="K558" s="6" t="s">
        <v>255</v>
      </c>
      <c r="L558" s="6" t="s">
        <v>255</v>
      </c>
      <c r="M558" s="14">
        <v>45881.831944444442</v>
      </c>
      <c r="N558" s="6">
        <v>2843</v>
      </c>
      <c r="O558" s="6" t="s">
        <v>629</v>
      </c>
      <c r="P558" s="6" t="s">
        <v>242</v>
      </c>
      <c r="Q558" s="6" t="s">
        <v>243</v>
      </c>
      <c r="R558" s="6" t="s">
        <v>244</v>
      </c>
      <c r="S558" s="6" t="s">
        <v>8</v>
      </c>
      <c r="T558" s="6" t="s">
        <v>245</v>
      </c>
      <c r="U558" s="6" t="s">
        <v>125</v>
      </c>
      <c r="V558" s="6" t="s">
        <v>2028</v>
      </c>
      <c r="W558" s="6" t="s">
        <v>83</v>
      </c>
      <c r="X558" s="6" t="s">
        <v>83</v>
      </c>
      <c r="Y558" s="6" t="s">
        <v>83</v>
      </c>
      <c r="Z558" s="6" t="s">
        <v>61</v>
      </c>
      <c r="AA558" s="6" t="s">
        <v>83</v>
      </c>
      <c r="AB558" s="6">
        <v>367.88639999999998</v>
      </c>
      <c r="AC558" s="6">
        <v>0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 t="s">
        <v>2068</v>
      </c>
      <c r="AJ558" s="6" t="s">
        <v>259</v>
      </c>
      <c r="AK558" s="6" t="s">
        <v>12</v>
      </c>
      <c r="AL558" s="6" t="s">
        <v>50</v>
      </c>
      <c r="AM558" s="6" t="s">
        <v>260</v>
      </c>
      <c r="AN558" s="6" t="s">
        <v>20</v>
      </c>
      <c r="AO558" s="6" t="s">
        <v>250</v>
      </c>
      <c r="AP558" s="6" t="s">
        <v>251</v>
      </c>
      <c r="AQ558" s="6" t="s">
        <v>18</v>
      </c>
    </row>
    <row r="559" spans="1:43" x14ac:dyDescent="0.25">
      <c r="A559" s="6">
        <v>22733795</v>
      </c>
      <c r="B559" s="6">
        <v>23531088</v>
      </c>
      <c r="C559" s="6" t="s">
        <v>237</v>
      </c>
      <c r="D559" s="14">
        <v>45882.00708333333</v>
      </c>
      <c r="E559" s="14">
        <v>45882.014247685183</v>
      </c>
      <c r="F559" s="6" t="s">
        <v>17</v>
      </c>
      <c r="G559" s="6" t="s">
        <v>17</v>
      </c>
      <c r="H559" s="6" t="s">
        <v>2069</v>
      </c>
      <c r="I559" s="6" t="s">
        <v>253</v>
      </c>
      <c r="J559" s="6" t="s">
        <v>2070</v>
      </c>
      <c r="K559" s="6" t="s">
        <v>255</v>
      </c>
      <c r="L559" s="6" t="s">
        <v>255</v>
      </c>
      <c r="M559" s="14">
        <v>45881.831944444442</v>
      </c>
      <c r="N559" s="6">
        <v>2818</v>
      </c>
      <c r="O559" s="6" t="s">
        <v>2071</v>
      </c>
      <c r="P559" s="6" t="s">
        <v>242</v>
      </c>
      <c r="Q559" s="6" t="s">
        <v>243</v>
      </c>
      <c r="R559" s="6" t="s">
        <v>244</v>
      </c>
      <c r="S559" s="6" t="s">
        <v>8</v>
      </c>
      <c r="T559" s="6" t="s">
        <v>245</v>
      </c>
      <c r="U559" s="6" t="s">
        <v>125</v>
      </c>
      <c r="V559" s="6" t="s">
        <v>2028</v>
      </c>
      <c r="W559" s="6" t="s">
        <v>83</v>
      </c>
      <c r="X559" s="6" t="s">
        <v>83</v>
      </c>
      <c r="Y559" s="6" t="s">
        <v>83</v>
      </c>
      <c r="Z559" s="6" t="s">
        <v>61</v>
      </c>
      <c r="AA559" s="6" t="s">
        <v>83</v>
      </c>
      <c r="AB559" s="6">
        <v>239.16480000000001</v>
      </c>
      <c r="AC559" s="6">
        <v>0</v>
      </c>
      <c r="AD559" s="6">
        <v>0</v>
      </c>
      <c r="AE559" s="6">
        <v>0</v>
      </c>
      <c r="AF559" s="6">
        <v>0</v>
      </c>
      <c r="AG559" s="6">
        <v>0</v>
      </c>
      <c r="AH559" s="6">
        <v>0</v>
      </c>
      <c r="AI559" s="6" t="s">
        <v>2072</v>
      </c>
      <c r="AJ559" s="6" t="s">
        <v>259</v>
      </c>
      <c r="AK559" s="6" t="s">
        <v>12</v>
      </c>
      <c r="AL559" s="6" t="s">
        <v>50</v>
      </c>
      <c r="AM559" s="6" t="s">
        <v>260</v>
      </c>
      <c r="AN559" s="6" t="s">
        <v>20</v>
      </c>
      <c r="AO559" s="6" t="s">
        <v>250</v>
      </c>
      <c r="AP559" s="6" t="s">
        <v>251</v>
      </c>
      <c r="AQ559" s="6" t="s">
        <v>18</v>
      </c>
    </row>
    <row r="560" spans="1:43" x14ac:dyDescent="0.25">
      <c r="A560" s="6">
        <v>22733796</v>
      </c>
      <c r="B560" s="6">
        <v>23531089</v>
      </c>
      <c r="C560" s="6" t="s">
        <v>237</v>
      </c>
      <c r="D560" s="14">
        <v>45882.007118055553</v>
      </c>
      <c r="E560" s="14">
        <v>45882.014247685183</v>
      </c>
      <c r="F560" s="6" t="s">
        <v>17</v>
      </c>
      <c r="G560" s="6" t="s">
        <v>17</v>
      </c>
      <c r="H560" s="6" t="s">
        <v>2073</v>
      </c>
      <c r="I560" s="6" t="s">
        <v>253</v>
      </c>
      <c r="J560" s="6" t="s">
        <v>2074</v>
      </c>
      <c r="K560" s="6" t="s">
        <v>255</v>
      </c>
      <c r="L560" s="6" t="s">
        <v>255</v>
      </c>
      <c r="M560" s="14">
        <v>45881.831944444442</v>
      </c>
      <c r="N560" s="6">
        <v>2817</v>
      </c>
      <c r="O560" s="6" t="s">
        <v>1892</v>
      </c>
      <c r="P560" s="6" t="s">
        <v>242</v>
      </c>
      <c r="Q560" s="6" t="s">
        <v>243</v>
      </c>
      <c r="R560" s="6" t="s">
        <v>244</v>
      </c>
      <c r="S560" s="6" t="s">
        <v>8</v>
      </c>
      <c r="T560" s="6" t="s">
        <v>245</v>
      </c>
      <c r="U560" s="6" t="s">
        <v>125</v>
      </c>
      <c r="V560" s="6" t="s">
        <v>2028</v>
      </c>
      <c r="W560" s="6" t="s">
        <v>83</v>
      </c>
      <c r="X560" s="6" t="s">
        <v>83</v>
      </c>
      <c r="Y560" s="6" t="s">
        <v>83</v>
      </c>
      <c r="Z560" s="6" t="s">
        <v>61</v>
      </c>
      <c r="AA560" s="6" t="s">
        <v>83</v>
      </c>
      <c r="AB560" s="6">
        <v>289.47519999999997</v>
      </c>
      <c r="AC560" s="6">
        <v>0</v>
      </c>
      <c r="AD560" s="6">
        <v>0</v>
      </c>
      <c r="AE560" s="6">
        <v>0</v>
      </c>
      <c r="AF560" s="6">
        <v>0</v>
      </c>
      <c r="AG560" s="6">
        <v>0</v>
      </c>
      <c r="AH560" s="6">
        <v>0</v>
      </c>
      <c r="AI560" s="6" t="s">
        <v>2075</v>
      </c>
      <c r="AJ560" s="6" t="s">
        <v>259</v>
      </c>
      <c r="AK560" s="6" t="s">
        <v>12</v>
      </c>
      <c r="AL560" s="6" t="s">
        <v>50</v>
      </c>
      <c r="AM560" s="6" t="s">
        <v>260</v>
      </c>
      <c r="AN560" s="6" t="s">
        <v>20</v>
      </c>
      <c r="AO560" s="6" t="s">
        <v>250</v>
      </c>
      <c r="AP560" s="6" t="s">
        <v>251</v>
      </c>
      <c r="AQ560" s="6" t="s">
        <v>18</v>
      </c>
    </row>
    <row r="561" spans="1:43" x14ac:dyDescent="0.25">
      <c r="A561" s="6">
        <v>22731747</v>
      </c>
      <c r="B561" s="6">
        <v>23529203</v>
      </c>
      <c r="C561" s="6" t="s">
        <v>237</v>
      </c>
      <c r="D561" s="14">
        <v>45881.757361111107</v>
      </c>
      <c r="E561" s="14">
        <v>45881.771504629629</v>
      </c>
      <c r="F561" s="6" t="s">
        <v>17</v>
      </c>
      <c r="G561" s="6" t="s">
        <v>17</v>
      </c>
      <c r="H561" s="6" t="s">
        <v>2076</v>
      </c>
      <c r="I561" s="6" t="s">
        <v>253</v>
      </c>
      <c r="J561" s="6" t="s">
        <v>2077</v>
      </c>
      <c r="K561" s="6" t="s">
        <v>255</v>
      </c>
      <c r="L561" s="6" t="s">
        <v>255</v>
      </c>
      <c r="M561" s="14">
        <v>45881.509722222218</v>
      </c>
      <c r="N561" s="6">
        <v>2911</v>
      </c>
      <c r="O561" s="6" t="s">
        <v>2078</v>
      </c>
      <c r="P561" s="6" t="s">
        <v>242</v>
      </c>
      <c r="Q561" s="6" t="s">
        <v>243</v>
      </c>
      <c r="R561" s="6" t="s">
        <v>244</v>
      </c>
      <c r="S561" s="6" t="s">
        <v>8</v>
      </c>
      <c r="T561" s="6" t="s">
        <v>245</v>
      </c>
      <c r="U561" s="6" t="s">
        <v>125</v>
      </c>
      <c r="V561" s="6" t="s">
        <v>2028</v>
      </c>
      <c r="W561" s="6" t="s">
        <v>83</v>
      </c>
      <c r="X561" s="6" t="s">
        <v>83</v>
      </c>
      <c r="Y561" s="6" t="s">
        <v>83</v>
      </c>
      <c r="Z561" s="6" t="s">
        <v>61</v>
      </c>
      <c r="AA561" s="6" t="s">
        <v>83</v>
      </c>
      <c r="AB561" s="6">
        <v>621.23040000000003</v>
      </c>
      <c r="AC561" s="6">
        <v>0</v>
      </c>
      <c r="AD561" s="6">
        <v>0</v>
      </c>
      <c r="AE561" s="6">
        <v>0</v>
      </c>
      <c r="AF561" s="6">
        <v>0</v>
      </c>
      <c r="AG561" s="6">
        <v>0</v>
      </c>
      <c r="AH561" s="6">
        <v>0</v>
      </c>
      <c r="AI561" s="6" t="s">
        <v>2079</v>
      </c>
      <c r="AJ561" s="6" t="s">
        <v>259</v>
      </c>
      <c r="AK561" s="6" t="s">
        <v>12</v>
      </c>
      <c r="AL561" s="6" t="s">
        <v>50</v>
      </c>
      <c r="AM561" s="6" t="s">
        <v>260</v>
      </c>
      <c r="AN561" s="6" t="s">
        <v>20</v>
      </c>
      <c r="AO561" s="6" t="s">
        <v>250</v>
      </c>
      <c r="AP561" s="6" t="s">
        <v>251</v>
      </c>
      <c r="AQ561" s="6" t="s">
        <v>18</v>
      </c>
    </row>
    <row r="562" spans="1:43" x14ac:dyDescent="0.25">
      <c r="A562" s="6">
        <v>22701250</v>
      </c>
      <c r="B562" s="6">
        <v>23503436</v>
      </c>
      <c r="C562" s="6" t="s">
        <v>292</v>
      </c>
      <c r="D562" s="14">
        <v>45876.584953703707</v>
      </c>
      <c r="E562" s="14">
        <v>45876.59034722222</v>
      </c>
      <c r="F562" s="6" t="s">
        <v>21</v>
      </c>
      <c r="G562" s="6" t="s">
        <v>21</v>
      </c>
      <c r="H562" s="6" t="s">
        <v>2080</v>
      </c>
      <c r="I562" s="6" t="s">
        <v>15</v>
      </c>
      <c r="J562" s="6" t="s">
        <v>2081</v>
      </c>
      <c r="K562" s="6" t="s">
        <v>747</v>
      </c>
      <c r="L562" s="6" t="s">
        <v>747</v>
      </c>
      <c r="M562" s="14">
        <v>45876.581250000003</v>
      </c>
      <c r="N562" s="6" t="s">
        <v>83</v>
      </c>
      <c r="O562" s="6" t="s">
        <v>83</v>
      </c>
      <c r="P562" s="6" t="s">
        <v>272</v>
      </c>
      <c r="Q562" s="6" t="s">
        <v>256</v>
      </c>
      <c r="R562" s="6" t="s">
        <v>256</v>
      </c>
      <c r="S562" s="6" t="s">
        <v>7</v>
      </c>
      <c r="T562" s="6" t="s">
        <v>245</v>
      </c>
      <c r="U562" s="6" t="s">
        <v>176</v>
      </c>
      <c r="V562" s="6" t="s">
        <v>2082</v>
      </c>
      <c r="W562" s="6" t="s">
        <v>83</v>
      </c>
      <c r="X562" s="6" t="s">
        <v>247</v>
      </c>
      <c r="Y562" s="6">
        <v>4453300183</v>
      </c>
      <c r="Z562" s="6" t="s">
        <v>126</v>
      </c>
      <c r="AA562" s="6" t="s">
        <v>83</v>
      </c>
      <c r="AB562" s="6">
        <v>140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0</v>
      </c>
      <c r="AI562" s="6" t="s">
        <v>83</v>
      </c>
      <c r="AJ562" s="6" t="s">
        <v>2083</v>
      </c>
      <c r="AK562" s="6" t="s">
        <v>15</v>
      </c>
      <c r="AL562" s="6" t="s">
        <v>51</v>
      </c>
      <c r="AM562" s="6" t="s">
        <v>342</v>
      </c>
      <c r="AN562" s="6" t="s">
        <v>26</v>
      </c>
      <c r="AO562" s="6" t="s">
        <v>250</v>
      </c>
      <c r="AP562" s="6" t="s">
        <v>262</v>
      </c>
      <c r="AQ562" s="6" t="s">
        <v>24</v>
      </c>
    </row>
  </sheetData>
  <autoFilter ref="A1:AQ2062" xr:uid="{00000000-0009-0000-0000-000002000000}">
    <sortState xmlns:xlrd2="http://schemas.microsoft.com/office/spreadsheetml/2017/richdata2" ref="A2:AQ2062">
      <sortCondition descending="1" ref="D1:D2062"/>
    </sortState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194</v>
      </c>
      <c r="B1" s="10" t="s">
        <v>2084</v>
      </c>
      <c r="C1" s="11" t="s">
        <v>233</v>
      </c>
      <c r="D1" s="11" t="s">
        <v>2085</v>
      </c>
      <c r="E1" s="11" t="s">
        <v>2086</v>
      </c>
      <c r="F1" s="11" t="s">
        <v>236</v>
      </c>
    </row>
    <row r="2" spans="1:6" x14ac:dyDescent="0.25">
      <c r="A2" t="s">
        <v>605</v>
      </c>
      <c r="B2">
        <v>15</v>
      </c>
      <c r="C2" t="s">
        <v>51</v>
      </c>
      <c r="D2" t="s">
        <v>2087</v>
      </c>
      <c r="E2" t="s">
        <v>2088</v>
      </c>
      <c r="F2" t="s">
        <v>2089</v>
      </c>
    </row>
    <row r="3" spans="1:6" x14ac:dyDescent="0.25">
      <c r="A3" t="s">
        <v>605</v>
      </c>
      <c r="B3">
        <v>1</v>
      </c>
      <c r="C3" t="s">
        <v>2090</v>
      </c>
      <c r="D3" t="s">
        <v>2091</v>
      </c>
      <c r="E3" t="s">
        <v>2092</v>
      </c>
      <c r="F3" t="s">
        <v>2089</v>
      </c>
    </row>
    <row r="4" spans="1:6" x14ac:dyDescent="0.25">
      <c r="A4" t="s">
        <v>605</v>
      </c>
      <c r="B4">
        <v>1</v>
      </c>
      <c r="C4" t="s">
        <v>2093</v>
      </c>
      <c r="D4" t="s">
        <v>2094</v>
      </c>
      <c r="E4" t="s">
        <v>2095</v>
      </c>
      <c r="F4" t="s">
        <v>2096</v>
      </c>
    </row>
    <row r="5" spans="1:6" x14ac:dyDescent="0.25">
      <c r="A5" t="s">
        <v>605</v>
      </c>
      <c r="B5">
        <v>1</v>
      </c>
      <c r="C5" t="s">
        <v>2097</v>
      </c>
      <c r="D5" t="s">
        <v>2098</v>
      </c>
      <c r="E5" t="s">
        <v>2099</v>
      </c>
      <c r="F5" t="s">
        <v>18</v>
      </c>
    </row>
    <row r="6" spans="1:6" x14ac:dyDescent="0.25">
      <c r="A6" t="s">
        <v>605</v>
      </c>
      <c r="B6">
        <v>16</v>
      </c>
      <c r="C6" t="s">
        <v>60</v>
      </c>
      <c r="D6" t="s">
        <v>2100</v>
      </c>
      <c r="E6" t="s">
        <v>2101</v>
      </c>
      <c r="F6" t="s">
        <v>2096</v>
      </c>
    </row>
    <row r="7" spans="1:6" x14ac:dyDescent="0.25">
      <c r="A7" t="s">
        <v>605</v>
      </c>
      <c r="B7">
        <v>71</v>
      </c>
      <c r="C7" t="s">
        <v>50</v>
      </c>
      <c r="D7" t="s">
        <v>2102</v>
      </c>
      <c r="E7" t="s">
        <v>2103</v>
      </c>
      <c r="F7" t="s">
        <v>30</v>
      </c>
    </row>
    <row r="8" spans="1:6" x14ac:dyDescent="0.25">
      <c r="A8" t="s">
        <v>605</v>
      </c>
      <c r="B8">
        <v>108</v>
      </c>
      <c r="C8" t="s">
        <v>74</v>
      </c>
      <c r="D8" t="s">
        <v>2104</v>
      </c>
      <c r="E8" t="s">
        <v>2105</v>
      </c>
      <c r="F8" t="s">
        <v>18</v>
      </c>
    </row>
    <row r="9" spans="1:6" x14ac:dyDescent="0.25">
      <c r="A9" t="s">
        <v>605</v>
      </c>
      <c r="B9">
        <v>2</v>
      </c>
      <c r="C9" t="s">
        <v>53</v>
      </c>
      <c r="D9" t="s">
        <v>2106</v>
      </c>
      <c r="E9" t="s">
        <v>2106</v>
      </c>
      <c r="F9" t="s">
        <v>30</v>
      </c>
    </row>
    <row r="10" spans="1:6" x14ac:dyDescent="0.25">
      <c r="A10" t="s">
        <v>605</v>
      </c>
      <c r="B10">
        <v>4</v>
      </c>
      <c r="C10" t="s">
        <v>62</v>
      </c>
      <c r="D10" t="s">
        <v>2107</v>
      </c>
      <c r="E10" t="s">
        <v>2108</v>
      </c>
      <c r="F10" t="s">
        <v>30</v>
      </c>
    </row>
    <row r="11" spans="1:6" x14ac:dyDescent="0.25">
      <c r="A11" t="s">
        <v>605</v>
      </c>
      <c r="B11">
        <v>1</v>
      </c>
      <c r="C11" t="s">
        <v>2109</v>
      </c>
      <c r="D11" t="s">
        <v>2110</v>
      </c>
      <c r="E11" t="s">
        <v>2111</v>
      </c>
      <c r="F11" t="s">
        <v>30</v>
      </c>
    </row>
    <row r="12" spans="1:6" x14ac:dyDescent="0.25">
      <c r="A12" t="s">
        <v>2112</v>
      </c>
      <c r="B12">
        <v>5</v>
      </c>
      <c r="C12" t="s">
        <v>51</v>
      </c>
      <c r="D12" t="s">
        <v>2087</v>
      </c>
      <c r="E12" t="s">
        <v>2088</v>
      </c>
      <c r="F12" t="s">
        <v>2089</v>
      </c>
    </row>
    <row r="13" spans="1:6" x14ac:dyDescent="0.25">
      <c r="A13" t="s">
        <v>2112</v>
      </c>
      <c r="B13">
        <v>78</v>
      </c>
      <c r="C13" t="s">
        <v>50</v>
      </c>
      <c r="D13" t="s">
        <v>2102</v>
      </c>
      <c r="E13" t="s">
        <v>2103</v>
      </c>
      <c r="F13" t="s">
        <v>30</v>
      </c>
    </row>
    <row r="14" spans="1:6" x14ac:dyDescent="0.25">
      <c r="A14" t="s">
        <v>2112</v>
      </c>
      <c r="B14">
        <v>21</v>
      </c>
      <c r="C14" t="s">
        <v>74</v>
      </c>
      <c r="D14" t="s">
        <v>2104</v>
      </c>
      <c r="E14" t="s">
        <v>2105</v>
      </c>
      <c r="F14" t="s">
        <v>18</v>
      </c>
    </row>
    <row r="15" spans="1:6" x14ac:dyDescent="0.25">
      <c r="A15" t="s">
        <v>2113</v>
      </c>
      <c r="B15">
        <v>13</v>
      </c>
      <c r="C15" t="s">
        <v>51</v>
      </c>
      <c r="D15" t="s">
        <v>2087</v>
      </c>
      <c r="E15" t="s">
        <v>2088</v>
      </c>
      <c r="F15" t="s">
        <v>2089</v>
      </c>
    </row>
    <row r="16" spans="1:6" x14ac:dyDescent="0.25">
      <c r="A16" t="s">
        <v>2113</v>
      </c>
      <c r="B16">
        <v>1</v>
      </c>
      <c r="C16" t="s">
        <v>2090</v>
      </c>
      <c r="D16" t="s">
        <v>2091</v>
      </c>
      <c r="E16" t="s">
        <v>2092</v>
      </c>
      <c r="F16" t="s">
        <v>2089</v>
      </c>
    </row>
    <row r="17" spans="1:6" x14ac:dyDescent="0.25">
      <c r="A17" t="s">
        <v>2113</v>
      </c>
      <c r="B17">
        <v>25</v>
      </c>
      <c r="C17" t="s">
        <v>50</v>
      </c>
      <c r="D17" t="s">
        <v>2102</v>
      </c>
      <c r="E17" t="s">
        <v>2103</v>
      </c>
      <c r="F17" t="s">
        <v>30</v>
      </c>
    </row>
    <row r="18" spans="1:6" x14ac:dyDescent="0.25">
      <c r="A18" t="s">
        <v>2113</v>
      </c>
      <c r="B18">
        <v>311</v>
      </c>
      <c r="C18" t="s">
        <v>74</v>
      </c>
      <c r="D18" t="s">
        <v>2104</v>
      </c>
      <c r="E18" t="s">
        <v>2105</v>
      </c>
      <c r="F18" t="s">
        <v>18</v>
      </c>
    </row>
    <row r="19" spans="1:6" x14ac:dyDescent="0.25">
      <c r="A19" t="s">
        <v>2113</v>
      </c>
      <c r="B19">
        <v>114</v>
      </c>
      <c r="C19" t="s">
        <v>55</v>
      </c>
      <c r="D19" t="s">
        <v>2114</v>
      </c>
      <c r="E19" t="s">
        <v>2115</v>
      </c>
      <c r="F19" t="s">
        <v>2096</v>
      </c>
    </row>
    <row r="20" spans="1:6" x14ac:dyDescent="0.25">
      <c r="A20" t="s">
        <v>1432</v>
      </c>
      <c r="B20">
        <v>1</v>
      </c>
      <c r="C20" t="s">
        <v>51</v>
      </c>
      <c r="D20" t="s">
        <v>2087</v>
      </c>
      <c r="E20" t="s">
        <v>2088</v>
      </c>
      <c r="F20" t="s">
        <v>2089</v>
      </c>
    </row>
    <row r="21" spans="1:6" x14ac:dyDescent="0.25">
      <c r="A21" t="s">
        <v>1432</v>
      </c>
      <c r="B21">
        <v>3</v>
      </c>
      <c r="C21" t="s">
        <v>50</v>
      </c>
      <c r="D21" t="s">
        <v>2102</v>
      </c>
      <c r="E21" t="s">
        <v>2103</v>
      </c>
      <c r="F21" t="s">
        <v>30</v>
      </c>
    </row>
    <row r="22" spans="1:6" x14ac:dyDescent="0.25">
      <c r="A22" t="s">
        <v>1432</v>
      </c>
      <c r="B22">
        <v>45</v>
      </c>
      <c r="C22" t="s">
        <v>74</v>
      </c>
      <c r="D22" t="s">
        <v>2104</v>
      </c>
      <c r="E22" t="s">
        <v>2105</v>
      </c>
      <c r="F22" t="s">
        <v>18</v>
      </c>
    </row>
    <row r="23" spans="1:6" x14ac:dyDescent="0.25">
      <c r="A23" t="s">
        <v>1432</v>
      </c>
      <c r="B23">
        <v>3</v>
      </c>
      <c r="C23" t="s">
        <v>55</v>
      </c>
      <c r="D23" t="s">
        <v>2114</v>
      </c>
      <c r="E23" t="s">
        <v>2115</v>
      </c>
      <c r="F23" t="s">
        <v>2096</v>
      </c>
    </row>
    <row r="24" spans="1:6" x14ac:dyDescent="0.25">
      <c r="A24" t="s">
        <v>2116</v>
      </c>
      <c r="B24">
        <v>14</v>
      </c>
      <c r="C24" t="s">
        <v>2117</v>
      </c>
      <c r="D24" t="s">
        <v>2118</v>
      </c>
      <c r="E24" t="s">
        <v>2119</v>
      </c>
      <c r="F24" t="s">
        <v>30</v>
      </c>
    </row>
    <row r="25" spans="1:6" x14ac:dyDescent="0.25">
      <c r="A25" t="s">
        <v>2116</v>
      </c>
      <c r="B25">
        <v>24</v>
      </c>
      <c r="C25" t="s">
        <v>51</v>
      </c>
      <c r="D25" t="s">
        <v>2087</v>
      </c>
      <c r="E25" t="s">
        <v>2088</v>
      </c>
      <c r="F25" t="s">
        <v>2089</v>
      </c>
    </row>
    <row r="26" spans="1:6" x14ac:dyDescent="0.25">
      <c r="A26" t="s">
        <v>2116</v>
      </c>
      <c r="B26">
        <v>3</v>
      </c>
      <c r="C26" t="s">
        <v>2120</v>
      </c>
      <c r="D26" t="s">
        <v>2121</v>
      </c>
      <c r="E26" t="s">
        <v>2122</v>
      </c>
      <c r="F26" t="s">
        <v>18</v>
      </c>
    </row>
    <row r="27" spans="1:6" x14ac:dyDescent="0.25">
      <c r="A27" t="s">
        <v>2116</v>
      </c>
      <c r="B27">
        <v>4</v>
      </c>
      <c r="C27" t="s">
        <v>60</v>
      </c>
      <c r="D27" t="s">
        <v>2100</v>
      </c>
      <c r="E27" t="s">
        <v>2101</v>
      </c>
      <c r="F27" t="s">
        <v>2096</v>
      </c>
    </row>
    <row r="28" spans="1:6" x14ac:dyDescent="0.25">
      <c r="A28" t="s">
        <v>2116</v>
      </c>
      <c r="B28">
        <v>6</v>
      </c>
      <c r="C28" t="s">
        <v>74</v>
      </c>
      <c r="D28" t="s">
        <v>2104</v>
      </c>
      <c r="E28" t="s">
        <v>2105</v>
      </c>
      <c r="F28" t="s">
        <v>18</v>
      </c>
    </row>
    <row r="29" spans="1:6" x14ac:dyDescent="0.25">
      <c r="A29" t="s">
        <v>2116</v>
      </c>
      <c r="B29">
        <v>6</v>
      </c>
      <c r="C29" t="s">
        <v>55</v>
      </c>
      <c r="D29" t="s">
        <v>2114</v>
      </c>
      <c r="E29" t="s">
        <v>2115</v>
      </c>
      <c r="F29" t="s">
        <v>2096</v>
      </c>
    </row>
    <row r="30" spans="1:6" x14ac:dyDescent="0.25">
      <c r="A30" t="s">
        <v>2116</v>
      </c>
      <c r="B30">
        <v>1</v>
      </c>
      <c r="C30" t="s">
        <v>53</v>
      </c>
      <c r="D30" t="s">
        <v>2106</v>
      </c>
      <c r="E30" t="s">
        <v>2106</v>
      </c>
      <c r="F30" t="s">
        <v>30</v>
      </c>
    </row>
    <row r="31" spans="1:6" x14ac:dyDescent="0.25">
      <c r="A31" t="s">
        <v>2116</v>
      </c>
      <c r="B31">
        <v>2</v>
      </c>
      <c r="C31" t="s">
        <v>62</v>
      </c>
      <c r="D31" t="s">
        <v>2107</v>
      </c>
      <c r="E31" t="s">
        <v>2108</v>
      </c>
      <c r="F31" t="s">
        <v>30</v>
      </c>
    </row>
    <row r="32" spans="1:6" x14ac:dyDescent="0.25">
      <c r="A32" t="s">
        <v>303</v>
      </c>
      <c r="B32">
        <v>8</v>
      </c>
      <c r="C32" t="s">
        <v>2117</v>
      </c>
      <c r="D32" t="s">
        <v>2118</v>
      </c>
      <c r="E32" t="s">
        <v>2119</v>
      </c>
      <c r="F32" t="s">
        <v>30</v>
      </c>
    </row>
    <row r="33" spans="1:6" x14ac:dyDescent="0.25">
      <c r="A33" t="s">
        <v>303</v>
      </c>
      <c r="B33">
        <v>7</v>
      </c>
      <c r="C33" t="s">
        <v>51</v>
      </c>
      <c r="D33" t="s">
        <v>2087</v>
      </c>
      <c r="E33" t="s">
        <v>2088</v>
      </c>
      <c r="F33" t="s">
        <v>2089</v>
      </c>
    </row>
    <row r="34" spans="1:6" x14ac:dyDescent="0.25">
      <c r="A34" t="s">
        <v>303</v>
      </c>
      <c r="B34">
        <v>1</v>
      </c>
      <c r="C34" t="s">
        <v>80</v>
      </c>
      <c r="D34" t="s">
        <v>2123</v>
      </c>
      <c r="E34" t="s">
        <v>2124</v>
      </c>
      <c r="F34" t="s">
        <v>2125</v>
      </c>
    </row>
    <row r="35" spans="1:6" x14ac:dyDescent="0.25">
      <c r="A35" t="s">
        <v>303</v>
      </c>
      <c r="B35">
        <v>2</v>
      </c>
      <c r="C35" t="s">
        <v>60</v>
      </c>
      <c r="D35" t="s">
        <v>2100</v>
      </c>
      <c r="E35" t="s">
        <v>2101</v>
      </c>
      <c r="F35" t="s">
        <v>2096</v>
      </c>
    </row>
    <row r="36" spans="1:6" x14ac:dyDescent="0.25">
      <c r="A36" t="s">
        <v>303</v>
      </c>
      <c r="B36">
        <v>40</v>
      </c>
      <c r="C36" t="s">
        <v>74</v>
      </c>
      <c r="D36" t="s">
        <v>2104</v>
      </c>
      <c r="E36" t="s">
        <v>2105</v>
      </c>
      <c r="F36" t="s">
        <v>18</v>
      </c>
    </row>
    <row r="37" spans="1:6" x14ac:dyDescent="0.25">
      <c r="A37" t="s">
        <v>303</v>
      </c>
      <c r="B37">
        <v>21</v>
      </c>
      <c r="C37" t="s">
        <v>62</v>
      </c>
      <c r="D37" t="s">
        <v>2107</v>
      </c>
      <c r="E37" t="s">
        <v>2108</v>
      </c>
      <c r="F37" t="s">
        <v>30</v>
      </c>
    </row>
    <row r="38" spans="1:6" x14ac:dyDescent="0.25">
      <c r="A38" t="s">
        <v>429</v>
      </c>
      <c r="B38">
        <v>4</v>
      </c>
      <c r="C38" t="s">
        <v>51</v>
      </c>
      <c r="D38" t="s">
        <v>2087</v>
      </c>
      <c r="E38" t="s">
        <v>2088</v>
      </c>
      <c r="F38" t="s">
        <v>2089</v>
      </c>
    </row>
    <row r="39" spans="1:6" x14ac:dyDescent="0.25">
      <c r="A39" t="s">
        <v>429</v>
      </c>
      <c r="B39">
        <v>2</v>
      </c>
      <c r="C39" t="s">
        <v>2120</v>
      </c>
      <c r="D39" t="s">
        <v>2121</v>
      </c>
      <c r="E39" t="s">
        <v>2122</v>
      </c>
      <c r="F39" t="s">
        <v>18</v>
      </c>
    </row>
    <row r="40" spans="1:6" x14ac:dyDescent="0.25">
      <c r="A40" t="s">
        <v>429</v>
      </c>
      <c r="B40">
        <v>1</v>
      </c>
      <c r="C40" t="s">
        <v>74</v>
      </c>
      <c r="D40" t="s">
        <v>2104</v>
      </c>
      <c r="E40" t="s">
        <v>2105</v>
      </c>
      <c r="F40" t="s">
        <v>18</v>
      </c>
    </row>
    <row r="41" spans="1:6" x14ac:dyDescent="0.25">
      <c r="A41" t="s">
        <v>429</v>
      </c>
      <c r="B41">
        <v>17</v>
      </c>
      <c r="C41" t="s">
        <v>55</v>
      </c>
      <c r="D41" t="s">
        <v>2114</v>
      </c>
      <c r="E41" t="s">
        <v>2115</v>
      </c>
      <c r="F41" t="s">
        <v>2096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2025-08-13T10:46:07Z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